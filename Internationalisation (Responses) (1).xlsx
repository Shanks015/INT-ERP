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shboard" sheetId="1" r:id="rId4"/>
    <sheet state="visible" name="Form Responses 1" sheetId="2" r:id="rId5"/>
    <sheet state="visible" name="Campus Visit" sheetId="3" r:id="rId6"/>
    <sheet state="visible" name="MoU Signing Ceremony" sheetId="4" r:id="rId7"/>
    <sheet state="visible" name="Events" sheetId="5" r:id="rId8"/>
    <sheet state="visible" name="Conference" sheetId="6" r:id="rId9"/>
    <sheet state="visible" name="Scholars in Residence" sheetId="7" r:id="rId10"/>
    <sheet state="visible" name="MoU Update" sheetId="8" r:id="rId11"/>
    <sheet state="visible" name="Immersion program" sheetId="9" r:id="rId12"/>
    <sheet state="visible" name="Student Exchange" sheetId="10" r:id="rId13"/>
    <sheet state="visible" name="Masters Abroad" sheetId="11" r:id="rId14"/>
    <sheet state="visible" name="Memberships" sheetId="12" r:id="rId15"/>
    <sheet state="visible" name="Digital Media" sheetId="13" r:id="rId16"/>
  </sheets>
  <definedNames/>
  <calcPr/>
</workbook>
</file>

<file path=xl/sharedStrings.xml><?xml version="1.0" encoding="utf-8"?>
<sst xmlns="http://schemas.openxmlformats.org/spreadsheetml/2006/main" count="3113" uniqueCount="1259">
  <si>
    <t>DSU INTERNATIONAL AFFAIRS (Data Sheet)</t>
  </si>
  <si>
    <t>Campus Visit</t>
  </si>
  <si>
    <t>MoU Signing Ceremony</t>
  </si>
  <si>
    <t>Events</t>
  </si>
  <si>
    <t>Conference</t>
  </si>
  <si>
    <t>Scholar In Residence</t>
  </si>
  <si>
    <t>MoU Update</t>
  </si>
  <si>
    <t>Immersion Programs</t>
  </si>
  <si>
    <t>Student Exchange</t>
  </si>
  <si>
    <t>Master's Abroad</t>
  </si>
  <si>
    <t>Memberships</t>
  </si>
  <si>
    <t>Digital Media</t>
  </si>
  <si>
    <t>Timestamp</t>
  </si>
  <si>
    <t>Email Address</t>
  </si>
  <si>
    <t>Particulars</t>
  </si>
  <si>
    <t>Date</t>
  </si>
  <si>
    <t>Channel</t>
  </si>
  <si>
    <t>Link of the Article</t>
  </si>
  <si>
    <t>Article Topic</t>
  </si>
  <si>
    <t>Amount Paid</t>
  </si>
  <si>
    <t>Summary</t>
  </si>
  <si>
    <t>Digital Media -  Upload Zip FIle</t>
  </si>
  <si>
    <t>Date 2</t>
  </si>
  <si>
    <t>Status</t>
  </si>
  <si>
    <t>Name</t>
  </si>
  <si>
    <t>Summary 2</t>
  </si>
  <si>
    <t>Country</t>
  </si>
  <si>
    <t xml:space="preserve">Membership Duration </t>
  </si>
  <si>
    <t>Start Date</t>
  </si>
  <si>
    <t>End Date</t>
  </si>
  <si>
    <t>Memberships -   Upload Zip FIle</t>
  </si>
  <si>
    <t>Students Name</t>
  </si>
  <si>
    <t>Country 2</t>
  </si>
  <si>
    <t>University</t>
  </si>
  <si>
    <t>Course Studying</t>
  </si>
  <si>
    <t>Course Tenure</t>
  </si>
  <si>
    <t>Passport Number</t>
  </si>
  <si>
    <t>USN Number</t>
  </si>
  <si>
    <t>CGPA</t>
  </si>
  <si>
    <t>School of Study (UG at DSU)</t>
  </si>
  <si>
    <t>Masters Abroad -   Upload Zip FIle</t>
  </si>
  <si>
    <t>Incoming / Outgoing</t>
  </si>
  <si>
    <t>Students Name 2</t>
  </si>
  <si>
    <t xml:space="preserve">Course </t>
  </si>
  <si>
    <t>Semester /Year</t>
  </si>
  <si>
    <t>USN NO</t>
  </si>
  <si>
    <t>Exchange University</t>
  </si>
  <si>
    <t>From Date</t>
  </si>
  <si>
    <t>To Date</t>
  </si>
  <si>
    <t>Status 2</t>
  </si>
  <si>
    <t>Student Exchange -   Upload Zip FIle</t>
  </si>
  <si>
    <t>Student Exchange -  Upload Zip FIle</t>
  </si>
  <si>
    <t>Status 3</t>
  </si>
  <si>
    <t>Incoming/Outgoing</t>
  </si>
  <si>
    <t xml:space="preserve">Country </t>
  </si>
  <si>
    <t xml:space="preserve">University </t>
  </si>
  <si>
    <t>No of Pax</t>
  </si>
  <si>
    <t>Summary 3</t>
  </si>
  <si>
    <t>Arrival Date</t>
  </si>
  <si>
    <t>Departure Date</t>
  </si>
  <si>
    <t>Fees Per Pax</t>
  </si>
  <si>
    <t xml:space="preserve">Department </t>
  </si>
  <si>
    <t>Immersion Program -  Upload Zip FIle</t>
  </si>
  <si>
    <t>Date 3</t>
  </si>
  <si>
    <t>Country  2</t>
  </si>
  <si>
    <t>University 2</t>
  </si>
  <si>
    <t>Department</t>
  </si>
  <si>
    <t>Completed Date</t>
  </si>
  <si>
    <t xml:space="preserve">MoU Status </t>
  </si>
  <si>
    <t xml:space="preserve">Contact Person </t>
  </si>
  <si>
    <t>Contact Email</t>
  </si>
  <si>
    <t>Agreement Type</t>
  </si>
  <si>
    <t>Term</t>
  </si>
  <si>
    <t xml:space="preserve">Validity Status </t>
  </si>
  <si>
    <t>MoU Update  Upload Zip FIle</t>
  </si>
  <si>
    <t xml:space="preserve">Status </t>
  </si>
  <si>
    <t xml:space="preserve">  Category  </t>
  </si>
  <si>
    <t>Scholars Name</t>
  </si>
  <si>
    <t>University  2</t>
  </si>
  <si>
    <t>Country 3</t>
  </si>
  <si>
    <t>From Date 2</t>
  </si>
  <si>
    <t>To Date 2</t>
  </si>
  <si>
    <t>Department  2</t>
  </si>
  <si>
    <t>Summary 4</t>
  </si>
  <si>
    <t>Campus</t>
  </si>
  <si>
    <t>Scholars in Residence -  Upload Zip FIle</t>
  </si>
  <si>
    <t>Date 4</t>
  </si>
  <si>
    <t>Conference Name</t>
  </si>
  <si>
    <t>Country 4</t>
  </si>
  <si>
    <t>Department  3</t>
  </si>
  <si>
    <t>Event Summary</t>
  </si>
  <si>
    <t>Campus 2</t>
  </si>
  <si>
    <t>Conference -   Upload Zip FIle</t>
  </si>
  <si>
    <t>Date 5</t>
  </si>
  <si>
    <t xml:space="preserve">Type </t>
  </si>
  <si>
    <t xml:space="preserve">Name &amp; Details </t>
  </si>
  <si>
    <t>Department  4</t>
  </si>
  <si>
    <t>University, Country</t>
  </si>
  <si>
    <t xml:space="preserve">Dignitaries </t>
  </si>
  <si>
    <t>Event Summary 2</t>
  </si>
  <si>
    <t>Campus 3</t>
  </si>
  <si>
    <t>Events -   Upload Zip FIle</t>
  </si>
  <si>
    <t>Date 6</t>
  </si>
  <si>
    <t>Type</t>
  </si>
  <si>
    <t>Visitor's Name &amp; Details</t>
  </si>
  <si>
    <t>University Name</t>
  </si>
  <si>
    <t>Department  5</t>
  </si>
  <si>
    <t>Event Summary 3</t>
  </si>
  <si>
    <t>Campus 4</t>
  </si>
  <si>
    <t>MoU Signing Ceremony    Upload Zip FIle</t>
  </si>
  <si>
    <t>Date 7</t>
  </si>
  <si>
    <t>Type 2</t>
  </si>
  <si>
    <t>Visitor's Name &amp; Details 2</t>
  </si>
  <si>
    <t>Country  3</t>
  </si>
  <si>
    <t>University Name 2</t>
  </si>
  <si>
    <t>Summary 5</t>
  </si>
  <si>
    <t>Department  6</t>
  </si>
  <si>
    <t>Campus 5</t>
  </si>
  <si>
    <t>Campus Visit-  Upload Zip FIle</t>
  </si>
  <si>
    <t>Country 5</t>
  </si>
  <si>
    <t>vicepresident-internationaloffice@dsu.edu.in</t>
  </si>
  <si>
    <t>Scholars in Residence</t>
  </si>
  <si>
    <t>Completed</t>
  </si>
  <si>
    <t>Visiting Scholar</t>
  </si>
  <si>
    <t>Prof. Al -Khoury, Professor</t>
  </si>
  <si>
    <t>Lebanon University</t>
  </si>
  <si>
    <t xml:space="preserve">Lebanon </t>
  </si>
  <si>
    <t>SCMS-PG</t>
  </si>
  <si>
    <t>Prof. Al-Khoury, Professor, visited Dayananda Sagar University for introductory discussions and academic engagement. During the visit, he interacted with university leadership and faculty to explore potential areas of collaboration, including joint academic activities, research opportunities, and future partnerships. The meeting provided a valuable opportunity to understand mutual interests and identify possible pathways for academic cooperation.</t>
  </si>
  <si>
    <t>Kudlu Gate</t>
  </si>
  <si>
    <t>https://drive.google.com/drive/folders/19Q3RZIoCw-1ehQpQ8xLaS8tTDP7w2pRp?usp=sharing</t>
  </si>
  <si>
    <t>Immersion program</t>
  </si>
  <si>
    <t>Outgoing</t>
  </si>
  <si>
    <t xml:space="preserve">Malaysia </t>
  </si>
  <si>
    <t>Limkokwing University</t>
  </si>
  <si>
    <t>Introduction to Limkokwing University of Creative Technology(LUCT): Limkokwing University of Creative Technology, located in Cyberjaya, Malaysia, is a global leader in innovative education, fostering creativity, entrepreneurship, and cultural diversity. Through dynamic programs and state-of-the-art facilities, we empower students to thrive in today's interconnected world. Our collaborations with esteemed institutions like Partner Institute provide unique opportunities for students to engage in cross-cultural exchanges and immersive learning experiences, enhancing their global perspective and academic journey.</t>
  </si>
  <si>
    <t>SCMS-UG</t>
  </si>
  <si>
    <t>https://drive.google.com/open?id=1mnW-DP6jHacAuptkkVU6y7vzZ-qVP9xF</t>
  </si>
  <si>
    <t>University of Wollongong, Malaysia</t>
  </si>
  <si>
    <t>Dear Ms. Supriya,  Greetings from UnTechEd!  I am pleased to inform you that we have received the enrollments of two students from Dayananda Sagar University for the Law Immersion Student Mobility Program at the University of Wollongong, Malaysia, scheduled from November 10–19, 2024.  Below are the details of the enrolled students:  Dhanush K Program: BBA LLB Hon’s Email: silverdhanush800@gmail.com Contact: +91 9513871084  Keerthik L Program: BBA LLB Hon’s Email: keerthik1601@gmail.com Contact: +91 9597825149  Thank you for your invaluable support in promoting this program within the Law department. We look forward to this being the start of a meaningful collaboration between UnTechEd and Dayananda Sagar University.</t>
  </si>
  <si>
    <t>School of Law</t>
  </si>
  <si>
    <t>https://drive.google.com/open?id=1FnxH9AXY9zsGu883xGIAsBrfj-tYd_SB</t>
  </si>
  <si>
    <t>Incoming</t>
  </si>
  <si>
    <t xml:space="preserve">Australia </t>
  </si>
  <si>
    <t>Curtin Immersion</t>
  </si>
  <si>
    <t>SCMS UG</t>
  </si>
  <si>
    <t>https://drive.google.com/open?id=1pSqcL3GNUop6omX7UeEcnqrQk1pWkNU8</t>
  </si>
  <si>
    <t>UK</t>
  </si>
  <si>
    <t>Staffordshire University</t>
  </si>
  <si>
    <t>550 GBP</t>
  </si>
  <si>
    <t>https://drive.google.com/open?id=1Ns_aCNB4kecnrN60mZlGjScSamrzoZOD</t>
  </si>
  <si>
    <t>USA</t>
  </si>
  <si>
    <t>University of North Carolina Charlotte, Providence Day School, Charlotte High School , C.G. Woodson High Schoo</t>
  </si>
  <si>
    <t>Dear Sir,  We hosted a group of students for a 3-week observership program at CDSIMER from 7th July to 25th July 2025. The participants included both Indian and international students, each at different stages of their academic journey:  • Sapna – 2nd-year undergraduate student at the University of North Carolina, pursuing Pre-Med. • Karishma – Incoming 1st-year undergraduate student at Harvard University, planning to major in Economics &amp; Health. • Chaitanya – US-based student, currently in 2nd year of PUC, following the STEM path. • Rohan – Indian student who has completed 2nd PUC and taken the NEET exam, interested in pursuing Medical School. • Bhavana – Indian student who has completed 2nd PUC and is inclined towards a career in Ayurvedic Medicine.  The students were placed across various departments at CDSIMER to gain exposure to the clinical environment and medical practices. The program concluded successfully on 25th July with a feedback and reflection session.</t>
  </si>
  <si>
    <t>CDSIMER</t>
  </si>
  <si>
    <t>https://drive.google.com/open?id=1KEtrmpuPO5JJUVtUzZqpc12lF4MEWh0X</t>
  </si>
  <si>
    <t>dharshini@dsu.edu.in</t>
  </si>
  <si>
    <t>University Visit</t>
  </si>
  <si>
    <t>Prof Dr. Alex Wilson, Prof Dr. Julie McCandless</t>
  </si>
  <si>
    <t>Queen's University Belfast</t>
  </si>
  <si>
    <t>On 21st November 2025, we had the pleasure of hosting Prof. Dr. Alex Wilson and Prof. Dr. Julie McCandless from Queen’s University Belfast, UK (#199 Qs Ranking) for a guest lecture at the School of Management Studies. The session focused on Global Careers for Business Graduates and offered valuable guidance on developing international career pathways. The professors also introduced their MBA program, sharing details on admission requirements, curriculum structure, career prospects, and student life at Queen’s University Belfast, which was highly informative for our students.
Following the lecture, the professors met with the Dean of the School of Management Studies for a focused discussion on strengthening academic ties between our institutions. The conversation covered several potential areas of collaboration, including student exchange programs, scholar-in-residence opportunities, and short-term immersion programs.</t>
  </si>
  <si>
    <t>School of Management Studies</t>
  </si>
  <si>
    <t>Kudlu gate</t>
  </si>
  <si>
    <t>https://drive.google.com/open?id=1fuzo5ZPatD3ZplYzKuQ0fevjg_BOK2i4</t>
  </si>
  <si>
    <t>sumehabanu@dsu.edu.in</t>
  </si>
  <si>
    <t>Mr. Maxim Skobelev</t>
  </si>
  <si>
    <t>Engineering - ECE</t>
  </si>
  <si>
    <t>-</t>
  </si>
  <si>
    <t>MIET - Russia</t>
  </si>
  <si>
    <t>https://drive.google.com/open?id=1bMPfWG4mDFNCSFkmMHpoinJVr3_NkF86</t>
  </si>
  <si>
    <t>Mr. Vladimir Markov</t>
  </si>
  <si>
    <t>https://drive.google.com/open?id=1QwfzFnzB_33UpB8Ya92aUUvSgxpZCPzP</t>
  </si>
  <si>
    <t xml:space="preserve">Akimov Sergei </t>
  </si>
  <si>
    <t>Engineering - CSE Mtech</t>
  </si>
  <si>
    <t>https://drive.google.com/open?id=1z-V3Ia_4vmBtXBQlpaKMNN5uxsBx1C2_</t>
  </si>
  <si>
    <t>Ometov Alexandr</t>
  </si>
  <si>
    <t>https://drive.google.com/open?id=14xFS9dPGDz2RsrkFBlk76GLkgqf6gruj</t>
  </si>
  <si>
    <t>Salkov Iurii</t>
  </si>
  <si>
    <t>https://drive.google.com/open?id=16fP2qxYLyrpK4NJDgEnLaDu49WlGdfFa</t>
  </si>
  <si>
    <t>Voronin Dmitrii</t>
  </si>
  <si>
    <t>Engineering - Btech AI&amp;Robotics</t>
  </si>
  <si>
    <t>MIET, Russia</t>
  </si>
  <si>
    <t>https://drive.google.com/open?id=19cTkVS16s1pE7uku40vc19eO_26Bgvq-</t>
  </si>
  <si>
    <t>Ulukhanov Andrey</t>
  </si>
  <si>
    <t>Btech AI&amp;Robotics</t>
  </si>
  <si>
    <t>https://drive.google.com/open?id=1dzn8pDm2Ni5IvNqz8hNHW0DlG1E71cb-</t>
  </si>
  <si>
    <t>Mr. Anuj Dwivedi</t>
  </si>
  <si>
    <t xml:space="preserve">Btech CS(AI &amp; ML) </t>
  </si>
  <si>
    <t>ENG21AM0011</t>
  </si>
  <si>
    <t>Lethourneau University - Texas</t>
  </si>
  <si>
    <t>https://drive.google.com/open?id=1yL08T8QHrb8jzn4McKwh1zr69xqC8Xe7</t>
  </si>
  <si>
    <t>Ms. Hasini Chowdary</t>
  </si>
  <si>
    <t>Btech CS(AI &amp; ML) - 3rd sem</t>
  </si>
  <si>
    <t>ENG22AM0176</t>
  </si>
  <si>
    <t>https://drive.google.com/open?id=1jT3pv_cwOCYX9wlPDu3leMrBVJMlLEbP</t>
  </si>
  <si>
    <t>Mr. Kailash Patel</t>
  </si>
  <si>
    <t>B.Tech Mechanical Engineering</t>
  </si>
  <si>
    <t>ENG21ME0007</t>
  </si>
  <si>
    <t>EAH Jena University, Germany</t>
  </si>
  <si>
    <t>https://drive.google.com/open?id=1RyIkhyKIiL3DAsuJTGCEvve9rdwb36NN</t>
  </si>
  <si>
    <t xml:space="preserve">Ms. Aaradhya </t>
  </si>
  <si>
    <t>BBA Regular</t>
  </si>
  <si>
    <t>CMS22BB0001</t>
  </si>
  <si>
    <t>University of Stafforshire, UK</t>
  </si>
  <si>
    <t>https://drive.google.com/open?id=1N6eJfCwwt-JdNQPp5JPIHqxv4Kf1eUr2</t>
  </si>
  <si>
    <t>CMS22BB0076</t>
  </si>
  <si>
    <t>https://drive.google.com/open?id=1ZWuxe7CshNvt7D2dIq4Ge061tdxwObLW</t>
  </si>
  <si>
    <t>chris.sangma@dsu.edu.in</t>
  </si>
  <si>
    <t>Illinois Tech</t>
  </si>
  <si>
    <t>Enginerring</t>
  </si>
  <si>
    <t>Dr. Mariamma</t>
  </si>
  <si>
    <t>mthomas29@iit.edu</t>
  </si>
  <si>
    <t>MoU</t>
  </si>
  <si>
    <t xml:space="preserve">2 years </t>
  </si>
  <si>
    <t>Active</t>
  </si>
  <si>
    <t>https://drive.google.com/open?id=1C5C3EQ-6pumrBp_q66BiZWwSoUFS2lAL</t>
  </si>
  <si>
    <t>University of Evansville</t>
  </si>
  <si>
    <t>Engineering</t>
  </si>
  <si>
    <t>Suresh Immanuel</t>
  </si>
  <si>
    <t>ss476@evansville.edu</t>
  </si>
  <si>
    <t xml:space="preserve">3 years </t>
  </si>
  <si>
    <t>https://drive.google.com/open?id=1wdej1MOJt0_HvwOElyLAwLBW9dopLl8G</t>
  </si>
  <si>
    <t>University at Buffalo</t>
  </si>
  <si>
    <t>In Process</t>
  </si>
  <si>
    <t xml:space="preserve"> Abhyuday Pai </t>
  </si>
  <si>
    <t>apai3@buffalo.edu</t>
  </si>
  <si>
    <t xml:space="preserve">Not specified </t>
  </si>
  <si>
    <t>Expiring Soon</t>
  </si>
  <si>
    <t>https://drive.google.com/open?id=1nMO3Vv6tYZTCaYnj_EgHsc1RAhBtrVlq</t>
  </si>
  <si>
    <t>The University of Central Oklahoma</t>
  </si>
  <si>
    <t>Design</t>
  </si>
  <si>
    <t>G A Prasad</t>
  </si>
  <si>
    <t>gprasad@uco.edu</t>
  </si>
  <si>
    <t>5 years</t>
  </si>
  <si>
    <t>https://drive.google.com/open?id=1UoiVd2hSCcxWmSmjbe40ROALgWKkbVT3</t>
  </si>
  <si>
    <t>Aurora University</t>
  </si>
  <si>
    <t>Harish</t>
  </si>
  <si>
    <t>mailto:harish@campususaedu.com</t>
  </si>
  <si>
    <t>https://drive.google.com/open?id=1aVzH6vGUvWmnFOBWHchZ6QLpUeWST6oS</t>
  </si>
  <si>
    <t>WORCESTER POLYTECHNIC INSTITUTE</t>
  </si>
  <si>
    <t>Kumar Panyam</t>
  </si>
  <si>
    <t>skumar4@wpi.edu</t>
  </si>
  <si>
    <t>https://drive.google.com/open?id=1qBs4nrKLVpPwZlqwOYh3M0gCzZ19nzqS</t>
  </si>
  <si>
    <t>Western Connecticut State University</t>
  </si>
  <si>
    <t>Manohar Singh</t>
  </si>
  <si>
    <t>singhm@wcsu.edu</t>
  </si>
  <si>
    <t>1 year</t>
  </si>
  <si>
    <t>https://drive.google.com/open?id=1DVhR1kSPh645DkN7fy8PRkiBFG_TrtIZ</t>
  </si>
  <si>
    <t>New York University</t>
  </si>
  <si>
    <t>Business</t>
  </si>
  <si>
    <t>Larry Fillian</t>
  </si>
  <si>
    <t>Larry.fillian@nyu.edu</t>
  </si>
  <si>
    <t>https://drive.google.com/open?id=1V4dacW9mwODxbw4bFjd5xwuh4sIRpyrA</t>
  </si>
  <si>
    <t>Vermont Law School</t>
  </si>
  <si>
    <t>Law</t>
  </si>
  <si>
    <t>Ms. Marnie</t>
  </si>
  <si>
    <t>https://drive.google.com/open?id=1GCWsaV5zmPjKwnRp05iCbchQWiExTNIN</t>
  </si>
  <si>
    <t>mavilaalvarez@vermontlaw.edu</t>
  </si>
  <si>
    <t>https://drive.google.com/open?id=1qAkPUt5XLPHkQXDxomSDBqAk2Y5maUig</t>
  </si>
  <si>
    <t>Southern Connecticut State University</t>
  </si>
  <si>
    <t>Suresh Venu Gopal</t>
  </si>
  <si>
    <t>gantasalav1@southernct.edu</t>
  </si>
  <si>
    <t>https://drive.google.com/open?id=1zer8o4GFIQXCksszInXRIcX9tz3_YEE8</t>
  </si>
  <si>
    <t xml:space="preserve">Dr. Manohar Singh, President, westernConnecticut state University, US
</t>
  </si>
  <si>
    <t>Western Connecticut State University, US</t>
  </si>
  <si>
    <t xml:space="preserve">Collaboration discussion with Dr. Premachandra Sagar, Dr. Amit Bhatt, Ms. Supriya Mathew
</t>
  </si>
  <si>
    <t>DSU</t>
  </si>
  <si>
    <t>Harohalli</t>
  </si>
  <si>
    <t>https://drive.google.com/open?id=18m0WXCwVkhNWUnHs_eqUMxNhpln-Qirl</t>
  </si>
  <si>
    <t>ACU- The Association of Commonwealth Universities</t>
  </si>
  <si>
    <t>https://www.acu.ac.uk/about-us/work-with-us/</t>
  </si>
  <si>
    <t>https://drive.google.com/open?id=1wwk5OStg4wgWB_KwJJZon3ojWgG6QoWt</t>
  </si>
  <si>
    <t>Karnataka State Higher Education Council</t>
  </si>
  <si>
    <t>https://kshec.karnataka.gov.in/2/contact-us/en</t>
  </si>
  <si>
    <t>India</t>
  </si>
  <si>
    <t>https://drive.google.com/open?id=1VWArJYN9Co9RSZZ9AOw6UhlB245f04Fh</t>
  </si>
  <si>
    <t>THE UNIVERSITY OF WOLVERHAMPTON</t>
  </si>
  <si>
    <t xml:space="preserve"> suresh renukappa</t>
  </si>
  <si>
    <t>Suresh.Renukappa@wlv.ac.uk</t>
  </si>
  <si>
    <t>https://drive.google.com/open?id=1fXewwbZQzf_ERyMYz7_q3ruCe4LPBWfU</t>
  </si>
  <si>
    <t>The University of Worcester</t>
  </si>
  <si>
    <t>Nick Slade</t>
  </si>
  <si>
    <t>n.slade@worc.ac.uk</t>
  </si>
  <si>
    <t>3 years</t>
  </si>
  <si>
    <t>https://drive.google.com/open?id=1_-3IlJ8O1puzE4-y3J78t78G5BJqvU90</t>
  </si>
  <si>
    <t xml:space="preserve">Mr. Anuj Bhasin, Canadian Embassy
</t>
  </si>
  <si>
    <t>Canada</t>
  </si>
  <si>
    <t>Canadian Embassy</t>
  </si>
  <si>
    <t>Meeting with Ms. Supriya Mathew, Vice President, International Affairs</t>
  </si>
  <si>
    <t>https://drive.google.com/open?id=1K0gP0N9Z6FrUdyBzuYowEwQXEk6UFrrm</t>
  </si>
  <si>
    <t>Ukraine</t>
  </si>
  <si>
    <t>Nizhyn Mykola Gogol University</t>
  </si>
  <si>
    <t>Yevhen Plotnikov</t>
  </si>
  <si>
    <t>plotnikov@ndu.edu.ua</t>
  </si>
  <si>
    <t xml:space="preserve">5 years </t>
  </si>
  <si>
    <t>https://drive.google.com/open?id=12ysl-8ePoGYdWy4FjNDk6Y9s7wiyiLuX</t>
  </si>
  <si>
    <t>Study in India</t>
  </si>
  <si>
    <t>The Study in India Membership is a national initiative designed to promote India as a preferred global education destination and to strengthen partnerships with higher education institutions worldwide. Through this membership, universities gain access to a wide network of international students, streamlined admission support, and enhanced global visibility.
The program facilitates collaboration, student recruitment, and academic exchange by showcasing the strengths of Indian higher education—ranging from diverse academic offerings and world-class faculty to an affordable and quality-driven learning environment. Member institutions benefit from centralized promotional activities, participation in international education fairs, digital campaigns, and inclusion on the official Study in India platform.</t>
  </si>
  <si>
    <t>https://drive.google.com/open?id=1LEfwhxGz_coycwET540_qvHhT9p-xYpk</t>
  </si>
  <si>
    <t xml:space="preserve">1 year </t>
  </si>
  <si>
    <t>https://drive.google.com/open?id=1vvvHHZh8Uf0kFOOwun_tO2wgFcMkdfO4</t>
  </si>
  <si>
    <t xml:space="preserve"> International Association of Law Schools – IALS</t>
  </si>
  <si>
    <t>The International Association of Law Schools (IALS) is a global consortium of law schools and legal education institutions dedicated to improving legal education worldwide. It provides a collaborative platform for member institutions to share best practices, strengthen academic standards, and promote innovation in legal teaching, research, and community engagement.</t>
  </si>
  <si>
    <t>https://drive.google.com/open?id=1mV-txk2P5WpmBIwT-kst122xiEM6Ra7L</t>
  </si>
  <si>
    <t>BUKOVINIAN STATE MEDICAL UNIVERSITY, CHERNIVTSI</t>
  </si>
  <si>
    <t>Medical</t>
  </si>
  <si>
    <t>Mariana Haidai</t>
  </si>
  <si>
    <t>office@bsmu.edu.ua</t>
  </si>
  <si>
    <t>https://drive.google.com/open?id=1Ndk8jLyrhiOt9f54DyJYNg6kP7aOuBVo</t>
  </si>
  <si>
    <t>Hryhori Skovoroda University in Pereiaslav</t>
  </si>
  <si>
    <t>Oksana Kovtun</t>
  </si>
  <si>
    <t>kovtunok@ukr.net</t>
  </si>
  <si>
    <t>https://drive.google.com/open?id=1fGnRvlYuCSuJQCrk6jo6s86irfz2Xk4o</t>
  </si>
  <si>
    <t>Dmytro Motornyi Tavria State Agrotechnological University</t>
  </si>
  <si>
    <t>Darya Legeza</t>
  </si>
  <si>
    <t>vmz@tsatu.edu.ua</t>
  </si>
  <si>
    <t>https://drive.google.com/open?id=1gCa0W3QNmvF7flRsjjUnjGekTemAtK7J</t>
  </si>
  <si>
    <t xml:space="preserve">Dr. Matthias, Dr. Gerald </t>
  </si>
  <si>
    <t>Germany</t>
  </si>
  <si>
    <t>Hoschule Hof, Germany</t>
  </si>
  <si>
    <t>Collaboration discussion with the school of Nursing</t>
  </si>
  <si>
    <t>School of Health Sciences</t>
  </si>
  <si>
    <t>https://drive.google.com/open?id=1Z58Cl_sxM9ouTWUEnzRMeDXmTyA3PyUw</t>
  </si>
  <si>
    <t>Dniprovsky State Technical University</t>
  </si>
  <si>
    <t>Olena hlushchenko</t>
  </si>
  <si>
    <t>dstu.cdp@gmail.com</t>
  </si>
  <si>
    <t>https://drive.google.com/open?id=1q-wFjGgoc2I5JNQ9s6mWCSsFvLgsXS7Y</t>
  </si>
  <si>
    <t>Odessa National Economic University</t>
  </si>
  <si>
    <t>Alex Litvinov</t>
  </si>
  <si>
    <t>litvinov.o@oneu.edu.ua</t>
  </si>
  <si>
    <t>https://drive.google.com/open?id=18GGf5qF6bP7PyjSSWjPGujZDUNEdLRol</t>
  </si>
  <si>
    <t xml:space="preserve">Mr. Charles Cormack, Chairman
</t>
  </si>
  <si>
    <t xml:space="preserve"> Cormack Consultancy, UK</t>
  </si>
  <si>
    <t>Collaboration discussion with Ms. Supriya Mathew, VP, International Affairs</t>
  </si>
  <si>
    <t>International Affairs</t>
  </si>
  <si>
    <t>https://drive.google.com/open?id=1DJSK27q6bm7wVt42qjOH2OmYINEXc9Lu</t>
  </si>
  <si>
    <t>Uganda</t>
  </si>
  <si>
    <t>King Ceasor University</t>
  </si>
  <si>
    <t>Alfred Namoah</t>
  </si>
  <si>
    <t>international@kcu.ac.ug</t>
  </si>
  <si>
    <t>https://drive.google.com/open?id=13IweLQFCNaGoa6kSrrmKEVkV-NUMjfUY</t>
  </si>
  <si>
    <t>SriLanka</t>
  </si>
  <si>
    <t>Amazon College International</t>
  </si>
  <si>
    <t>Engirneering</t>
  </si>
  <si>
    <t>Hanif Barker</t>
  </si>
  <si>
    <t>amz.prog.mgr@gmail.com</t>
  </si>
  <si>
    <t>https://drive.google.com/open?id=1NM7CcJ4OoZcTq7j0uT1-RbBsa-IpW8fS</t>
  </si>
  <si>
    <t>South Korea</t>
  </si>
  <si>
    <t>SANGJI UNIVERSITY, WONJU, REPUBLIC OF KOREA</t>
  </si>
  <si>
    <t>LAW</t>
  </si>
  <si>
    <t>Yeonsoo Jang</t>
  </si>
  <si>
    <t>oosmay@sangji.ac.kr</t>
  </si>
  <si>
    <t>https://drive.google.com/open?id=1UTCvS9PJwGiu4za7IpDJuls4qMkL5uaQ</t>
  </si>
  <si>
    <t>South Africa</t>
  </si>
  <si>
    <t>Mangosuthu University of Technology MUT</t>
  </si>
  <si>
    <t>Ms Mbali Mkhize</t>
  </si>
  <si>
    <t>mbali@mut.ac.za</t>
  </si>
  <si>
    <t>https://drive.google.com/open?id=151lfcpAoiFlnUMuLahNr4Pik5Unm4F86</t>
  </si>
  <si>
    <t>Dr. Dan Heimmermann,Chancellor</t>
  </si>
  <si>
    <t>University of South Carolina Aiken, USA</t>
  </si>
  <si>
    <t xml:space="preserve">Dayananda Sagar University, International Affairs Department organized an event “Welcome - Meet and Greet and Partnership Program” on March 23, 2023. The program started with a welcome dance organised by Ms. Shyamantha Surya Prakash and Team, followed by Meet and Greet.
Welcome with Dr. Dan Heimmermann and Mr. Ani Agnihotri
The program then followed with a welcome address by Dr. Amit Bhatt, Pro Vice Chancellor, DSU. The dignitaries on the Dias were Dr. Dan Heimmermann, Chancellor, University of South Carolina Aiken, USA, Mr. Ani Agnihotri, Co-Founder and CEO at Marshall Automation America, Inc, Dr. K N Balasubrmanya Murthy, Vice Chancellor, DSU, Dr. Puttamadappa C, Registrar, DSU, Ms. Supriya Mathew, Vice president of International affairs &amp; Admissions DSU, Dr. Uday Kumar Reddy, Dean SoE, CSE, Dr.Girisha G S, Chairperson, CSE, Dr. Pramod Naik, Associate Prof, CSE, Dr. M K Banga, Dean, CSE, Dr. Basavaraj N Hiremath, Prof, DSU, Dr. Niranjan Appaswamy, Associate Prof, DSU, Dr. Shaila S.G, Chairperson, DS, DSU , Dr. M Shahina Parveen, Chairperson, CST, DSU.
</t>
  </si>
  <si>
    <t>https://drive.google.com/open?id=1Tku65075BPt66QbeZjYqPRyK1YbveU22</t>
  </si>
  <si>
    <t xml:space="preserve">Dr. Prof. Uta M Feaser, President and Dr. Klaus Lang  
</t>
  </si>
  <si>
    <t xml:space="preserve"> Germany</t>
  </si>
  <si>
    <t>Neu - Ulm - University</t>
  </si>
  <si>
    <t>President visit, and collaboration discussion</t>
  </si>
  <si>
    <t>DSU International Affairs</t>
  </si>
  <si>
    <t>https://drive.google.com/open?id=1gpOPvP6jTZJWG7X5mMw-s_kiKzXr615q</t>
  </si>
  <si>
    <t>https://drive.google.com/open?id=1SLcVgIxUnSB-qvSEkTETxU1-1Oms4GI7</t>
  </si>
  <si>
    <t>international-collaborations@dsu.edu.in</t>
  </si>
  <si>
    <t>University College london UCL</t>
  </si>
  <si>
    <t>UCL University College London</t>
  </si>
  <si>
    <t>Pre - Med Students visit to CDSIMER</t>
  </si>
  <si>
    <t>Singapore</t>
  </si>
  <si>
    <t>TUM Asia Pte Ltd</t>
  </si>
  <si>
    <t>Lenny Christina</t>
  </si>
  <si>
    <t>lenny.christina@tum-asia.edu.sg</t>
  </si>
  <si>
    <t>https://drive.google.com/open?id=14Gov6naupJHxryHO1Fl3SVr43MUxLHrJ</t>
  </si>
  <si>
    <t xml:space="preserve">Mr. Sudhirji from Catel contracts International, Education counsellors
</t>
  </si>
  <si>
    <t>Catel contracts International, Education counsellors</t>
  </si>
  <si>
    <t>Collaboration discussion</t>
  </si>
  <si>
    <t>Rwanda</t>
  </si>
  <si>
    <t>University of Lay Adventists of Kigali (UNILAK)</t>
  </si>
  <si>
    <t>Engineering and Business Management</t>
  </si>
  <si>
    <t>Jeaan Ngamije</t>
  </si>
  <si>
    <t>vc@unilak.ac.rw</t>
  </si>
  <si>
    <t>https://drive.google.com/open?id=1qtgtu-gG1J1kbqLux6_MR4g0vTMxd6cl</t>
  </si>
  <si>
    <t xml:space="preserve">Dr.Manivanan , Vice chancellor, Limkokwing University, Malaysia
</t>
  </si>
  <si>
    <t xml:space="preserve"> Malaysia</t>
  </si>
  <si>
    <t>Limkokwing University, Malaysia</t>
  </si>
  <si>
    <t xml:space="preserve">Collaboration discussion </t>
  </si>
  <si>
    <t>https://drive.google.com/open?id=1rxnsYWAecAjjM6AILuH8gwJ-vyw3BUp1</t>
  </si>
  <si>
    <t>Dr. Aleksandr Balashov, Attache &amp; Dr. Natalya Kartushina, professor</t>
  </si>
  <si>
    <t>MIET , RUSSIA</t>
  </si>
  <si>
    <t xml:space="preserve">Dayananda Sagar University, International Affairs Department organized a Meeting on April 19th, 2023 in Board room with National Research University of Electronic Technology.
Meeting with Dr. Aleksandr Balashov and Dr. Natalya Kartushina
The meeting started with a welcome address by Ms. Supriya Mathew, Vice president of International affairs &amp; Admissions DSU. The dignitaries on the Dias were Dr. K N Balasubrmanya Murthy, Vice Chancellor, DSU, Dr. Amit Bhatt, Pro Vice Chancellor, DSU Dr. Uday Kumar Reddy, Dean SoE, CSE, Dr.Kiran B Malagi, Chairman, Data Science AI &amp; Image, Dr. M. K. Banga, Dean, Research and Dr. Sampatrao L Pinjare , Prof, NMIT.
Introduction on MIET by Dr. Aleksandr Balashov and Dr. Natalya Kartushina, wonderfully explained International Study Opportunities at Russia, all the programs available, the importance of Collaboration between Universities, scholarships for DSU students.
</t>
  </si>
  <si>
    <t>https://drive.google.com/open?id=1lYDtn8FWZVvAaWq_7CT-OOumCCGmVbvI</t>
  </si>
  <si>
    <t>Russia</t>
  </si>
  <si>
    <t>Volgograd State Medical University</t>
  </si>
  <si>
    <t>Larisa Tavkin</t>
  </si>
  <si>
    <t>oms@volsu.ru</t>
  </si>
  <si>
    <t>https://drive.google.com/open?id=1DBNqO3O7Jt29oIbV74Vtx6YbdqBjfyqc</t>
  </si>
  <si>
    <t>Prof. Andreas Doleschel &amp; Prof. Peter Zentgraf</t>
  </si>
  <si>
    <t>Rosenhiem University</t>
  </si>
  <si>
    <t>Collaboration Discussion</t>
  </si>
  <si>
    <t xml:space="preserve">Russia </t>
  </si>
  <si>
    <t>https://drive.google.com/open?id=1pg72k54Gkp7OByHnkzdeGoWmOwBoiO8i</t>
  </si>
  <si>
    <t>Seminar</t>
  </si>
  <si>
    <t>Dr. Maria, Prof. University of Reading</t>
  </si>
  <si>
    <t>England</t>
  </si>
  <si>
    <t>University of Reading</t>
  </si>
  <si>
    <t>Guest lecture to SBAS Students</t>
  </si>
  <si>
    <t>SBAS</t>
  </si>
  <si>
    <t>https://drive.google.com/open?id=1yMCWFo8vgAjyUa9B3qN7uAT_WGR94bYh</t>
  </si>
  <si>
    <t xml:space="preserve">Ms. Amy Parson, President Colorado State University, deleagtes from Colorado State University, USA
</t>
  </si>
  <si>
    <t>Colorado State University, USA</t>
  </si>
  <si>
    <t>President Visit and collaboration discussion</t>
  </si>
  <si>
    <t>https://drive.google.com/open?id=10WytXVD_ZS4R8ff-rqDxsTSs4Rudyz2K</t>
  </si>
  <si>
    <t>St. Petersburg University</t>
  </si>
  <si>
    <t>Business Management</t>
  </si>
  <si>
    <t>Ms.Elena Vasileva</t>
  </si>
  <si>
    <t>e.l.vasilyeva@spbu.ru</t>
  </si>
  <si>
    <t>https://drive.google.com/open?id=1a_BSJcPZrFHGmZv5BUw_YrdPdgF6KuPT</t>
  </si>
  <si>
    <t xml:space="preserve">Prof. Clemens, HWR Berlin School of Economics &amp; Prof. Morvin, 
HWR Berlin School of Economics
</t>
  </si>
  <si>
    <t>HWR Berlin School of Economics</t>
  </si>
  <si>
    <t xml:space="preserve">Mr. Dan Rolfe
</t>
  </si>
  <si>
    <t>NorthEastern University</t>
  </si>
  <si>
    <t>MIET, Moscow</t>
  </si>
  <si>
    <t>Natalya Kartushina</t>
  </si>
  <si>
    <t xml:space="preserve">academic.relations@int-miet.ru </t>
  </si>
  <si>
    <t>https://drive.google.com/open?id=1fBOnwP3m5npEOZoZ6uDl6mywn-y6S8xv</t>
  </si>
  <si>
    <t xml:space="preserve"> Lithuania </t>
  </si>
  <si>
    <t>Marijampole University of Applied Sciences</t>
  </si>
  <si>
    <t>Business Mangement</t>
  </si>
  <si>
    <t xml:space="preserve">Odeta Gluoksnytė </t>
  </si>
  <si>
    <t>ode.gluo@mkolegija.lt</t>
  </si>
  <si>
    <t>https://drive.google.com/open?id=1GwHWtpgX7je3zBMzwInlSXbKmzPkRE5Z</t>
  </si>
  <si>
    <t>https://drive.google.com/open?id=1YJ5TWe7ItwYlEjPjj21GDzF3XFxlj55u</t>
  </si>
  <si>
    <t xml:space="preserve">Marijampole University of Applied Sciences </t>
  </si>
  <si>
    <t>https://drive.google.com/open?id=1etBLi9vio9EiQ509BIBUQXnSXG3eAKKe</t>
  </si>
  <si>
    <t xml:space="preserve">Dr. Clemens, Prof. Hannes, Prof at School of Law
</t>
  </si>
  <si>
    <t>HWR Berlin University</t>
  </si>
  <si>
    <t>Southern Federal University</t>
  </si>
  <si>
    <t>Nadia Klyuchko</t>
  </si>
  <si>
    <t>https://drive.google.com/open?id=1iztkVlKOvWQjECdm1__ihRJP3uDJ52II</t>
  </si>
  <si>
    <t>SAMARA NATIONAL RESEARCH UNIVERSITY</t>
  </si>
  <si>
    <t>Viktoriya Bolgova</t>
  </si>
  <si>
    <t>intdep@ssau.ru</t>
  </si>
  <si>
    <t>https://drive.google.com/open?id=1u9g7hvmbFYrDzslFA_OfqAX9U1Xp9LSa</t>
  </si>
  <si>
    <t xml:space="preserve">Ms. Samudra Kugel
</t>
  </si>
  <si>
    <t>United States</t>
  </si>
  <si>
    <t>University of California Davis</t>
  </si>
  <si>
    <t>https://drive.google.com/open?id=1Z18clV_oc8vunHfVu4R35f19HOgAKaPC</t>
  </si>
  <si>
    <t>Philippines</t>
  </si>
  <si>
    <t>Visayas State University</t>
  </si>
  <si>
    <t>Management / engineering</t>
  </si>
  <si>
    <t>Hanzel Mejia</t>
  </si>
  <si>
    <t>hanzel.mejia@vsu.edu.ph</t>
  </si>
  <si>
    <t>https://drive.google.com/open?id=1hWsjclL-lN4n9sgFNu8TbBZ7L0ojEINO</t>
  </si>
  <si>
    <t>New Zealand</t>
  </si>
  <si>
    <t>Nelson Marlborough Institute of Technology (NMIT)</t>
  </si>
  <si>
    <t>Will Tregidga</t>
  </si>
  <si>
    <t>Will.Tregidga@nmit.ac.nz</t>
  </si>
  <si>
    <t>https://drive.google.com/open?id=1faPRWbfkzbmMheATcRELmkrDkmL26FkX</t>
  </si>
  <si>
    <t>Whitireia and WelTec</t>
  </si>
  <si>
    <t>Prof. Bryan</t>
  </si>
  <si>
    <t>bryan.read@wandw.ac.nz</t>
  </si>
  <si>
    <t>https://drive.google.com/open?id=1jJ11gMSF69NT2LOOK0Xa-u4QtjfdfgOo</t>
  </si>
  <si>
    <t>INTI International University</t>
  </si>
  <si>
    <t>Dr. Kumeresan</t>
  </si>
  <si>
    <t>kumar.krishnasamy@newinti.edu.my</t>
  </si>
  <si>
    <t>https://drive.google.com/open?id=1YAbaDNqxm7ExKi54J1nOEsItPYRBk3qM</t>
  </si>
  <si>
    <t>Malayasia</t>
  </si>
  <si>
    <t>Relaince College</t>
  </si>
  <si>
    <t>Ms. Jagdeep</t>
  </si>
  <si>
    <t>jagdeepkaur.p@bac.edu.my</t>
  </si>
  <si>
    <t>https://drive.google.com/open?id=1kMvBTRge1OrIbcAlMvPWmtk0CRbburR5</t>
  </si>
  <si>
    <t>University of Cyberjaya</t>
  </si>
  <si>
    <t>ZABIDI HUSSIN</t>
  </si>
  <si>
    <t>zabidihussin@cyberjaya.edu.my</t>
  </si>
  <si>
    <t>https://drive.google.com/open?id=1Y21N0IAP_EzQ4uviMpy6QPDziSgC5uSc</t>
  </si>
  <si>
    <t>Multimedia University (MMU)</t>
  </si>
  <si>
    <t>Abdul Aziz Ahmad</t>
  </si>
  <si>
    <t>aziz.ahmad@mmu.edu.my</t>
  </si>
  <si>
    <t>https://drive.google.com/open?id=1igA5cQnytUCuhO9V1z7-98Sn3fVGrESO</t>
  </si>
  <si>
    <t xml:space="preserve">Latvia </t>
  </si>
  <si>
    <t>Baltic International Academy</t>
  </si>
  <si>
    <t>Inta Buka</t>
  </si>
  <si>
    <t>inta.buka@bsa.edu.lv</t>
  </si>
  <si>
    <t>Indefinite term</t>
  </si>
  <si>
    <t>https://drive.google.com/open?id=1-VCMROxXxElA90pkD6MdGFauIWgzGrs4</t>
  </si>
  <si>
    <t>University of South Carolina Aiken</t>
  </si>
  <si>
    <t>Ani Agnihotri/ Dr. Daniel Heimmermann</t>
  </si>
  <si>
    <t>ani@usaindiabusinesssummit.com, Daniel.Heimmermann@usca.edu</t>
  </si>
  <si>
    <t xml:space="preserve">1 Year </t>
  </si>
  <si>
    <t>Expired</t>
  </si>
  <si>
    <t>https://drive.google.com/open?id=1VjshEBrfhLuVPoDpTZISvC6Pa3wo1duI</t>
  </si>
  <si>
    <t>The University of Wisconsin–Madison, USA</t>
  </si>
  <si>
    <t xml:space="preserve">CALYN M OSTROWSKI </t>
  </si>
  <si>
    <t>calyn.ostrowski@wisc.edu</t>
  </si>
  <si>
    <t>No date mentioned</t>
  </si>
  <si>
    <t>https://drive.google.com/open?id=1TyxaDr_9VahH1YleK1ER2SvtGLnJEOn8</t>
  </si>
  <si>
    <t>krishnakanth@dsu.edu.in</t>
  </si>
  <si>
    <t>Telegraph India(Edugraph)</t>
  </si>
  <si>
    <t>https://www.telegraphindia.com/edugraph/campus/dayananda-sagar-university-celebrates-academic-excellence-at-convocation-with-over-2500-graduates/cid/2131581#goog_rewarded</t>
  </si>
  <si>
    <t>DSU’s 9th Convocation Highlights Innovation, Global Vision and Student Success</t>
  </si>
  <si>
    <t>Zero</t>
  </si>
  <si>
    <t>Dayananda Sagar University (DSU) celebrated a landmark moment as it hosted its 9th Annual Convocation Ceremony.
The event was a vibrant reflection of DSU’s mission to foster academic excellence, innovation, and holistic growth.</t>
  </si>
  <si>
    <t>https://drive.google.com/open?id=16MYaO138Gk-BlmX6q611Aa8McImWXZYp</t>
  </si>
  <si>
    <t>The Print</t>
  </si>
  <si>
    <t>https://theprint.in/ani-press-releases/palace-of-vision-step-inside-dayananda-sagar-university-open-house-2025/2712638/</t>
  </si>
  <si>
    <t>Open House 2025</t>
  </si>
  <si>
    <t>Article says: "The DSU Open House showcased the university’s legacy, innovation, and global outlook. Leaders highlighted AI’s growing role in education, while panelists emphasized community empowerment and future-ready learning. Students explored smart classrooms and labs, experiencing a vibrant, inclusive campus. The event reflected DSU’s commitment to meaningful education and inspiring futures."</t>
  </si>
  <si>
    <t>https://drive.google.com/open?id=1pdi9mN2RiF5GaU8t4yif34BCViovTaqt</t>
  </si>
  <si>
    <t>ED Times</t>
  </si>
  <si>
    <t>https://edtimes.in/dream-big-travel-far-dayananda-sagar-university-opens-doors-to-the-world-for-every-student/</t>
  </si>
  <si>
    <t>Student Semester Echange</t>
  </si>
  <si>
    <t>DSU’s Student Exchange Program enables students to study abroad for a semester with 100% tuition waiver through global university partnerships. It makes international learning accessible, builds cultural exposure, transfers full academic credits, and expands student horizons. Supported by the International Affairs Office, it also helps guide postgraduate opportunities through the Master’s Desk initiative.</t>
  </si>
  <si>
    <t>https://drive.google.com/open?id=1qbL8pInXNBnCAxBDV_mwrK0feRAFEj8y</t>
  </si>
  <si>
    <t>ANI press Release Wire</t>
  </si>
  <si>
    <t>DSU Open House 2025</t>
  </si>
  <si>
    <t>https://drive.google.com/open?id=1ePmf87uMnPgJXHWbSFV19T77VUZ3T9tN</t>
  </si>
  <si>
    <t>The Tribune</t>
  </si>
  <si>
    <t>https://www.tribuneindia.com/partner-exclusives/dayananda-sagar-university-a-global-education-destination-with-heartfelt-experiences-from-international-students/</t>
  </si>
  <si>
    <t>Dayananda Sagar University: A Global Education Destination with Heartfelt Experiences from International Students</t>
  </si>
  <si>
    <t>Dayananda Sagar University (DSU) is emerging as a top global education destination, attracting international students from countries like Madagascar, Sudan, and Qatar. Students praise its safe, welcoming campus, holistic learning, vibrant student life, and strong academic support. DSU blends world-class education with Indian hospitality, helping students grow personally and professionally.</t>
  </si>
  <si>
    <t>https://drive.google.com/open?id=1wanswy4tCzClbsvEQlKGigOQBhmOboPB</t>
  </si>
  <si>
    <t xml:space="preserve">Prof. Dr. Martin Göbl, Vice Dean, Kempten University, Germany
</t>
  </si>
  <si>
    <t xml:space="preserve"> Kempten University, Germany</t>
  </si>
  <si>
    <t>Collaboration</t>
  </si>
  <si>
    <t>https://drive.google.com/open?id=1_Usjpd9LHw5kIWR2tU4GXO6C64u33FMl</t>
  </si>
  <si>
    <t xml:space="preserve">Prof. Jonathan, Staffordshire University
</t>
  </si>
  <si>
    <t>University visit &amp; Seminar to SCMS Students</t>
  </si>
  <si>
    <t>International Affairs &amp; SCMS</t>
  </si>
  <si>
    <t>https://drive.google.com/open?id=1aGGTZC0Twr8fzckMEvIaFAX-0bQo05gi</t>
  </si>
  <si>
    <t>The Print (ANI Wire)</t>
  </si>
  <si>
    <t>https://theprint.in/ani-press-releases/tedx-dayananda-sagar-university-a-symphony-of-ideas-and-inspiration-unfolds-on-stage/2618154/</t>
  </si>
  <si>
    <t>TedX Season 1</t>
  </si>
  <si>
    <t>TEDxDSU 2025 brought together global leaders and innovators who shared powerful stories of authenticity, resilience, optimism, innovation, and lifelong learning. Speakers from diplomacy, technology, public service, and corporate leadership inspired students through personal journeys, data-driven insights, and motivational frameworks—igniting hope and encouraging the audience to dream boldly and act courageously.</t>
  </si>
  <si>
    <t>https://drive.google.com/open?id=1BaWA87bdUvxSysmjZjtSSkJ3lT76Xplp</t>
  </si>
  <si>
    <t xml:space="preserve">Prof. Boris Kramer, Maastricht University, Netherlands
</t>
  </si>
  <si>
    <t>Netherlands</t>
  </si>
  <si>
    <t>Maastricht University, Netherlands</t>
  </si>
  <si>
    <t xml:space="preserve">Dr. Alexandar and Ms. Natalya from MIET
</t>
  </si>
  <si>
    <t>MIET</t>
  </si>
  <si>
    <t>Campus visit</t>
  </si>
  <si>
    <t>https://drive.google.com/open?id=1-G7jY_yc4Msa4wmmJb5L9qkYQCvxEvEM</t>
  </si>
  <si>
    <t xml:space="preserve">Dr. Mohinder Duggal, Prof WCSU, USA
</t>
  </si>
  <si>
    <t>WesternConnecticut State University</t>
  </si>
  <si>
    <t>Campus visit &amp; Seminar to SCMS students</t>
  </si>
  <si>
    <t>SCMS - UG</t>
  </si>
  <si>
    <t>https://drive.google.com/open?id=1c3MZNXOQBAnCPdTNn4NcNVrKHq5nMJma</t>
  </si>
  <si>
    <t xml:space="preserve">Ms. Shruthi Srinivasan, JCU
</t>
  </si>
  <si>
    <t>Australia</t>
  </si>
  <si>
    <t>James Cook University</t>
  </si>
  <si>
    <t>Seminar to BBA students</t>
  </si>
  <si>
    <t>https://drive.google.com/open?id=1w_tbhtUl70yDUTIYMez8vJr_srfmc7NY</t>
  </si>
  <si>
    <t xml:space="preserve">Mr. Arvind Sivamani, Manager from Education USA Chennai
</t>
  </si>
  <si>
    <t>Education USA Chennai</t>
  </si>
  <si>
    <t>Seminar to BBA Students</t>
  </si>
  <si>
    <t>SCMS</t>
  </si>
  <si>
    <t>https://drive.google.com/open?id=1zwL7WoFFv_iX65yVRfYY4YH91WfFkcF4</t>
  </si>
  <si>
    <t xml:space="preserve">Mr. Stanislav Gnatkov, Regional Manager, South Asia, Centennial College
</t>
  </si>
  <si>
    <t>Centennial College</t>
  </si>
  <si>
    <t>https://drive.google.com/open?id=1NAcK2O_7ITJ5wfzG1bubsz1IfibZAYBh</t>
  </si>
  <si>
    <t xml:space="preserve">Apurva Varma and Ms Aparajita Bhattacharya Seminar, ARMS
</t>
  </si>
  <si>
    <t>ARMS</t>
  </si>
  <si>
    <t>Seminar to the Engineering students</t>
  </si>
  <si>
    <t>SOE</t>
  </si>
  <si>
    <t>https://drive.google.com/open?id=1N_lVuwH5Ci0yx8Ut4b4oKn23qJUjaQUt</t>
  </si>
  <si>
    <t xml:space="preserve">Dr. Prabhakar VenuGopal, Dr. Swapna, Southern Connecticut state University
</t>
  </si>
  <si>
    <t>Southern Connecticut state University</t>
  </si>
  <si>
    <t>https://drive.google.com/open?id=1fFYelGyv6nfUBhI6zNML8U-_BfHg6nWU</t>
  </si>
  <si>
    <t>Mr. Sugat Das, Manager &amp; Ms. Darshini, IED Istituto Europeo di Design S.p.A. Società Benefit</t>
  </si>
  <si>
    <t>Italy</t>
  </si>
  <si>
    <t>IED Istituto Europeo di Design</t>
  </si>
  <si>
    <t>Seminar to Design students</t>
  </si>
  <si>
    <t>Wire Distribution</t>
  </si>
  <si>
    <t>https://www.tribuneindia.com/news/business/discover-the-inspiring-journey-of-dayananda-sagar-university-from-vision-to-legacy/#</t>
  </si>
  <si>
    <t>Discover the Inspiring Journey of Dayananda Sagar University: From Vision to Legacy</t>
  </si>
  <si>
    <t>Dayananda Sagar University (DSU) blends a rich legacy with innovation-driven education. Founded by late Shri R. Dayananda Sagar, it offers top-ranked programs, industry partnerships, global collaborations, and strong entrepreneurship support. With vibrant campus life and diverse schools, DSU continues transforming students into leaders, innovators, and changemakers.</t>
  </si>
  <si>
    <t>https://drive.google.com/open?id=1NDH6MzmkEyll6Ej742DR9GGoESlJNAGJ</t>
  </si>
  <si>
    <t>https://www.tribuneindia.com/partner-exclusives/global-conflicts-media-law-and-human-rights-a-humanitarian-perspective-at-dayananda-sagar-university/</t>
  </si>
  <si>
    <t>Global Conflicts, Media, Law, and Human Rights: A Humanitarian Perspective at Dayananda Sagar University</t>
  </si>
  <si>
    <t>Dayananda Sagar University hosted a powerful seminar with The Azadi Project, highlighting global refugee crises through journalism, law, and lived experiences. Speakers explored legal frameworks, media responsibility, climate displacement, and human stories from Gaza to Myanmar, reminding students that migration is human, not political—and storytelling can drive empathy and change.</t>
  </si>
  <si>
    <t>https://drive.google.com/open?id=1KYtDrTW_x5tmIM-a7V5WUjkwfOKBpIwS</t>
  </si>
  <si>
    <t>One India</t>
  </si>
  <si>
    <t>https://www.oneindia.com/partner-content/from-dsu-to-the-world-inspiring-student-success-stories-4094111.html</t>
  </si>
  <si>
    <t>Dayananda Sagar University to the World: Inspiring Student Success Stories  Read more at: https://www.oneindia.com/partner-content/from-dsu-to-the-world-inspiring-student-success-stories-4094111.html</t>
  </si>
  <si>
    <t>Dayananda Sagar University students continue to excel globally, achieving success in cultural arts, entrepreneurship, research, innovation, and higher education. From festival performances and MSME awards to international scholarships, best-paper wins, hackathon victories, and industry milestones, these accomplishments highlight DSU’s commitment to nurturing talent, innovation, and future-ready leaders.</t>
  </si>
  <si>
    <t>https://drive.google.com/open?id=1LAZaO8Y_G2qOMH5nIzVFVTVPRjpF5v26</t>
  </si>
  <si>
    <t>Outlook India</t>
  </si>
  <si>
    <t>https://www.outlookindia.com/xhub/featured-insights/how-dayananda-sagar-university-is-transforming-lives-real-stories-of-community-impact</t>
  </si>
  <si>
    <t>Community Impact</t>
  </si>
  <si>
    <t>Dayananda Sagar University drives impactful community engagement through health camps, voter awareness drives, cultural initiatives, legal workshops, environmental activities, and student-led outreach programs. Across multiple schools, DSU fosters social responsibility, civic awareness, sustainability, creativity, and practical learning—reflecting its commitment to transforming lives and building a responsible, empowered society.</t>
  </si>
  <si>
    <t>https://drive.google.com/open?id=1e8RF9ta4O-UfjwaCmmOFlAMnXMC6SMIP</t>
  </si>
  <si>
    <t>The Pie Network</t>
  </si>
  <si>
    <t>https://thepienews.com/special-category-visas-announced-for-india-bound-intl-students/</t>
  </si>
  <si>
    <t>Special category visas announced for India-bound int’l students</t>
  </si>
  <si>
    <t xml:space="preserve">The Pie has published the comments made my Ms. Supriya Mathew ma'am on the newly announced special category visas </t>
  </si>
  <si>
    <t>https://drive.google.com/open?id=1zfMHiVKAUvBq8WWUYHY_Di6ul-kmZuvD</t>
  </si>
  <si>
    <t>Anandabazar.com</t>
  </si>
  <si>
    <t>https://www.anandabazar.com/brand-studio/nurturing-dreams-in-bangalores-educational-landscape-dgtl/cid/1534936</t>
  </si>
  <si>
    <t>Legacy, Growth, and Impact: An Overview of Dayananda Sagar University</t>
  </si>
  <si>
    <t>Part of Banner ad Campaign</t>
  </si>
  <si>
    <t>Dayananda Sagar University is a leading institution in Bengaluru, offering high-quality education across diverse schools and modern programs. With a strong legacy, global alumni success, and active community engagement, DSU is committed to holistic learning and shaping future-ready leaders while contributing to the city’s growth as a premier education hub.</t>
  </si>
  <si>
    <t>https://drive.google.com/open?id=1VfQs4Ob-d1ztO4V2QwvV-y7IFRgtuFBS</t>
  </si>
  <si>
    <t xml:space="preserve">Dr. Liam Doyle
</t>
  </si>
  <si>
    <t>Ireland</t>
  </si>
  <si>
    <t>South East Technological University</t>
  </si>
  <si>
    <t>https://drive.google.com/open?id=1nP-S9_5mrvkBJzu-sRL1mo7EAq1SNZx2</t>
  </si>
  <si>
    <t>https://www.anandabazar.com/brand-studio/bridging-borders-dayananda-sagar-universitys-path-to-inclusive-internationalization-dgtl/cid/1550595</t>
  </si>
  <si>
    <t>Promotion of DSU Infrastructure</t>
  </si>
  <si>
    <t>Part of Banner ad Campaign by ABP</t>
  </si>
  <si>
    <t>Dayananda Sagar University is committed to providing world-class education by offering global learning opportunities through its Study Abroad programs and the KOEL initiative. By partnering with accessible international universities and hosting renowned global experts, DSU ensures students gain intercultural exposure, advanced skills, and the confidence needed for modern global careers.</t>
  </si>
  <si>
    <t>https://drive.google.com/open?id=1OX7U4kfq-j3P6CEGqWtm9XFbwEPwlogm</t>
  </si>
  <si>
    <t>Telegraph India</t>
  </si>
  <si>
    <t>https://www.telegraphindia.com/edugraph/campus/why-choose-dayananda-sagar-university-for-your-law-degree/cid/2059145</t>
  </si>
  <si>
    <t>Why Choose Dayananda Sagar University for Law Degree?</t>
  </si>
  <si>
    <t>The DSU School of Law offers a progressive curriculum that combines traditional legal studies with modern, pressing topics like cyber law, environmental justice, and the growing influence of technology in the legal world
With a state-of-the-art moot court hall, a fully equipped library, and specialized research centers in areas such as intellectual property rights, criminal law, and corporate law, students have access to all the tools they need to excel</t>
  </si>
  <si>
    <t>https://drive.google.com/open?id=1aY65CGz4AcYT60H56_vXXkcTGhIETunQ</t>
  </si>
  <si>
    <t xml:space="preserve">Ms. Cara Callaghan
</t>
  </si>
  <si>
    <t>Technological University of the Shannon</t>
  </si>
  <si>
    <t>https://drive.google.com/open?id=1rJ7qAA3EmHPhwrqW4HSH-3Be_Stx59_4</t>
  </si>
  <si>
    <t xml:space="preserve">Dr. Aaron Potito
</t>
  </si>
  <si>
    <t>University of Galway</t>
  </si>
  <si>
    <t>https://drive.google.com/open?id=1g-Qe8hnlgPZ7m1IF0D7gY2llSJSPQUb3</t>
  </si>
  <si>
    <t>https://www.telegraphindia.com/edugraph/campus/dayananda-sagar-university-gears-up-for-nasa-space-apps-global-hackathon/cid/2049488#goog_rewarded</t>
  </si>
  <si>
    <t>Nasa Space Apps event at DSU</t>
  </si>
  <si>
    <t>DSU takes immense pride in bringing the Space Apps Hackathon to our expansive 140-acre Harohalli campus
The hackathon welcomes students and aspiring minds above the 8th grade, creating a diverse pool of talent and perspectives</t>
  </si>
  <si>
    <t>https://drive.google.com/open?id=1F23d1rKsYKaA73KVsl74TeL3WyJAM2qX</t>
  </si>
  <si>
    <t>https://www.telegraphindia.com/edugraph/campus/bridging-borders-dayananda-sagar-universitys-path-to-inclusive-internationalization/cid/2048511</t>
  </si>
  <si>
    <t>Inclusive Internationalisation at DSU</t>
  </si>
  <si>
    <t>Dayananda Sagar University is committed to creating a global learning environment where everyone has the opportunity to thrive. Internationalization is at the core of our mission, ensuring that students benefit from cross-cultural experiences
Dayananda Sagar University is advancing internationalization through Scholars in Residence by hosting distinguished visiting scholars from around the world, enriching its academic environment with global perspectives.</t>
  </si>
  <si>
    <t>https://drive.google.com/open?id=1AvYIIz8v85u895wej-rNSELQnEPacXJo</t>
  </si>
  <si>
    <t>Kazakhstan</t>
  </si>
  <si>
    <t>The Karaganda Medical University</t>
  </si>
  <si>
    <t>Dana Gissa</t>
  </si>
  <si>
    <t>Ghisa@qmu.kz</t>
  </si>
  <si>
    <t>https://drive.google.com/open?id=1AVYKVjE-6dxvVV4Vo6xHAPUDHMZotEka</t>
  </si>
  <si>
    <t>2/3/0205</t>
  </si>
  <si>
    <t xml:space="preserve">Dr. Ashish Vashishtha
</t>
  </si>
  <si>
    <t>https://drive.google.com/open?id=1Pqny7H86JI-6aIh5HN2ik6BHSeKtfj0r</t>
  </si>
  <si>
    <t>https://www.telegraphindia.com/edugraph/campus/dayananda-sagar-university-nurturing-dreams-in-bangalores-educational-landscape/cid/2036683</t>
  </si>
  <si>
    <t>Brand Promotion</t>
  </si>
  <si>
    <t>Situated in the vibrant city of Bangalore, DSU provides a conducive environment for learning, innovation and personal growth
The university proudly offers a wide array of programs across schools like the School of Engineering, School of Medicine, School of Health Sciences, School of Commerce and Management, School of Computing, School of Arts and Humanities, School of Basic and Applied Science, and many more</t>
  </si>
  <si>
    <t>https://drive.google.com/open?id=1ECjr5_--u3Ff68N1bAyCHItXEW2tG7-v</t>
  </si>
  <si>
    <t xml:space="preserve">Prof. Kevin Denny
</t>
  </si>
  <si>
    <t>University College Dublin</t>
  </si>
  <si>
    <t>https://drive.google.com/open?id=10TZuZjY7tEy2BVCMz8Qj_yR9bmAZJa_u</t>
  </si>
  <si>
    <t xml:space="preserve">Tere Rodríguez
</t>
  </si>
  <si>
    <t>brandeis international business school</t>
  </si>
  <si>
    <t>https://drive.google.com/open?id=1HXKcogbKJCCUstpJEywHrCMMGFNxTPRV</t>
  </si>
  <si>
    <t>https://www.telegraphindia.com/edugraph/campus/dayananda-sagar-universitys-open-house-2024-combined-traditional-celebrations-with-cutting-edge-educational-programmes-photogallery/cid/2025553</t>
  </si>
  <si>
    <t>DSU Open House 2024</t>
  </si>
  <si>
    <t>Article Explains in detail about the DSU open house 2024 event</t>
  </si>
  <si>
    <t>https://drive.google.com/open?id=1eZnif2wlM6KDkX5_o5FPnt-ixB2BgbpZ</t>
  </si>
  <si>
    <t>Consultant Visit</t>
  </si>
  <si>
    <t xml:space="preserve">Mr. Shyam, Ms. Nomita Singh , Mr. Tiru
</t>
  </si>
  <si>
    <t>IDP</t>
  </si>
  <si>
    <t>https://drive.google.com/open?id=12ikCUcKgb91-LAhTW0mJzZwc9zX13pst</t>
  </si>
  <si>
    <t>Atyrau University</t>
  </si>
  <si>
    <t>Engineering and Law</t>
  </si>
  <si>
    <t>SN Idrisssov</t>
  </si>
  <si>
    <t xml:space="preserve">international_office@asu.edu.kz </t>
  </si>
  <si>
    <t>https://drive.google.com/open?id=1t8nFpZMFQXpMjelsjneQkThPlCgH6bKk</t>
  </si>
  <si>
    <t>WCRCINT</t>
  </si>
  <si>
    <t>https://wcrcleaders.com/rohan-prem-sagar-a-visionary-leader-igniting-transformation-at-dayananda-sagar-university/</t>
  </si>
  <si>
    <t>Article on visionary leadership of Rohan Prem Sagar sir</t>
  </si>
  <si>
    <t>zero</t>
  </si>
  <si>
    <t>The article highlights the visionary leadership of Rohan Prem Sagar sir. With global academic experience from institutions like George Washington University and Columbia University, he has transformed DSU through a focus on innovation, global medical education, entrepreneurship, ethical governance, and digital transformation. His initiatives—including strengthening CDSIMER, fostering startups through DERBI Angel, building international partnerships, enhancing research, and promoting CSR—have positioned DSU as a progressive, globally oriented, and socially responsible university. Rohan’s leadership philosophy centers on resilience, holistic growth, inclusivity, and continuous improvement, inspiring students and institutions toward a future of excellence.</t>
  </si>
  <si>
    <t>https://drive.google.com/open?id=109cihFWmcDcrMqKBGR56Xgi2yllupzRT</t>
  </si>
  <si>
    <t xml:space="preserve">Ms. Blair Thomson, Senior International Officer, Director of Study Abroad
</t>
  </si>
  <si>
    <t>University of Mississippi</t>
  </si>
  <si>
    <t>https://drive.google.com/open?id=1bvu2A7Di2Z2Kg_7YHaOHdg-ERkZSfsGU</t>
  </si>
  <si>
    <t xml:space="preserve"> https://wcrcleaders.com/pioneering-a-legacy-of-transformative-education-an-in-depth-exploration-of-dayananda-sagar-university/</t>
  </si>
  <si>
    <t>Recognitionof DSU as world's leading  Brand</t>
  </si>
  <si>
    <t>Dayananda Sagar University, recognised as a world-leading education brand, is a multidisciplinary institution focused on innovation, research, and industry-aligned learning. With advanced labs, global collaborations, strong placements, and holistic student development, DSU prepares future-ready graduates through academic excellence, modern infrastructure, and a commitment to inclusive and purposeful education.</t>
  </si>
  <si>
    <t>https://drive.google.com/open?id=14qAT6stOmfhlqHAs5eVnXgsJkexaS1FG</t>
  </si>
  <si>
    <t xml:space="preserve">Ms. Anne Faucett, Director of International Admission &amp; Center for International Programs
</t>
  </si>
  <si>
    <t>St. Mary's University</t>
  </si>
  <si>
    <t>https://drive.google.com/open?id=1h3ASSsXF7KZs0_nEJTaVvJZv2zO6zlFJ</t>
  </si>
  <si>
    <t>Ms. Dominique Bert</t>
  </si>
  <si>
    <t>France</t>
  </si>
  <si>
    <t>CEFAM International Business School</t>
  </si>
  <si>
    <t>https://drive.google.com/open?id=120YcxqtFyLgqZPBT3glKoWSlBsVkcRWp</t>
  </si>
  <si>
    <t>University of Messina</t>
  </si>
  <si>
    <t>Ms.  Simona Fazio</t>
  </si>
  <si>
    <t>simona.fazio@unime.it</t>
  </si>
  <si>
    <t>https://drive.google.com/open?id=1h-vwl5SnMQCyAZjFLg-ve3mThYrBpltC</t>
  </si>
  <si>
    <t xml:space="preserve">Ms. Monika Babbar, Director of Recruitment - India
</t>
  </si>
  <si>
    <t>Southern Utah University, U.S.</t>
  </si>
  <si>
    <t>https://drive.google.com/open?id=1PuQRxDltuyXdwHeZVv8QEMitRhgwZde0</t>
  </si>
  <si>
    <t xml:space="preserve">Ms. Florence Lebois, Founder
</t>
  </si>
  <si>
    <t>Campus Globers</t>
  </si>
  <si>
    <t>https://drive.google.com/open?id=1MJ4h7eCZ7MK1XS83OMWOh8-4JcOpCxVw</t>
  </si>
  <si>
    <t>The University of Brescia</t>
  </si>
  <si>
    <t>Stefano Rinaldi</t>
  </si>
  <si>
    <t>stefano.rinaldi@unibs.it</t>
  </si>
  <si>
    <t>https://drive.google.com/open?id=1E6PVrXteD_0j4zrqpXHxncCg7gF35SXx</t>
  </si>
  <si>
    <t xml:space="preserve">Mr. Girish Balola, Founder, Ms. Preetika Sachar
</t>
  </si>
  <si>
    <t>Gennext</t>
  </si>
  <si>
    <t>https://drive.google.com/open?id=1591AkM0wZ_wK9JY-AcYId0j8fi1vZhDL</t>
  </si>
  <si>
    <t>Indonesia</t>
  </si>
  <si>
    <t>Hasanuddin University</t>
  </si>
  <si>
    <t>Zulkifli Tahir</t>
  </si>
  <si>
    <t>intl.partnership@unhas.ac.id</t>
  </si>
  <si>
    <t>https://drive.google.com/open?id=1ifBKwag83eSVwtZopO8Fo79FPqbewWjL</t>
  </si>
  <si>
    <t xml:space="preserve">Dr. Truman, Dr Mark
</t>
  </si>
  <si>
    <t>University of Missouri-Kansas City</t>
  </si>
  <si>
    <t>https://drive.google.com/open?id=1fuCyUZRD10ADXx54lwXTIqA07tkTnKL3</t>
  </si>
  <si>
    <t>HUNGARY</t>
  </si>
  <si>
    <t xml:space="preserve">SZÉCHENYI ISTVÁN UNIVERSITY, </t>
  </si>
  <si>
    <t>Bihari Annabella</t>
  </si>
  <si>
    <t>bihari.annabella@ga.sze.hu</t>
  </si>
  <si>
    <t>https://drive.google.com/open?id=1dU1ClWbRkpDZ4X0MDYJLKswna89I6cUN</t>
  </si>
  <si>
    <t xml:space="preserve">Mr. Krutarth Hendre
</t>
  </si>
  <si>
    <t>Università Cattolica</t>
  </si>
  <si>
    <t xml:space="preserve">Ms. Vasthy Mom
</t>
  </si>
  <si>
    <t>AMDA College of Performing Arts- New York</t>
  </si>
  <si>
    <t xml:space="preserve">President Winston Erevelles, Provost Jason Pierce
</t>
  </si>
  <si>
    <t>St. Mary’s University, US</t>
  </si>
  <si>
    <t>https://drive.google.com/open?id=1U8IP_2xa_1QFSCY233Gqy657JTft8JzT</t>
  </si>
  <si>
    <t>Ernst Abbe University of Applied Sciences Jena</t>
  </si>
  <si>
    <t xml:space="preserve">Engineering </t>
  </si>
  <si>
    <t>Reichel, Nancy</t>
  </si>
  <si>
    <t>Nancy.Reichel@eah-jena.de</t>
  </si>
  <si>
    <t xml:space="preserve">not mentioned </t>
  </si>
  <si>
    <t>https://drive.google.com/open?id=1KHqsKeKvfYqZeJCaGaBNpSnNHrMsOtmC</t>
  </si>
  <si>
    <t xml:space="preserve">Hof University of Applied Sciences, Hof </t>
  </si>
  <si>
    <t>Gerald Schmola</t>
  </si>
  <si>
    <t>gerald.schmola@hof-university.de</t>
  </si>
  <si>
    <t>https://drive.google.com/open?id=1WIqcbhP4OjgfRAACNp-8UTfaUBRgL_m1</t>
  </si>
  <si>
    <t xml:space="preserve">Professor Daniel Sutherland, Dean of Gray’s School of Art
</t>
  </si>
  <si>
    <t>United Kingdom</t>
  </si>
  <si>
    <t>Robert Gordon University</t>
  </si>
  <si>
    <t>Workshop for B.Design Students</t>
  </si>
  <si>
    <t>School of Design &amp; Digital Trans-Media</t>
  </si>
  <si>
    <t>https://drive.google.com/open?id=1EH_lMUgFYzqB3rNHpXjOReT9mE_aq71h</t>
  </si>
  <si>
    <t xml:space="preserve">Mr. Daryl Haggerty, Operation Lead &amp; Ms. Sayani, Country Manager
</t>
  </si>
  <si>
    <t>Southern Institute of Technology</t>
  </si>
  <si>
    <t>https://drive.google.com/open?id=1_UI-NLv1kjI6WICfx3-t5CZaHQbQwuqa</t>
  </si>
  <si>
    <t>Mediatos GmbH, Nuremberg Germany</t>
  </si>
  <si>
    <t>Maximilian Daiber</t>
  </si>
  <si>
    <t>m.daiber@mediatos.eu</t>
  </si>
  <si>
    <t>https://drive.google.com/open?id=1kH7D1R24BML4ONbVEUuD3AkvZG8tHvzH</t>
  </si>
  <si>
    <t xml:space="preserve">Prof. Mikhail 
</t>
  </si>
  <si>
    <t xml:space="preserve"> MIET University, Moscow</t>
  </si>
  <si>
    <t>https://drive.google.com/open?id=1hH6eM2p5T0ne29EdwWfb0LVJKrTvikT2</t>
  </si>
  <si>
    <t>Srilanka Education Minister and delegates from Sri Lanka</t>
  </si>
  <si>
    <t>Sri Lanka</t>
  </si>
  <si>
    <t xml:space="preserve">International Affairs </t>
  </si>
  <si>
    <t>International Delegates from Srilanka,Bangladesh, Bhutan</t>
  </si>
  <si>
    <t>https://drive.google.com/open?id=1TjJ8wzPR-92w96a56yMNc5eaSsddtucf</t>
  </si>
  <si>
    <t>Srilanka Education Minister from Sri Lanka</t>
  </si>
  <si>
    <t>Srilankan delegates</t>
  </si>
  <si>
    <t>https://drive.google.com/open?id=1P9bqDxi0oOtdtx2ApCLS94v5LHrcp8rc</t>
  </si>
  <si>
    <t>International Conference (Cormack)/Campus visit</t>
  </si>
  <si>
    <t>Dr. Nick Slade, PVC, University of Worcester</t>
  </si>
  <si>
    <t>https://drive.google.com/open?id=1iyDl8Bdq53S_L_rfqLR3XSrS3fbjxLjI</t>
  </si>
  <si>
    <t xml:space="preserve">Dr. Will Tregidga, Head of International Affairs
</t>
  </si>
  <si>
    <t xml:space="preserve">Nelson Marlborough Institute of Technology </t>
  </si>
  <si>
    <t xml:space="preserve">Dr. Şafak Doğan
</t>
  </si>
  <si>
    <t>Loughborough University</t>
  </si>
  <si>
    <t>https://drive.google.com/open?id=1PMLPCLzPty31sqlrRiBzL6TeL4r3LM8i</t>
  </si>
  <si>
    <t xml:space="preserve">Ms. Golda Malhotra
</t>
  </si>
  <si>
    <t>IESEG School of Management</t>
  </si>
  <si>
    <t>https://drive.google.com/open?id=1ww-0Jk4vaf9Qqx73Po9hzaFa0zubblBt</t>
  </si>
  <si>
    <t xml:space="preserve"> Mr. Brendan Tighe, Director of International Partnerships, Dr. Paul Dowling,  Dr. Mary Leen, Dr. Emmanuel Kypraios
</t>
  </si>
  <si>
    <t>Maynooth University</t>
  </si>
  <si>
    <t>https://drive.google.com/open?id=1MixqHdqxXYgAbYsc5YyJtpzED8Fqidg9</t>
  </si>
  <si>
    <t xml:space="preserve">Dr. Isadora Helfgott, Vice Provost for Global Engagement, Dr. Caroline McCracken, Mr. Jon Conrad, Mr. Warren Crawford, Dr. Brad Tyndall, Mr. Scott Quillinan, Dr. Kelly Crane, Dr. Reshmi Singh
</t>
  </si>
  <si>
    <t>University of Wyoming</t>
  </si>
  <si>
    <t>https://drive.google.com/open?id=1vaH-e6nq85V_iTsvX4Cv8RxpwDU80Ixx</t>
  </si>
  <si>
    <t xml:space="preserve">Dr. Suresh Immanuel
</t>
  </si>
  <si>
    <t>https://drive.google.com/open?id=12Bh6qY55Aj74Ow4uXJ6Vzzo9W-o8_yWi</t>
  </si>
  <si>
    <t xml:space="preserve">Ms. Megha Malhotra
</t>
  </si>
  <si>
    <t>Robert Gordon University, UK</t>
  </si>
  <si>
    <t>https://drive.google.com/open?id=13j4gwOuDUphtgzguDmdAxpy5EFY4RJrB</t>
  </si>
  <si>
    <t xml:space="preserve">Dr. Manjula Mundakana
</t>
  </si>
  <si>
    <t>Senior Advisor – Science, Technology, and Political Affairs, Consulate of Germany</t>
  </si>
  <si>
    <t xml:space="preserve">Lecture on Master's opportunities in Germany
</t>
  </si>
  <si>
    <t>https://drive.google.com/open?id=169SPazsrCx_stbZFQ6VaUafeU0FmjpV5</t>
  </si>
  <si>
    <t xml:space="preserve">Dr. Jürgen Lehmann, Prof. Wolff. Prof. Mathias, Prof. Gerald
</t>
  </si>
  <si>
    <t>Hof University, Germany</t>
  </si>
  <si>
    <t xml:space="preserve">Ms. Renata Sguario, CEO 
</t>
  </si>
  <si>
    <t>Maxme (Training organisation)</t>
  </si>
  <si>
    <t xml:space="preserve">Dr. Paaige Turner, Provost and EVP of Academic Affairs, USA, Kelsey Cozens, USA, Harish Ananthapadmanabhan, CEO
</t>
  </si>
  <si>
    <t>https://drive.google.com/open?id=1PmmJihJlywBMzQ3rT0mnwP4vUDK0TSfF</t>
  </si>
  <si>
    <t xml:space="preserve">Mr. Nick Slade, Deputy VPC, International and External Affairs 
</t>
  </si>
  <si>
    <t>University of Worcester</t>
  </si>
  <si>
    <t xml:space="preserve">Seminar for School of Computer Application
</t>
  </si>
  <si>
    <t>BCA</t>
  </si>
  <si>
    <t xml:space="preserve">Dr. Viktor Prasana
</t>
  </si>
  <si>
    <t>University of South California</t>
  </si>
  <si>
    <t xml:space="preserve">Dr. Rocchel, Mr Ashish Jaiswar
</t>
  </si>
  <si>
    <t xml:space="preserve">Students from Duke University
</t>
  </si>
  <si>
    <t xml:space="preserve"> Duke University</t>
  </si>
  <si>
    <t>https://drive.google.com/open?id=1IoXntJD-4ihwxa_yiRHUjeup5W1liM6h</t>
  </si>
  <si>
    <t xml:space="preserve">Dr. Suresh Renukkapa, Dr. Subhashini
</t>
  </si>
  <si>
    <t>University of Wolverhampton</t>
  </si>
  <si>
    <t>https://drive.google.com/open?id=1W_m63s8QCgvbVQtvo9vBdb_23omsdSvT</t>
  </si>
  <si>
    <t xml:space="preserve">Dr.Willa Huston, Steven Langford Prof. University of Sydney Australia
</t>
  </si>
  <si>
    <t>University of Sydney Australia</t>
  </si>
  <si>
    <t>https://drive.google.com/open?id=12MRXYiatDLLHG6PLfc5rtAaA56DBLKzd</t>
  </si>
  <si>
    <t xml:space="preserve">Prof. Amanda, Prof. Jonathan, &amp; Prof. Chris Howard 
</t>
  </si>
  <si>
    <t>University of Staffordshire</t>
  </si>
  <si>
    <t>https://drive.google.com/open?id=13BJBM3kjUESNV_yjHjPCmdvjAhzE9_dA</t>
  </si>
  <si>
    <t xml:space="preserve">Prof. Ginevra Franchi, Prof.  Instituto Europeo di Design (IED), Milan, Italy.
</t>
  </si>
  <si>
    <t>Instituto Europeo di Design (IED), Milan, Italy.</t>
  </si>
  <si>
    <t xml:space="preserve">Workshop on Design Thinking
</t>
  </si>
  <si>
    <t>B.Design</t>
  </si>
  <si>
    <t>https://drive.google.com/open?id=15dtX47eoBMpFuZImEIKzFEuO6EKuN6PH</t>
  </si>
  <si>
    <t>Hochschule Kempten University of Applied Sciences</t>
  </si>
  <si>
    <t xml:space="preserve">Business </t>
  </si>
  <si>
    <t>Dr. Martin Gobl</t>
  </si>
  <si>
    <t>martin.goebl@hs-kempten.de</t>
  </si>
  <si>
    <t>https://drive.google.com/open?id=1QBmmhEghV7AJvRb_1vooCoTprKg_2swl</t>
  </si>
  <si>
    <t>German Varisty, Aachen</t>
  </si>
  <si>
    <t>Hema Chowdry</t>
  </si>
  <si>
    <t>manager.operations@indoeurosync.com</t>
  </si>
  <si>
    <t xml:space="preserve">Can terminate </t>
  </si>
  <si>
    <t>https://drive.google.com/open?id=1TWyd2bMbkcmQe4IanR2aJn8br8OoWsy3</t>
  </si>
  <si>
    <t>Steinbeis University</t>
  </si>
  <si>
    <t>Michael Johnson</t>
  </si>
  <si>
    <t>m.johnson@steinbeis-next.de</t>
  </si>
  <si>
    <t>https://drive.google.com/open?id=1qEwEmLJqobSGsemKWP2hjlR65__fyjH5</t>
  </si>
  <si>
    <t>RWTH Aachen University</t>
  </si>
  <si>
    <t>Sandeep Patel</t>
  </si>
  <si>
    <t>india.office@academy.rwth-aachen.de</t>
  </si>
  <si>
    <t>https://drive.google.com/open?id=12C0dryT8SCwkUXNYgm6RUBahqaUzctLE</t>
  </si>
  <si>
    <t>Indo Eurosynchronisation Pvt Ltd</t>
  </si>
  <si>
    <t>Dr. Pushpa sarkar</t>
  </si>
  <si>
    <t xml:space="preserve">raj.venkat@indoeurosync.com </t>
  </si>
  <si>
    <t>https://drive.google.com/open?id=1-abf0hjs1wqxESTmYwCaIPpbNhNxvA-8</t>
  </si>
  <si>
    <t>Hochschule fuer angewandte Wissenschaften Neu-Ulm (HNU)</t>
  </si>
  <si>
    <t>Verena Seitz</t>
  </si>
  <si>
    <t>verena.seitz@hnu.de</t>
  </si>
  <si>
    <t>https://drive.google.com/open?id=1xbHPOqHEZ7oVc6mi4YhXzR1ajQ57oGTS</t>
  </si>
  <si>
    <t>DSTI - School of Engineering</t>
  </si>
  <si>
    <t>Niraj Deobhankar</t>
  </si>
  <si>
    <t xml:space="preserve">niraj-chandrashekhar.deobhankar@edu.dsti.institute </t>
  </si>
  <si>
    <t>https://drive.google.com/open?id=1ddCOdJ-3wJuKVTsUajMMJqs1rdw1jrar</t>
  </si>
  <si>
    <t>MBway Management and business school</t>
  </si>
  <si>
    <t>Mr. Ankit Soni</t>
  </si>
  <si>
    <t>ankit.soni@mbway.com</t>
  </si>
  <si>
    <t>https://drive.google.com/open?id=1z74ufv2F-VoNua4Ma5JmRUwUrba69QrO</t>
  </si>
  <si>
    <t>Uni La Salle Polytechnic Institute</t>
  </si>
  <si>
    <t>Sebastian Rieder</t>
  </si>
  <si>
    <t>Sebastian.RIEDER@unilasalle.fr</t>
  </si>
  <si>
    <t>https://drive.google.com/open?id=1Jbym7hsUhq6ZdjF2TJfSA9shFI2x_Rh7</t>
  </si>
  <si>
    <t>Czechia</t>
  </si>
  <si>
    <t>MENDEL UNIVERSITY IN BRNO</t>
  </si>
  <si>
    <t>Martina Rašticová</t>
  </si>
  <si>
    <t>martina.rasticova@mendelu.cz</t>
  </si>
  <si>
    <t>https://drive.google.com/open?id=1uSutGuskVPuffjvGTSBZjkE1MP0kZO7-</t>
  </si>
  <si>
    <t>Crotia</t>
  </si>
  <si>
    <t>Algebra University</t>
  </si>
  <si>
    <t>Mislav</t>
  </si>
  <si>
    <t>mislav.balkovic@algebra.hr</t>
  </si>
  <si>
    <t xml:space="preserve"> Not specific</t>
  </si>
  <si>
    <t>https://drive.google.com/open?id=1asNdAD7lXHOhdawbVvrnyvaXO9_Hg-dU</t>
  </si>
  <si>
    <t>Bangladesh</t>
  </si>
  <si>
    <t>Daffodil University</t>
  </si>
  <si>
    <t>Md. Nazmul Islam</t>
  </si>
  <si>
    <t>mobility@daffodilvarsity.edu.bd</t>
  </si>
  <si>
    <t>https://drive.google.com/open?id=14phbnL7ZE0NfEF097T8YhsKw-aa55Nua</t>
  </si>
  <si>
    <t>University of Liberal Arts ULAB</t>
  </si>
  <si>
    <t>Jennifer Hossain</t>
  </si>
  <si>
    <t>jennifer.hossain@ulab.edu.bd</t>
  </si>
  <si>
    <t>https://drive.google.com/open?id=1C5sQ89MLzT9P0VTYumacLNDF3s0ZMRMF</t>
  </si>
  <si>
    <t>Prof. Dr. Radhakrishna Prabhu, Professor in Smart Sensors &amp; Instrumentation and Lead of the Robotics and Autonomous Systems Research Group at Robert Gordon University</t>
  </si>
  <si>
    <t>Robert Gordon</t>
  </si>
  <si>
    <t>Prof. Dr. Radhakrishna Prabhu, Professor in Smart Sensors &amp; Instrumentation and Lead of the Robotics and Autonomous Systems Research Group at Robert Gordon University, delivered an insightful session titled “Smart Sensors for a Smarter Planet: How Robotics, Healthcare &amp; Renewable Energy are Shaping the Future.” The talk was organized for the students of the Robotics and Artificial Intelligence Department and focused on emerging applications of intelligent sensing technologies in futuristic domains. Following the session, Dr. Prabhu was felicitated by Dr. Pramod, Chairman of the Robotics &amp; AI Department, in recognition of his valuable contribution. During his interaction, Prof. Prabhu also expressed strong interest in exploring joint research opportunities and academic collaboration with DSU faculty, marking a promising step toward future international engagement.</t>
  </si>
  <si>
    <t>AI &amp; Robertics</t>
  </si>
  <si>
    <t>https://drive.google.com/open?id=1NIjIT58Ts4rOqHd-eqylnyS7AfoUcnsN</t>
  </si>
  <si>
    <t>. Dr. Asokan, Director of International Relations at INTI International University, Malaysia</t>
  </si>
  <si>
    <t>Malaysia</t>
  </si>
  <si>
    <t xml:space="preserve">On 26/11/2025, we hosted Prof. Dr. Asokan, Director of International Relations at INTI International University, Malaysia. During the meeting, he highlighted that INTI holds an overall QS World Ranking of 509, reflecting its strong academic reputation. He met with the Dean of Engineering and the Chairman of AI &amp; ML to explore avenues for collaboration, including joint research initiatives between the engineering departments of both institutions, co-authoring and publishing research papers, conducting joint FDP/IFDP programmes, and exploring opportunities for student exchange.
</t>
  </si>
  <si>
    <t xml:space="preserve">School of Engineering </t>
  </si>
  <si>
    <t>https://drive.google.com/open?id=1zUM_jMu8XohooGCw3qrQIfK-OautlmGI</t>
  </si>
  <si>
    <t xml:space="preserve">Prof. Dr. Milan Antonijevic, University of Surrey
</t>
  </si>
  <si>
    <t>University of Surrey</t>
  </si>
  <si>
    <t xml:space="preserve">Seminar on Future in Pharmacy
</t>
  </si>
  <si>
    <t>School of Pharmaceutical Sciences</t>
  </si>
  <si>
    <t>https://drive.google.com/open?id=13Ru90EeBHP2Y26nzMgkjyAvssTFsAdxg</t>
  </si>
  <si>
    <t xml:space="preserve">Prof. Prashanth Pillai, Pro VC, UOW, Dr. Suresh Renukappa, Dr. Robin Carey, Prof. Subhashini
</t>
  </si>
  <si>
    <t>https://drive.google.com/open?id=1GFacOqn1KcevcCVjYlIn8V9DJtBxTdNE</t>
  </si>
  <si>
    <t xml:space="preserve">Dr Jorge Osario Public Health Program at Wisconsin University
</t>
  </si>
  <si>
    <t>University of Wisconsin Madison</t>
  </si>
  <si>
    <t>https://drive.google.com/open?id=1SluZvzdHiA1Q2SJkYPN28Iiw8d_W0SuB</t>
  </si>
  <si>
    <t xml:space="preserve">Dr Eric Garfunkel, Vice President, Global Affairs, Dr Mohini Mukherjee, Executive Director, Student Services, Kim Pernice, Associate Director of Partnership, Dr. Smita Thakker- Varia, Associate Professor, Dr. Doreen Badheka, Assistant Professor, Rutgers university
</t>
  </si>
  <si>
    <t>Rutgers University</t>
  </si>
  <si>
    <t>https://drive.google.com/open?id=1KUe7fcWACBaI5v4B4PbVuWAiTda6gZwO</t>
  </si>
  <si>
    <t xml:space="preserve">Prof. Nigel Holt &amp; Prof. Nigel Copner
</t>
  </si>
  <si>
    <t xml:space="preserve"> United Kingdom</t>
  </si>
  <si>
    <t>Aberystwyth University</t>
  </si>
  <si>
    <t>https://drive.google.com/open?id=19aT588lSKdpDlJ1NFjSIACmgiu6Pie3w</t>
  </si>
  <si>
    <t xml:space="preserve">Dr. Bogdan
</t>
  </si>
  <si>
    <t>University of Plymouth</t>
  </si>
  <si>
    <t>https://drive.google.com/open?id=1DzOo7YXcZDm1O5EF6xt6mnPJsvx1EcyO</t>
  </si>
  <si>
    <t xml:space="preserve">Dalailama Institute
</t>
  </si>
  <si>
    <t>Dalailama Institute</t>
  </si>
  <si>
    <t xml:space="preserve">One-Day Photo Exhibition on India-Tibet Relations
</t>
  </si>
  <si>
    <t>https://drive.google.com/open?id=1uCrUomoyQTO3G4fL2ksUllCD8WVaHMs-</t>
  </si>
  <si>
    <t xml:space="preserve">President Lehmann, HOF University, Germany
</t>
  </si>
  <si>
    <t>HOF University Germany</t>
  </si>
  <si>
    <t>https://drive.google.com/open?id=107LbDzhg7tx5jcOafFaN7VUKkdj19-QI</t>
  </si>
  <si>
    <t xml:space="preserve">Rutgers </t>
  </si>
  <si>
    <t>https://drive.google.com/open?id=1oph5X-mSZqjwR3-0yeUWDMJdUV7yIz-r</t>
  </si>
  <si>
    <t xml:space="preserve">Ms. Suma Jayakar
</t>
  </si>
  <si>
    <t>LeTourneau University, Texas</t>
  </si>
  <si>
    <t xml:space="preserve">Mr. Ankit Soni, International Relations &amp; Admission Officer 
</t>
  </si>
  <si>
    <t>MBWay school France</t>
  </si>
  <si>
    <t xml:space="preserve">Dr. Radhika Seshan, Dean
</t>
  </si>
  <si>
    <t>https://drive.google.com/open?id=13B61qPgrXY6JBsc33YN5C_xHNfcTQh73</t>
  </si>
  <si>
    <t xml:space="preserve">Mr. Bryan Read, Professor
</t>
  </si>
  <si>
    <t>Te Pūkenga trading as Whitireia and WelTec</t>
  </si>
  <si>
    <t>https://drive.google.com/open?id=1FwFTyc-b8y2gV-NpF-j6zLJySbCOL3yH</t>
  </si>
  <si>
    <t xml:space="preserve">Mr. Raj Vangapandu,President / MD, Indo-Euro Synchronization
</t>
  </si>
  <si>
    <t>Autosol German Tech Immersion - Germany</t>
  </si>
  <si>
    <t xml:space="preserve">Dr. Steve McKenna, Associate Professor
</t>
  </si>
  <si>
    <t xml:space="preserve">Curtin University </t>
  </si>
  <si>
    <t xml:space="preserve">Mr. John Bunter, Director, India / Cormack Consultancy Group
</t>
  </si>
  <si>
    <t>Glasglow Caledonian University,Birmingham City University, Edhinburg Napier University,Glyndwr University</t>
  </si>
  <si>
    <t>https://drive.google.com/open?id=1JKK6XfI62NKXZAWgHk3qfWv59YLP6ssF</t>
  </si>
  <si>
    <t xml:space="preserve">Mr. Mahesh,Asst Manager, Mr. Sai Abhishek, manager
</t>
  </si>
  <si>
    <t>NAB college , Canada</t>
  </si>
  <si>
    <t>https://drive.google.com/open?id=1lawHW7qWsMm6W3NC96Gz5wOUmCuBdixb</t>
  </si>
  <si>
    <t xml:space="preserve">Ms. Anita Bose Natarajan,manager
</t>
  </si>
  <si>
    <t>Education USA Bangalore</t>
  </si>
  <si>
    <t xml:space="preserve">Michael Johnson, Head of Business Development 
</t>
  </si>
  <si>
    <t>Steinbeis university ,USA</t>
  </si>
  <si>
    <t xml:space="preserve">Ms. Sivani
</t>
  </si>
  <si>
    <t xml:space="preserve">Dr. Agnieszka , Head of Law Department,Staffordshire University
</t>
  </si>
  <si>
    <t xml:space="preserve"> England</t>
  </si>
  <si>
    <t>https://drive.google.com/open?id=1j3YPswQVTLNvbJVpJfiTe3wdCP5jVhbl</t>
  </si>
  <si>
    <t xml:space="preserve">Dr.Sandeep, Professor
</t>
  </si>
  <si>
    <t>Southern Methodist University</t>
  </si>
  <si>
    <t xml:space="preserve">Ms. Ikita Pokharna, Regional Engagement Representative 
</t>
  </si>
  <si>
    <t>Asia</t>
  </si>
  <si>
    <t xml:space="preserve"> ACU, Aisa</t>
  </si>
  <si>
    <t>https://drive.google.com/open?id=1_sdO8h7Mbi8UoUnelGZeiEHkwTiHIhoD</t>
  </si>
  <si>
    <t xml:space="preserve">Mr. Michael Bruke, Director of International Student Services, Center of Global Engagement,Mr. Anoop – Director, International partnership &amp; Collaborations, Dr. Shivanand Utlasar, President Unidemy Global
</t>
  </si>
  <si>
    <t>Duquesne University</t>
  </si>
  <si>
    <t>https://drive.google.com/open?id=1vNTyQ-dSLN3Zvkdnh3_akExWq88BsF-N</t>
  </si>
  <si>
    <t xml:space="preserve">Ms Gabija Skucaite, Chancellor, SMK university of Applied science, Dr. Jitka Lidarikova, Vice-rector, ,Dr. Roman Spacil, Director, Moravska business school, Czech Republic
</t>
  </si>
  <si>
    <t>Czech Republic</t>
  </si>
  <si>
    <t>SMK university of Applied science, Kazimieras Simonavicius University,Lithuania, Moravska business school, Czech Republic</t>
  </si>
  <si>
    <t>https://drive.google.com/open?id=1DSXAzk3rtN64v3WDkcKJ1mZP5t4gbi7R</t>
  </si>
  <si>
    <t xml:space="preserve">Ms. Judith  &amp; Mr. marcus, project manager international recruitment
</t>
  </si>
  <si>
    <t xml:space="preserve">Germany </t>
  </si>
  <si>
    <t xml:space="preserve">Recruiters from Germany </t>
  </si>
  <si>
    <t xml:space="preserve">Dr. Paul &amp; Ms. Christina, Professor at Birmingham Business School.
</t>
  </si>
  <si>
    <t>Birmingham University</t>
  </si>
  <si>
    <t>Guest lecture to Law students</t>
  </si>
  <si>
    <t>https://drive.google.com/open?id=1iTePISlv9XWhdJ-ak8S_WPRajY0iJiGa</t>
  </si>
  <si>
    <t>Dr. Ilaria, Prof. University of Leeds, UK</t>
  </si>
  <si>
    <t>University of Leeds, UK</t>
  </si>
  <si>
    <t>Guest lecture to students of School of Law</t>
  </si>
  <si>
    <t>https://drive.google.com/open?id=1vC2vD2XulpVbprjvDlC33iNxEpg2Y54D</t>
  </si>
  <si>
    <t>Dr. Mukund Janardhan, Head of sustainable engineering and manufacturing</t>
  </si>
  <si>
    <t>University of Warwick</t>
  </si>
  <si>
    <t xml:space="preserve">
On 9th December 2025, we hosted Dr. Mukund Janardhan, Head of Sustainable Engineering and Manufacturing at the University of Warwick, UK. He delivered an engaging session for the School of Computer Applications students on the topic “Human–Robot Collaborative Manufacturing Systems.” The session was highly interactive, and he explained to the students the importance of data, as well as the distinction between tasks performed by humans and robots.
Following the session, we had a meeting with him along with the Dean, School of Computer Applications. During this discussion, we briefed him on the ongoing initiatives at our university and shared the areas in which we seek his support for upcoming AI-related projects. He also expressed his willingness to deliver an online lecture in January on a topic related to Artificial Intelligence.</t>
  </si>
  <si>
    <t>School of Computer Application</t>
  </si>
  <si>
    <t>https://drive.google.com/open?id=1SG8fFAjC4pyV3KMda3RktsP9brgsfvtN</t>
  </si>
  <si>
    <t>Dr. Sanobar Siddiqui, Assistant Professor</t>
  </si>
  <si>
    <t>University of Regina</t>
  </si>
  <si>
    <t>Today, we hosted Dr. Sanobar Siddiqui from the University of Regina, Canada, who conducted an insightful session for our research scholars on Accounting Education and Sustainability Measurement. She shared valuable insights into her research process, including paper writing techniques, research tools, and publication methods.
The session was highly interactive, with scholars actively clarifying doubts about their ongoing research.
Post the session Dr. Siddiqui met with the Dean of Research to discuss potential research collaborations, including joint projects and publications.</t>
  </si>
  <si>
    <t>School of Management Studies- Scholars</t>
  </si>
  <si>
    <t>https://drive.google.com/open?id=17JTAeArzjWvVql6Bx4WfTwZfXzbsIA_0</t>
  </si>
  <si>
    <t>eng23ca0067@dsu.edu.in</t>
  </si>
  <si>
    <t>Test</t>
  </si>
  <si>
    <t>Sri Lankan Conference 2025</t>
  </si>
  <si>
    <t>This Two-day international conference was organized by Dayananda Sagar University in collaboration with the International Association for Quality Education (IAFQE) and the Ministry of Education, Uva Province, Sri Lanka. It brought together educators, policymakers, school leaders, researchers, and delegates from Sri Lanka and other countries to share insights on enhancing the quality of education.</t>
  </si>
  <si>
    <t>https://drive.google.com/open?id=1rCy-d4Bzx8Kj3ZnLuOf_KFAECVP6ttA4</t>
  </si>
  <si>
    <t>Dr.Samantha , Law head</t>
  </si>
  <si>
    <t>Continuation of discussions regarding collaboration in the field of law, building on a previous visit by Dr. Agnieszka.</t>
  </si>
  <si>
    <t>https://drive.google.com/open?id=1YuwXaYv_NFxCk5at6GnIXDtDURHswDBU</t>
  </si>
  <si>
    <t>Prof. Dr.-Ing. Bernd Markert, Director,Director of the Institute of General Mechanics (IAM), Dr. Helmut Dinger, Managing Director, Dr. Sandeep Patil, Director of India Office</t>
  </si>
  <si>
    <t>RWTH International Academy</t>
  </si>
  <si>
    <t>MOU Exchange ceremony with RWTH Aachen University &amp; partnership discussions</t>
  </si>
  <si>
    <t>https://drive.google.com/open?id=1pKl4OOQaLTYhHtIzwH2l0K5hrNpHvOr1</t>
  </si>
  <si>
    <t>Mr. Peter Ling, Ex CEO and current Group Advisor, Ms. Aida Mirhadi Group CFO, Limkokwing University,Malaysia</t>
  </si>
  <si>
    <t>Limkokwing University,Malaysia</t>
  </si>
  <si>
    <t>MOU signing with Limkokwing University,Malaysia and DSU</t>
  </si>
  <si>
    <t>https://drive.google.com/open?id=15XsHMU-pMrt6hhYMZ46CnMaGXSoz_H6j</t>
  </si>
  <si>
    <t>Dr. Pawan Kumar Mishra, Professor, Doc. Ing. Svatopluk Kapounek, Ph.D., Faculty of Business and Economics, Bc. Eliska Fojitikova, Rector's office</t>
  </si>
  <si>
    <t>Mendel University, Czech Republic</t>
  </si>
  <si>
    <t>Meeting with Dr. KNB Murthy, Ms. Supriya Mathew, Dr. Kaushalya, Dr. Uday Kumar Reddy</t>
  </si>
  <si>
    <t>https://drive.google.com/open?id=1u1Xfs6Ub1AL3XgwBYhnW636NabqC30bD</t>
  </si>
  <si>
    <t>Corporate</t>
  </si>
  <si>
    <t>Mr. Mayank, CEO Aariyah, Canada</t>
  </si>
  <si>
    <t>Aariyah, Cananda, A placement agency</t>
  </si>
  <si>
    <t>Partnership discussion with Ms. Supriya Mathew, VP International Affairs</t>
  </si>
  <si>
    <t>https://drive.google.com/open?id=1yzpeuwUZoDCqJ6UmbD4-jo7shDgEJztu</t>
  </si>
  <si>
    <t>Force</t>
  </si>
  <si>
    <t>Mr. Steve Mckenna, Associate Professor</t>
  </si>
  <si>
    <t>Curtin University</t>
  </si>
  <si>
    <t>25-09-2023</t>
  </si>
  <si>
    <t>NA</t>
  </si>
  <si>
    <t>https://drive.google.com/drive/folders/1qS3xjREw7yP6sNEKwt1_ICL1kLh7Au7q?usp=drive_link</t>
  </si>
  <si>
    <t>Dr. Stefano Rinaldi, Professor</t>
  </si>
  <si>
    <t>University of Brescia</t>
  </si>
  <si>
    <t>15-03-2024</t>
  </si>
  <si>
    <t>https://drive.google.com/drive/folders/10u2Jk17HNMvYAp01gilR_2BkZSizqGrI?usp=drive_link</t>
  </si>
  <si>
    <t>Dr. Pavel, Professor</t>
  </si>
  <si>
    <t>Mendel in Brno</t>
  </si>
  <si>
    <t>17-03-2024</t>
  </si>
  <si>
    <t>30-03-2024</t>
  </si>
  <si>
    <t>https://drive.google.com/drive/folders/10Rl-cBDtfP-tm9veAlfFNMzkf0txHGgs?usp=drive_link</t>
  </si>
  <si>
    <t>Prof. Ramanayake Chaminda Dilhanake Hettiarachchi, Professor</t>
  </si>
  <si>
    <t>17-05-2024</t>
  </si>
  <si>
    <t>27-05-2024</t>
  </si>
  <si>
    <t>https://drive.google.com/drive/folders/1KtjKDSYPB7MKZM-0coCqF6V2hV9oSdJh?usp=drive_link</t>
  </si>
  <si>
    <t>Prof. Svatopluk Kapounek, Professor</t>
  </si>
  <si>
    <t>Mendel University in Brno</t>
  </si>
  <si>
    <t>28-02-2024</t>
  </si>
  <si>
    <t>https://drive.google.com/drive/folders/1plkAM48E5Hndvk5d3-OFTFh4iT0LRBKd?usp=drive_link</t>
  </si>
  <si>
    <t>Dr. Andreas Hermanutz Professor</t>
  </si>
  <si>
    <t>TUM University</t>
  </si>
  <si>
    <t>30-09-2024</t>
  </si>
  <si>
    <t>https://drive.google.com/drive/folders/1b5910AFWfNGcNP-EnKEgjiw80EI4hbBa?usp=drive_link</t>
  </si>
  <si>
    <t>Dr. Sandeep Patil</t>
  </si>
  <si>
    <t>RWTH Achen</t>
  </si>
  <si>
    <t>13-10-2024</t>
  </si>
  <si>
    <t>19-10-2024</t>
  </si>
  <si>
    <t>Prof. Vlamider Pavelyev</t>
  </si>
  <si>
    <t>Samara National Research University</t>
  </si>
  <si>
    <t>17-11-2024</t>
  </si>
  <si>
    <t>https://drive.google.com/drive/folders/1ZSlxc9fvbpSkXdgYtlS4zJAfXcHIphTO?usp=drive_link</t>
  </si>
  <si>
    <t>Dr. Kennt Rouse</t>
  </si>
  <si>
    <t>LeTourneau</t>
  </si>
  <si>
    <t>US</t>
  </si>
  <si>
    <t>14-12-2024</t>
  </si>
  <si>
    <t>https://drive.google.com/drive/folders/1ZexcNblZgEfgvTyz6lmjt7fygoNmW1SX?usp=drive_link</t>
  </si>
  <si>
    <t>Prof. Florian Holzapfel</t>
  </si>
  <si>
    <t>TUM</t>
  </si>
  <si>
    <t>14-02-2025</t>
  </si>
  <si>
    <t>https://drive.google.com/drive/folders/1M81KKk8X_Nh4wkvSBXDAApOFo87MRRWJ?usp=drive_link</t>
  </si>
  <si>
    <t>Pawan Kumar Mishra,</t>
  </si>
  <si>
    <t>Mendel University</t>
  </si>
  <si>
    <t>15-02-2025</t>
  </si>
  <si>
    <t>https://drive.google.com/drive/folders/1ub-L8bi7zwx45dhn-eFDlOLfmh-1-rjG?usp=drive_link</t>
  </si>
  <si>
    <t>Dr. Kalaivani Chellappan</t>
  </si>
  <si>
    <t>University Kebangsaan</t>
  </si>
  <si>
    <t>https://drive.google.com/drive/folders/1s5zYuWW0-xaxxwlrixYGZbB62PHq2eqG?usp=drive_link</t>
  </si>
  <si>
    <t>Dr. Sc. Prof. Mikhail N. Rychagov</t>
  </si>
  <si>
    <t>24-03-2025</t>
  </si>
  <si>
    <t>25-03-2025</t>
  </si>
  <si>
    <t>https://drive.google.com/drive/folders/1iKaGTEuCi0zH3muBpezuGcSn2UwYV4Hx?usp=drive_link</t>
  </si>
  <si>
    <t>22-06-2025</t>
  </si>
  <si>
    <t>29-06-2025</t>
  </si>
  <si>
    <t>Sabbatical Scholar</t>
  </si>
  <si>
    <t>Prof. Ashok Kaushal</t>
  </si>
  <si>
    <t>Concordia University</t>
  </si>
  <si>
    <t>CANADA</t>
  </si>
  <si>
    <t>15-08-2025</t>
  </si>
  <si>
    <t>15-09-2025</t>
  </si>
  <si>
    <t>18-09-2025</t>
  </si>
  <si>
    <t>Lohith</t>
  </si>
  <si>
    <t>Dr. Deena Gibbons, Professor King’s College London. Dr. Sanjukta Deb, Associate Dean of PGT Education Faculty of Life Sciences and Medicine,</t>
  </si>
  <si>
    <t>1st year School of Basic &amp; Applied Sciences</t>
  </si>
  <si>
    <t>Kings college, London</t>
  </si>
  <si>
    <t>Dr. Sunil Moore,Ms. Supriya Mathew,Ms. Jessica Moule,Ms. Andreea Mihaila</t>
  </si>
  <si>
    <r>
      <rPr>
        <rFont val="Roboto"/>
        <color rgb="FF1155CC"/>
        <sz val="10.0"/>
        <u/>
      </rPr>
      <t>https://drive.google.com/file/d/1uWkBeslpRL2XJ8yIRV63fMBm1wPwibKU/view?usp=sharing</t>
    </r>
  </si>
  <si>
    <t>Dayananda Sagar Institution, Campus 1,MCA Seminar Hall</t>
  </si>
  <si>
    <t>31-1-2023 Kings college London</t>
  </si>
  <si>
    <t>Dr. Steve McKenna, Associate Professor</t>
  </si>
  <si>
    <t>1st year MBA students</t>
  </si>
  <si>
    <t>Curtin Business School Curtin University</t>
  </si>
  <si>
    <t>Prof Nagaraj Subbarao,Ms. Supriya Mathew,Dr. Lakshmi Jagannathan</t>
  </si>
  <si>
    <t>Dr. Steve McKenna seminar report.pdf</t>
  </si>
  <si>
    <t>Dayananda Sagar University, Campus 3,MBA room 18-19</t>
  </si>
  <si>
    <t>https://drive.google.com/drive/folders/1fiblNUxoh2afzypM0vo52pNtrfkO0I9J?usp=drive_link</t>
  </si>
  <si>
    <t>PhotoShoot</t>
  </si>
  <si>
    <t>Department of International Affairs</t>
  </si>
  <si>
    <t>Dayananda Sagar University , Campus -4</t>
  </si>
  <si>
    <t>Dr. Mahendra Sunkara</t>
  </si>
  <si>
    <t>aeronutical engineering</t>
  </si>
  <si>
    <t>University of Louisville, USA</t>
  </si>
  <si>
    <t>chairman ram kunar</t>
  </si>
  <si>
    <r>
      <rPr>
        <rFont val="Roboto"/>
        <color rgb="FF1155CC"/>
        <sz val="10.0"/>
        <u/>
      </rPr>
      <t>https://drive.google.com/file/d/1aiGw6cgX7lg0zxywmCFdB3rwkezmULk7/view?usp=sharing</t>
    </r>
  </si>
  <si>
    <t>Dayananda Sagar University, Campus 3,seminer room</t>
  </si>
  <si>
    <t>https://drive.google.com/drive/folders/1aILR2uqp3hwCAcxwqe094fOSvKG4vyYJ?usp=drive_link</t>
  </si>
  <si>
    <t>Education Fair</t>
  </si>
  <si>
    <t>Ms. Neetu Verma</t>
  </si>
  <si>
    <t>students</t>
  </si>
  <si>
    <t>all France University</t>
  </si>
  <si>
    <t>https://drive.google.com/file/d/1bC-_uDPnjABTySoAdU6x4ddHgKEuzrGM/view?usp=sharing</t>
  </si>
  <si>
    <t>Taj hotel MG Road</t>
  </si>
  <si>
    <t>https://drive.google.com/file/d/1-pfpU5i1PI8jsuH8DH37AOs_ZInRnW-y/view?usp=drive_link</t>
  </si>
  <si>
    <t>Webinar</t>
  </si>
  <si>
    <t>Mr. Raj Vangapandu, President</t>
  </si>
  <si>
    <t>engineering student</t>
  </si>
  <si>
    <t>Prof. Vinayak Hemadr, Ms. Supriya Mathew</t>
  </si>
  <si>
    <t>https://drive.google.com/file/d/1bFmJ04XM9kPOGGiWN9de9B-cUEJ4Ik-3/view?usp=sharing</t>
  </si>
  <si>
    <t>Dayananda sagar university</t>
  </si>
  <si>
    <t>https://drive.google.com/file/d/1Tr_mzRFBYsGA7iBc1zT0RTIc1Y5PeST0/view?usp=drive_link</t>
  </si>
  <si>
    <t>Ms. Margo GIRARD</t>
  </si>
  <si>
    <t>https://drive.google.com/file/d/1bNm4pRWX2vNx1DJRfFB2ZYKwM4K9ieZJ/view?usp=sharing</t>
  </si>
  <si>
    <t>JSS Academy of Higher Education, JSS Medical College</t>
  </si>
  <si>
    <t>https://drive.google.com/drive/folders/1PgCoGAwuQyYKqVJfyqPam5KMue2N9LDV?usp=drive_link</t>
  </si>
  <si>
    <t>Mr. Ani Agnihotri,CEO</t>
  </si>
  <si>
    <t>Marshall Automation, USA</t>
  </si>
  <si>
    <t>https://drive.google.com/file/d/1bV3_x-v4Su361j-WGnLokONQkNFieQ_9/view?usp=sharing</t>
  </si>
  <si>
    <t>Dayananda sagar university , campus 3</t>
  </si>
  <si>
    <t>https://drive.google.com/file/d/1MGPcFSuiMQluGFn8uWDV8oAtcu3WIcrk/view?usp=drive_link</t>
  </si>
  <si>
    <t>Ms. Savana Pires, Professor</t>
  </si>
  <si>
    <t>Porto Business School, Portugal</t>
  </si>
  <si>
    <t>Prof Nagaraj Subbarao</t>
  </si>
  <si>
    <t>Ms. Golda MALHOTRA</t>
  </si>
  <si>
    <t>DSU students</t>
  </si>
  <si>
    <t>Seminar/ Agent</t>
  </si>
  <si>
    <t>Wallick Globel Consulting</t>
  </si>
  <si>
    <t>computer science engineering departments</t>
  </si>
  <si>
    <t>Seminar / MoU</t>
  </si>
  <si>
    <t>Ms. Lucille Guillet, Professor, MBway ,France</t>
  </si>
  <si>
    <t>Seminar/ MoU</t>
  </si>
  <si>
    <t>Dr. Francois Xavier Mortreuil, Attaché</t>
  </si>
  <si>
    <t>France Embassy France</t>
  </si>
  <si>
    <t>Dr. Francois Xavier Mortreuil, Attaché for Sciences and Higher Education French Embassy in India,Ms. Lucille Guillet, Officer for scientific &amp; academic cooperation,Dr. Oindrilla De, Deputy Attaché for scientific &amp; academic cooperation,Mr. Ankit Soni, Manager, International Relations and Admissions, MBway, France,Mr. Yash Khakhar, Manager, Campus France India</t>
  </si>
  <si>
    <r>
      <rPr>
        <rFont val="Roboto"/>
        <color rgb="FF1155CC"/>
        <sz val="10.0"/>
        <u/>
      </rPr>
      <t>https://drive.google.com/file/d/1JVXIWT1AOrl0K1sbDmFt-mYuE64zaWFK/view?usp=sharing</t>
    </r>
  </si>
  <si>
    <t>https://drive.google.com/file/d/1mPDynQp7J0vuKMIE1jbcN1qb535XleQz/view?usp=drive_link</t>
  </si>
  <si>
    <t>Ms. Eliana Risicato</t>
  </si>
  <si>
    <t>University of Messina, Italy</t>
  </si>
  <si>
    <t>Dr. Sampatrao L Pinjare , Professor</t>
  </si>
  <si>
    <t>NMIT, India</t>
  </si>
  <si>
    <t>Mr.  Prof.Dr. Sudhanshu Rai,Associate Professor, Mr. Michael Christiansenl, Chief Consultant</t>
  </si>
  <si>
    <t>Copenhagen Business School</t>
  </si>
  <si>
    <t>https://drive.google.com/file/d/1br6A_YCp67GoiOtxCUGYpzvmOnoYMCxS/view?usp=sharing</t>
  </si>
  <si>
    <t>https://drive.google.com/file/d/1gjNgbE_AeOV5twW8xqnbMW1sdY8CIpEa/view?usp=drive_link</t>
  </si>
  <si>
    <t>Mr. Ben Boman, Director Mr. Patrik Lindergren,CTO Ms. Merlin, Delegate</t>
  </si>
  <si>
    <t>Vialumina &amp; Kibbcom - Sweden</t>
  </si>
  <si>
    <t>Kibbcom Team &amp; Vialumina Team</t>
  </si>
  <si>
    <t>Dayananda Sagar University , Campus 3</t>
  </si>
  <si>
    <t>Ms. Ananya Venkat, manager</t>
  </si>
  <si>
    <t>AppsQuiver</t>
  </si>
  <si>
    <t>AppsQuiver Team Online</t>
  </si>
  <si>
    <t>Dr. Ankush Aggarwal, Professor</t>
  </si>
  <si>
    <t>Department of Aerospace Engineering,</t>
  </si>
  <si>
    <t>James Watt School of Engineering at the University of Glasgow</t>
  </si>
  <si>
    <t>Prof. B.V.N. Ramakumar,Chairman</t>
  </si>
  <si>
    <t>https://drive.google.com/file/d/1bvxPqwYuPyRAHabcjvXJQ9VWGPJyaJgD/view?usp=sharing</t>
  </si>
  <si>
    <t>Dayananda Sagar University campus 3 ,Gallery Hall 1</t>
  </si>
  <si>
    <t>https://drive.google.com/file/d/1kgS0ynWg70KPKcRHHADMwH9uLtTxcPFZ/view?usp=drive_link</t>
  </si>
  <si>
    <t>Mr.Lewis Cardenas, Reginal Derictor, Ms. Preetika Sachar, Center manager</t>
  </si>
  <si>
    <t>https://drive.google.com/file/d/1c1VMIiY0zPRRXvZH2L8xW2tH7tBHRUdW/view?usp=sharing</t>
  </si>
  <si>
    <t>https://drive.google.com/file/d/1IXSIDXnBZaLP6GqzITfkhPU2Y2_60KOF/view?usp=drive_link</t>
  </si>
  <si>
    <t>Dr. Amit Bhatt – Pro Vice-Chancellor,</t>
  </si>
  <si>
    <t>Artificial Intelligence: Shaping the future of employment</t>
  </si>
  <si>
    <t>REPORT ON EVENT(25-07) (1).pdf</t>
  </si>
  <si>
    <t>https://drive.google.com/file/d/1v0VQyf8axdBgEXHt8V11O5IybFQ_Kzy5/view?usp=drive_link</t>
  </si>
  <si>
    <t>Md Elmughribi , Asst-professor, Ms. Kate Brenan, Senior International Relations manager</t>
  </si>
  <si>
    <t>School of engineering</t>
  </si>
  <si>
    <t>University of Nottingham</t>
  </si>
  <si>
    <t>https://drive.google.com/file/d/1c92Nowt2uuNgkN8XT6pR1be8YsJvSnkj/view?usp=sharing</t>
  </si>
  <si>
    <t>Report on University of Nottingham.pdf</t>
  </si>
  <si>
    <t>Dr.Mahendra Sunkara, Professor</t>
  </si>
  <si>
    <t>University of Louisville</t>
  </si>
  <si>
    <t>REPORT ON EVENT(05-09).pdf</t>
  </si>
  <si>
    <t>Dayananda Sagar University,Campus 3</t>
  </si>
  <si>
    <t>Guest Lecture</t>
  </si>
  <si>
    <t>Mr. Steve Mchenna, Associate Professor</t>
  </si>
  <si>
    <t>Curtain University</t>
  </si>
  <si>
    <t>12-09-2023 Steve McKenna</t>
  </si>
  <si>
    <t>Prof. Steve, Professor</t>
  </si>
  <si>
    <t>Report_on_MOU_Exchange_DSU&amp;SU[1].pdf</t>
  </si>
  <si>
    <t>Dayananda Sagar University,Campus 4</t>
  </si>
  <si>
    <t>Mr Ron White, Mr Stephen Boyle, professor</t>
  </si>
  <si>
    <t>engineering / business</t>
  </si>
  <si>
    <t>Report on Jamescook University.pdf</t>
  </si>
  <si>
    <t>Dayananda sagar University, Campus 4</t>
  </si>
  <si>
    <t>Dr. Harry W.M. Steinbusch, Professor in Cellular and Translational Neuroscience and Founding Director MHeNs, EURON, NENS, DCUN</t>
  </si>
  <si>
    <t>University of Maastricht, Netherlands</t>
  </si>
  <si>
    <t>Engineering department</t>
  </si>
  <si>
    <t>REPORT ON EVENT 09-10.pdf</t>
  </si>
  <si>
    <t>Dr. Truman , Dr. Christina, Professor</t>
  </si>
  <si>
    <t>University of Missouri Kansas City</t>
  </si>
  <si>
    <t>Report on UMKC Visit at DSU.pdf</t>
  </si>
  <si>
    <t>Mr. Raj Venkat, President</t>
  </si>
  <si>
    <t>Auto-sol</t>
  </si>
  <si>
    <t>16-10-2023(Autosol)</t>
  </si>
  <si>
    <t>Dr. Nagraj Subarao</t>
  </si>
  <si>
    <t>ULAB Students</t>
  </si>
  <si>
    <t>Report.pdf</t>
  </si>
  <si>
    <t>Dayananda sagar University, Campus 3</t>
  </si>
  <si>
    <t>Dr. Javed Khan, Kent state University</t>
  </si>
  <si>
    <t>Kent State University</t>
  </si>
  <si>
    <t>Report on Kent state university.pdf</t>
  </si>
  <si>
    <t>Dr. Clemens, Prof and Founding Director of the FÖPS Berlin</t>
  </si>
  <si>
    <t>Founding Director of the FÖPS Berlin</t>
  </si>
  <si>
    <t>Dr. Clemens, Prof and Founding Director of the FÖPS Berlin.pdf</t>
  </si>
  <si>
    <t>Mr. Arvind Shivamani, Adviser</t>
  </si>
  <si>
    <t>Adviser at Eduction USA, Chennai</t>
  </si>
  <si>
    <t>https://drive.google.com/drive/folders/1YQqbYhRvbV4eLTImtp5T6kpgsZJnwOOE?usp=drive_link</t>
  </si>
  <si>
    <t>Prof. Dimitrios, Queen's University Belfast, UK</t>
  </si>
  <si>
    <t>Queen's University Belfast, UK</t>
  </si>
  <si>
    <t>Dayananda Sagar University, Campus 1</t>
  </si>
  <si>
    <t>Event</t>
  </si>
  <si>
    <t>International Model United Nations</t>
  </si>
  <si>
    <t>Dayananda Sagar University Campus 4</t>
  </si>
  <si>
    <t>IMUN - photos</t>
  </si>
  <si>
    <t>Seminar on Technical sharing of eVTOL by Prof. Dr.-Ing. Florian Holzapfel</t>
  </si>
  <si>
    <t>Dayananda Sagar University Campus 3</t>
  </si>
  <si>
    <t>Mr. Laurent CHEBASSIER, Director for International Partnerships , Aviancity school of techonolgy and business</t>
  </si>
  <si>
    <t>Aviancity school of techonolgy and business</t>
  </si>
  <si>
    <t>Global Education Fair</t>
  </si>
  <si>
    <t>Global Education Fair invited 14 International Universities</t>
  </si>
  <si>
    <t>14 International Universities</t>
  </si>
  <si>
    <t>https://drive.google.com/drive/folders/1k887YWQd0dGtAohpgIw4tnM4fd1TnWZ4?usp=drive_link</t>
  </si>
  <si>
    <t>Dr. Steve Mckenna, Curtin University</t>
  </si>
  <si>
    <t>DSU SCMS (PG) Students</t>
  </si>
  <si>
    <t>Curtin University, Australia</t>
  </si>
  <si>
    <t>Dayananda Sagar University Campus 1 &amp; 3</t>
  </si>
  <si>
    <t>https://drive.google.com/drive/folders/1apoz-KYNUHeYsTNAwhG9WyscPGAhZ2v1?usp=drive_link</t>
  </si>
  <si>
    <t>Session with Research Scholar</t>
  </si>
  <si>
    <t>Dr. Suresh Renukkapa, Dr. Subhashini</t>
  </si>
  <si>
    <t>https://drive.google.com/drive/folders/1_LVNQTC3fYbRPtMSXuvUkTNMZPTpcSQW?usp=drive_link</t>
  </si>
  <si>
    <t>workshop</t>
  </si>
  <si>
    <t>Dr. Rajesh Nair</t>
  </si>
  <si>
    <t>MIT University</t>
  </si>
  <si>
    <t>SCMS Students</t>
  </si>
  <si>
    <t>04 - 09 - 2024 (Design thinking workshop)</t>
  </si>
  <si>
    <t>Organized by IDP</t>
  </si>
  <si>
    <t>Dayananda Sagar University, Campus 4</t>
  </si>
  <si>
    <t>https://drive.google.com/drive/folders/1SQWj0XJZKTZLsScfzpvwKmzzrK7NjVIx?usp=drive_link</t>
  </si>
  <si>
    <t>NASA Hackathon</t>
  </si>
  <si>
    <t>NASA Space app Hackathon</t>
  </si>
  <si>
    <t>https://drive.google.com/drive/folders/1P78EHR1n3lceMwS14ZWbdWzEE_HL2YRr?usp=drive_link</t>
  </si>
  <si>
    <t>TEDXDSU</t>
  </si>
  <si>
    <t xml:space="preserve">Orli Weitzman-Consul General of Israel to South India
Kisha Gupta- Senior Director &amp; Global Head, Infosys
Dr. Karuna Shankar Pande - Vice President, Amazon India
Deepak Himmat - Executive Vice President, Star Health &amp; Investor
James Godber - Dy. Head of Mission, British High Commission
Mr. Kuldeep Kumar Jain - Traffic Police Commissioner (East)
</t>
  </si>
  <si>
    <t>TEDDXDSU</t>
  </si>
  <si>
    <t>https://drive.google.com/drive/folders/1TH-XkdUBTw1m7kSnIJV5vYjlaxlxAkPV?usp=sharing</t>
  </si>
  <si>
    <t>Open House Event</t>
  </si>
  <si>
    <t>MS. BR Vasantha Lakshmi, Principal, Ms. Supriya Johnson, Principal, Dr. Shalini, Principal, Ms. Soumya N Prasad, Mr. Raghu CJ</t>
  </si>
  <si>
    <t>SSMRV PU College, Lawrence High School, ICSE, City College, Bishop Cotton Women's Christian, New Baldwin International School</t>
  </si>
  <si>
    <t>https://drive.google.com/drive/folders/1kcZOqwpEFE9xMoFsIzjoQXj9eaugswfM?usp=drive_link</t>
  </si>
  <si>
    <t>Scholar Residence</t>
  </si>
  <si>
    <t>Dr. Sc. Prof. MiKhail N. Rychagov</t>
  </si>
  <si>
    <t>Students</t>
  </si>
  <si>
    <t>DSU Globe Fest</t>
  </si>
  <si>
    <t>Dr. Zeke Montgometry (DU), Dr. Maureen MacFarland(KSU), Dr. Jeremy(NCU), Prof. Tony(AU)</t>
  </si>
  <si>
    <t>Drexel University, USA, Kent State University, USA, New Castle University, USA, Adelaide University, USA</t>
  </si>
  <si>
    <t>https://drive.google.com/drive/folders/11KOizCFCVsIvZJoPlZDN7qx1J3mqIDHG?usp=drive_link</t>
  </si>
  <si>
    <t>NASA Space Apps Award Ceremony</t>
  </si>
  <si>
    <t>Mr. Raja Krishnamoorthy, Mr. Mohammed Tousif, Dr. S.Senthil, Dr. Ram Kumar G, Mr. Madan Ganesh, Mr. Ramesh Rajamani,</t>
  </si>
  <si>
    <t>https://drive.google.com/drive/folders/1xTwtMRdLqA0vyTXngXka9fJ2N0U2uu5X?usp=drive_link</t>
  </si>
  <si>
    <t>Tibet Week</t>
  </si>
  <si>
    <t>Dr. Tenzin Passang, Principal, DLIHE, Mr. Jigme Tsultrim, Chief Representative Officer – South Zone, CTA</t>
  </si>
  <si>
    <t>Dalai Lama Institute for Higher Education</t>
  </si>
  <si>
    <t>https://drive.google.com/drive/folders/1CRoQSMFAZwQbm22sPIiOuIasDsg04PW1?usp=drive_link</t>
  </si>
  <si>
    <t>TEDx DSU</t>
  </si>
  <si>
    <t>Dr. Ravikumar Y S, IPS, Dr. Nishant Chandra,
 Kristin Stasiowski, Associate Dean of International Programs and Education Abroad for the College of Arts and Sciences
 Anuroop Nair,
 Dr. Paulo Mora-Ávila,
 Maj (Dr.) Guruprasad Thimmaiah,
 Dr. Marcello Fantoni - Vice President, Global Education,
 Nick Slade - Deputy PVC International and External Affairs,
 Tejas H R - NASA Space Apps Student President</t>
  </si>
  <si>
    <t>Inspector General of Police, State Security Intelligence, Industry Copilot Leader &amp; Head-Microsoft,
 Kent State University,
 Investor | Startup Mentor,
 University of Worcester-UK,
 Dy. Medical Superintendent-CDSIMER,
 Kent State University,
 University of Worcester-UK,
 DSU</t>
  </si>
  <si>
    <t>https://drive.google.com/drive/folders/1WDZNRtIgEMOmoBB75ajPb4XxOLuwjhJK?usp=drive_link</t>
  </si>
  <si>
    <t>Fyrstgen Ideathon 2025</t>
  </si>
  <si>
    <t>Mr. Philipp Assmus-Founder &amp; CEO, FyrstGen, Ms. Clémence Kopeikin – Chief Impact Officer FyrstGen, Mr. Vinod Babu – UN</t>
  </si>
  <si>
    <t>https://drive.google.com/drive/folders/1t1ueCAANBmlH2dhpuBGFM58thEbUqlKh?usp=drive_link</t>
  </si>
  <si>
    <t>RETURN TO DASHBOARD</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</si>
</sst>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d/yyyy h:mm:ss"/>
    <numFmt numFmtId="165" formatCode="mm-dd-yyyy"/>
    <numFmt numFmtId="166" formatCode="mm/dd/yyyy"/>
    <numFmt numFmtId="167" formatCode="m/d/yyyy"/>
  </numFmts>
  <fonts count="28">
    <font>
      <sz val="10.0"/>
      <color rgb="FF000000"/>
      <name val="Arial"/>
      <scheme val="minor"/>
    </font>
    <font>
      <color theme="1"/>
      <name val="Arial"/>
      <scheme val="minor"/>
    </font>
    <font>
      <b/>
      <sz val="26.0"/>
      <color rgb="FFFFFFFF"/>
      <name val="Arial"/>
      <scheme val="minor"/>
    </font>
    <font>
      <b/>
      <u/>
      <sz val="14.0"/>
      <color rgb="FF000000"/>
    </font>
    <font/>
    <font>
      <sz val="10.0"/>
      <color theme="1"/>
      <name val="Roboto"/>
    </font>
    <font>
      <u/>
      <sz val="10.0"/>
      <color rgb="FF0000FF"/>
      <name val="Roboto"/>
    </font>
    <font>
      <u/>
      <color rgb="FF0000FF"/>
      <name val="Roboto"/>
    </font>
    <font>
      <sz val="10.0"/>
      <color rgb="FF434343"/>
      <name val="Roboto"/>
    </font>
    <font>
      <u/>
      <sz val="10.0"/>
      <color rgb="FF0000FF"/>
      <name val="Roboto"/>
    </font>
    <font>
      <sz val="10.0"/>
      <color rgb="FF000000"/>
      <name val="Roboto"/>
    </font>
    <font>
      <sz val="10.0"/>
      <color rgb="FF222222"/>
      <name val="Roboto"/>
    </font>
    <font>
      <u/>
      <sz val="10.0"/>
      <color rgb="FF0000FF"/>
      <name val="Roboto"/>
    </font>
    <font>
      <u/>
      <sz val="10.0"/>
      <color theme="1"/>
      <name val="Roboto"/>
    </font>
    <font>
      <u/>
      <sz val="10.0"/>
      <color theme="1"/>
      <name val="Roboto"/>
    </font>
    <font>
      <u/>
      <sz val="10.0"/>
      <color rgb="FF0B4CB4"/>
      <name val="Roboto"/>
    </font>
    <font>
      <u/>
      <sz val="10.0"/>
      <color theme="1"/>
      <name val="Roboto"/>
    </font>
    <font>
      <u/>
      <sz val="10.0"/>
      <color rgb="FF000000"/>
      <name val="Roboto"/>
    </font>
    <font>
      <b/>
      <u/>
      <sz val="12.0"/>
      <color rgb="FF0000FF"/>
    </font>
    <font>
      <sz val="12.0"/>
      <color rgb="FFFFFFFF"/>
      <name val="Arial"/>
      <scheme val="minor"/>
    </font>
    <font>
      <u/>
      <color rgb="FF0000FF"/>
    </font>
    <font>
      <b/>
      <u/>
      <sz val="12.0"/>
      <color rgb="FF0000FF"/>
      <name val="Roboto"/>
    </font>
    <font>
      <color rgb="FF0264D4"/>
      <name val="Roboto"/>
    </font>
    <font>
      <b/>
      <sz val="12.0"/>
      <color rgb="FFFFFFFF"/>
      <name val="Arial"/>
      <scheme val="minor"/>
    </font>
    <font>
      <u/>
      <color theme="1"/>
      <name val="Arial"/>
      <scheme val="minor"/>
    </font>
    <font>
      <u/>
      <color rgb="FF0000FF"/>
    </font>
    <font>
      <u/>
      <color rgb="FF0000FF"/>
    </font>
    <font>
      <b/>
      <u/>
      <sz val="12.0"/>
      <color rgb="FF0000FF"/>
    </font>
  </fonts>
  <fills count="5">
    <fill>
      <patternFill patternType="none"/>
    </fill>
    <fill>
      <patternFill patternType="lightGray"/>
    </fill>
    <fill>
      <patternFill patternType="solid">
        <fgColor rgb="FF1C4587"/>
        <bgColor rgb="FF1C4587"/>
      </patternFill>
    </fill>
    <fill>
      <patternFill patternType="solid">
        <fgColor rgb="FF00FF00"/>
        <bgColor rgb="FF00FF00"/>
      </patternFill>
    </fill>
    <fill>
      <patternFill patternType="solid">
        <fgColor rgb="FFFFFFFF"/>
        <bgColor rgb="FFFFFFFF"/>
      </patternFill>
    </fill>
  </fills>
  <borders count="6">
    <border/>
    <border>
      <left style="medium">
        <color rgb="FF000000"/>
      </left>
      <top style="medium">
        <color rgb="FF000000"/>
      </top>
    </border>
    <border>
      <right style="medium">
        <color rgb="FF000000"/>
      </right>
      <top style="medium">
        <color rgb="FF000000"/>
      </top>
    </border>
    <border>
      <left style="medium">
        <color rgb="FF000000"/>
      </left>
      <bottom style="medium">
        <color rgb="FF000000"/>
      </bottom>
    </border>
    <border>
      <right style="medium">
        <color rgb="FF000000"/>
      </right>
      <bottom style="medium">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7">
    <xf borderId="0" fillId="0" fontId="0" numFmtId="0" xfId="0" applyAlignment="1" applyFont="1">
      <alignment readingOrder="0" shrinkToFit="0" vertical="bottom" wrapText="0"/>
    </xf>
    <xf borderId="0" fillId="2" fontId="1" numFmtId="0" xfId="0" applyFill="1" applyFont="1"/>
    <xf borderId="0" fillId="2" fontId="2" numFmtId="0" xfId="0" applyAlignment="1" applyFont="1">
      <alignment horizontal="center" readingOrder="0" vertical="bottom"/>
    </xf>
    <xf borderId="1" fillId="3" fontId="3" numFmtId="0" xfId="0" applyAlignment="1" applyBorder="1" applyFill="1" applyFont="1">
      <alignment horizontal="center" readingOrder="0" vertical="center"/>
    </xf>
    <xf borderId="2" fillId="0" fontId="4" numFmtId="0" xfId="0" applyBorder="1" applyFont="1"/>
    <xf borderId="3" fillId="0" fontId="4" numFmtId="0" xfId="0" applyBorder="1" applyFont="1"/>
    <xf borderId="4" fillId="0" fontId="4" numFmtId="0" xfId="0" applyBorder="1" applyFont="1"/>
    <xf borderId="5" fillId="2" fontId="5" numFmtId="0" xfId="0" applyAlignment="1" applyBorder="1" applyFont="1">
      <alignment horizontal="left" readingOrder="0" shrinkToFit="0" vertical="center" wrapText="0"/>
    </xf>
    <xf borderId="5" fillId="2" fontId="5" numFmtId="0" xfId="0" applyAlignment="1" applyBorder="1" applyFont="1">
      <alignment horizontal="left" readingOrder="0" shrinkToFit="0" vertical="center" wrapText="0"/>
    </xf>
    <xf borderId="5" fillId="2" fontId="5" numFmtId="0" xfId="0" applyAlignment="1" applyBorder="1" applyFont="1">
      <alignment horizontal="left" readingOrder="0" shrinkToFit="0" vertical="center" wrapText="0"/>
    </xf>
    <xf borderId="5" fillId="4" fontId="5" numFmtId="164" xfId="0" applyAlignment="1" applyBorder="1" applyFill="1" applyFont="1" applyNumberFormat="1">
      <alignment readingOrder="0" shrinkToFit="0" vertical="center" wrapText="0"/>
    </xf>
    <xf borderId="5" fillId="4" fontId="5" numFmtId="0" xfId="0" applyAlignment="1" applyBorder="1" applyFont="1">
      <alignment readingOrder="0" shrinkToFit="0" vertical="center" wrapText="0"/>
    </xf>
    <xf borderId="5" fillId="4" fontId="5" numFmtId="0" xfId="0" applyAlignment="1" applyBorder="1" applyFont="1">
      <alignment shrinkToFit="0" vertical="center" wrapText="0"/>
    </xf>
    <xf borderId="5" fillId="4" fontId="5" numFmtId="14" xfId="0" applyAlignment="1" applyBorder="1" applyFont="1" applyNumberFormat="1">
      <alignment horizontal="right" readingOrder="0" shrinkToFit="0" vertical="center" wrapText="0"/>
    </xf>
    <xf borderId="5" fillId="4" fontId="5" numFmtId="0" xfId="0" applyAlignment="1" applyBorder="1" applyFont="1">
      <alignment horizontal="left" readingOrder="0" shrinkToFit="0" vertical="center" wrapText="0"/>
    </xf>
    <xf borderId="5" fillId="4" fontId="6" numFmtId="0" xfId="0" applyAlignment="1" applyBorder="1" applyFont="1">
      <alignment readingOrder="0" shrinkToFit="0" vertical="center" wrapText="0"/>
    </xf>
    <xf borderId="5" fillId="4" fontId="5" numFmtId="14" xfId="0" applyAlignment="1" applyBorder="1" applyFont="1" applyNumberFormat="1">
      <alignment readingOrder="0" shrinkToFit="0" vertical="center" wrapText="0"/>
    </xf>
    <xf borderId="5" fillId="4" fontId="5" numFmtId="0" xfId="0" applyAlignment="1" applyBorder="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4" xfId="0" applyAlignment="1" applyFont="1" applyNumberFormat="1">
      <alignment readingOrder="0" shrinkToFit="0" vertical="center" wrapText="0"/>
    </xf>
    <xf borderId="0" fillId="0" fontId="7" numFmtId="0" xfId="0" applyAlignment="1" applyFont="1">
      <alignment readingOrder="0" shrinkToFit="0" vertical="center" wrapText="0"/>
    </xf>
    <xf borderId="5" fillId="4" fontId="8" numFmtId="0" xfId="0" applyAlignment="1" applyBorder="1" applyFont="1">
      <alignment readingOrder="0" shrinkToFit="0" vertical="center" wrapText="0"/>
    </xf>
    <xf borderId="5" fillId="4" fontId="8" numFmtId="0" xfId="0" applyAlignment="1" applyBorder="1" applyFont="1">
      <alignment horizontal="left" readingOrder="0" shrinkToFit="0" vertical="center" wrapText="0"/>
    </xf>
    <xf borderId="5" fillId="4" fontId="8" numFmtId="14" xfId="0" applyAlignment="1" applyBorder="1" applyFont="1" applyNumberFormat="1">
      <alignment horizontal="right" readingOrder="0" shrinkToFit="0" vertical="center" wrapText="0"/>
    </xf>
    <xf borderId="5" fillId="4" fontId="8" numFmtId="0" xfId="0" applyAlignment="1" applyBorder="1" applyFont="1">
      <alignment horizontal="right" readingOrder="0" shrinkToFit="0" vertical="center" wrapText="0"/>
    </xf>
    <xf borderId="5" fillId="4" fontId="9" numFmtId="0" xfId="0" applyAlignment="1" applyBorder="1" applyFont="1">
      <alignment readingOrder="0" shrinkToFit="0" vertical="center" wrapText="0"/>
    </xf>
    <xf borderId="5" fillId="4" fontId="8" numFmtId="0" xfId="0" applyAlignment="1" applyBorder="1" applyFont="1">
      <alignment horizontal="left" readingOrder="0" shrinkToFit="0" vertical="center" wrapText="0"/>
    </xf>
    <xf borderId="5" fillId="4" fontId="8" numFmtId="0" xfId="0" applyAlignment="1" applyBorder="1" applyFont="1">
      <alignment horizontal="right" readingOrder="0" shrinkToFit="0" vertical="center" wrapText="0"/>
    </xf>
    <xf borderId="5" fillId="4" fontId="8" numFmtId="14" xfId="0" applyAlignment="1" applyBorder="1" applyFont="1" applyNumberFormat="1">
      <alignment horizontal="right" readingOrder="0" shrinkToFit="0" vertical="center" wrapText="0"/>
    </xf>
    <xf borderId="5" fillId="4" fontId="10" numFmtId="0" xfId="0" applyAlignment="1" applyBorder="1" applyFont="1">
      <alignment horizontal="center" readingOrder="0" shrinkToFit="0" vertical="center" wrapText="0"/>
    </xf>
    <xf borderId="5" fillId="4" fontId="10" numFmtId="165" xfId="0" applyAlignment="1" applyBorder="1" applyFont="1" applyNumberFormat="1">
      <alignment horizontal="center" readingOrder="0" shrinkToFit="0" vertical="center" wrapText="0"/>
    </xf>
    <xf borderId="5" fillId="4" fontId="11" numFmtId="0" xfId="0" applyAlignment="1" applyBorder="1" applyFont="1">
      <alignment readingOrder="0" shrinkToFit="0" vertical="center" wrapText="0"/>
    </xf>
    <xf borderId="5" fillId="4" fontId="5" numFmtId="166" xfId="0" applyAlignment="1" applyBorder="1" applyFont="1" applyNumberFormat="1">
      <alignment readingOrder="0" shrinkToFit="0" vertical="center" wrapText="0"/>
    </xf>
    <xf borderId="5" fillId="4" fontId="10" numFmtId="0" xfId="0" applyAlignment="1" applyBorder="1" applyFont="1">
      <alignment horizontal="center" readingOrder="0" shrinkToFit="0" vertical="center" wrapText="0"/>
    </xf>
    <xf borderId="5" fillId="4" fontId="12" numFmtId="0" xfId="0" applyAlignment="1" applyBorder="1" applyFont="1">
      <alignment horizontal="center" readingOrder="0" shrinkToFit="0" vertical="center" wrapText="0"/>
    </xf>
    <xf borderId="5" fillId="4" fontId="13" numFmtId="0" xfId="0" applyAlignment="1" applyBorder="1" applyFont="1">
      <alignment readingOrder="0" shrinkToFit="0" vertical="center" wrapText="0"/>
    </xf>
    <xf borderId="5" fillId="4" fontId="14" numFmtId="0" xfId="0" applyAlignment="1" applyBorder="1" applyFont="1">
      <alignment horizontal="center" readingOrder="0" shrinkToFit="0" vertical="center" wrapText="0"/>
    </xf>
    <xf borderId="5" fillId="4" fontId="15" numFmtId="0" xfId="0" applyAlignment="1" applyBorder="1" applyFont="1">
      <alignment horizontal="center" readingOrder="0" shrinkToFit="0" vertical="center" wrapText="0"/>
    </xf>
    <xf borderId="5" fillId="4" fontId="5" numFmtId="167" xfId="0" applyAlignment="1" applyBorder="1" applyFont="1" applyNumberFormat="1">
      <alignment readingOrder="0" shrinkToFit="0" vertical="center" wrapText="0"/>
    </xf>
    <xf borderId="5" fillId="4" fontId="16" numFmtId="0" xfId="0" applyAlignment="1" applyBorder="1" applyFont="1">
      <alignment readingOrder="0" shrinkToFit="0" vertical="center" wrapText="0"/>
    </xf>
    <xf borderId="5" fillId="4" fontId="17" numFmtId="0" xfId="0" applyAlignment="1" applyBorder="1" applyFont="1">
      <alignment horizontal="center" readingOrder="0" shrinkToFit="0" vertical="center" wrapText="0"/>
    </xf>
    <xf borderId="5" fillId="4" fontId="10" numFmtId="0" xfId="0" applyAlignment="1" applyBorder="1" applyFont="1">
      <alignment readingOrder="0" shrinkToFit="0" vertical="center" wrapText="0"/>
    </xf>
    <xf borderId="0" fillId="3" fontId="18" numFmtId="0" xfId="0" applyAlignment="1" applyFont="1">
      <alignment horizontal="center" readingOrder="0" shrinkToFit="0" vertical="center" wrapText="1"/>
    </xf>
    <xf borderId="0" fillId="2" fontId="19" numFmtId="0" xfId="0" applyAlignment="1" applyFont="1">
      <alignment vertical="center"/>
    </xf>
    <xf borderId="0" fillId="2" fontId="19" numFmtId="0" xfId="0" applyAlignment="1" applyFont="1">
      <alignment shrinkToFit="0" vertical="center" wrapText="1"/>
    </xf>
    <xf borderId="0" fillId="2" fontId="19" numFmtId="0" xfId="0" applyFont="1"/>
    <xf borderId="0" fillId="0" fontId="1" numFmtId="0" xfId="0" applyAlignment="1" applyFont="1">
      <alignment vertical="center"/>
    </xf>
    <xf borderId="0" fillId="0" fontId="1" numFmtId="14" xfId="0" applyAlignment="1" applyFont="1" applyNumberFormat="1">
      <alignment vertical="center"/>
    </xf>
    <xf borderId="0" fillId="0" fontId="1" numFmtId="0" xfId="0" applyAlignment="1" applyFont="1">
      <alignment shrinkToFit="0" vertical="center" wrapText="1"/>
    </xf>
    <xf borderId="0" fillId="0" fontId="20" numFmtId="0" xfId="0" applyAlignment="1" applyFont="1">
      <alignment shrinkToFit="0" vertical="center" wrapText="1"/>
    </xf>
    <xf borderId="0" fillId="3" fontId="21" numFmtId="0" xfId="0" applyAlignment="1" applyFont="1">
      <alignment horizontal="center" readingOrder="0" shrinkToFit="0" wrapText="1"/>
    </xf>
    <xf borderId="0" fillId="4" fontId="22" numFmtId="0" xfId="0" applyAlignment="1" applyFont="1">
      <alignment horizontal="left"/>
    </xf>
    <xf borderId="0" fillId="0" fontId="1" numFmtId="14" xfId="0" applyAlignment="1" applyFont="1" applyNumberFormat="1">
      <alignment shrinkToFit="0" vertical="center" wrapText="1"/>
    </xf>
    <xf borderId="0" fillId="2" fontId="23" numFmtId="0" xfId="0" applyAlignment="1" applyFont="1">
      <alignment shrinkToFit="0" vertical="center" wrapText="1"/>
    </xf>
    <xf borderId="0" fillId="0" fontId="1" numFmtId="166" xfId="0" applyAlignment="1" applyFont="1" applyNumberFormat="1">
      <alignment shrinkToFit="0" vertical="center" wrapText="1"/>
    </xf>
    <xf borderId="0" fillId="0" fontId="24" numFmtId="0" xfId="0" applyAlignment="1" applyFont="1">
      <alignment shrinkToFit="0" vertical="center" wrapText="1"/>
    </xf>
    <xf borderId="0" fillId="0" fontId="1" numFmtId="0" xfId="0" applyFont="1"/>
    <xf borderId="0" fillId="0" fontId="1" numFmtId="165" xfId="0" applyFont="1" applyNumberFormat="1"/>
    <xf borderId="0" fillId="0" fontId="25" numFmtId="0" xfId="0" applyFont="1"/>
    <xf borderId="0" fillId="0" fontId="1" numFmtId="0" xfId="0" applyAlignment="1" applyFont="1">
      <alignment shrinkToFit="0" wrapText="1"/>
    </xf>
    <xf borderId="0" fillId="0" fontId="1" numFmtId="14" xfId="0" applyAlignment="1" applyFont="1" applyNumberFormat="1">
      <alignment shrinkToFit="0" wrapText="1"/>
    </xf>
    <xf borderId="0" fillId="0" fontId="26" numFmtId="0" xfId="0" applyAlignment="1" applyFont="1">
      <alignment shrinkToFit="0" wrapText="1"/>
    </xf>
    <xf borderId="0" fillId="0" fontId="1" numFmtId="0" xfId="0" applyAlignment="1" applyFont="1">
      <alignment horizontal="center" shrinkToFit="0" vertical="center" wrapText="1"/>
    </xf>
    <xf borderId="0" fillId="3" fontId="27" numFmtId="0" xfId="0" applyAlignment="1" applyFont="1">
      <alignment horizontal="center" readingOrder="0" shrinkToFit="0" wrapText="1"/>
    </xf>
    <xf borderId="0" fillId="2" fontId="19" numFmtId="0" xfId="0" applyAlignment="1" applyFont="1">
      <alignment shrinkToFit="0" wrapText="1"/>
    </xf>
    <xf borderId="0" fillId="0" fontId="1" numFmtId="14" xfId="0" applyFont="1" applyNumberFormat="1"/>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6" Type="http://schemas.openxmlformats.org/officeDocument/2006/relationships/worksheet" Target="worksheets/sheet13.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752475</xdr:colOff>
      <xdr:row>0</xdr:row>
      <xdr:rowOff>161925</xdr:rowOff>
    </xdr:from>
    <xdr:ext cx="3838575" cy="12287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DD293" displayName="Form_Responses" name="Form_Responses" id="1">
  <tableColumns count="108">
    <tableColumn name="Timestamp" id="1"/>
    <tableColumn name="Email Address" id="2"/>
    <tableColumn name="Particulars" id="3"/>
    <tableColumn name="Date" id="4"/>
    <tableColumn name="Channel" id="5"/>
    <tableColumn name="Link of the Article" id="6"/>
    <tableColumn name="Article Topic" id="7"/>
    <tableColumn name="Amount Paid" id="8"/>
    <tableColumn name="Summary" id="9"/>
    <tableColumn name="Digital Media -  Upload Zip FIle" id="10"/>
    <tableColumn name="Date 2" id="11"/>
    <tableColumn name="Status" id="12"/>
    <tableColumn name="Name" id="13"/>
    <tableColumn name="Summary 2" id="14"/>
    <tableColumn name="Country" id="15"/>
    <tableColumn name="Membership Duration " id="16"/>
    <tableColumn name="Start Date" id="17"/>
    <tableColumn name="End Date" id="18"/>
    <tableColumn name="Memberships -   Upload Zip FIle" id="19"/>
    <tableColumn name="Students Name" id="20"/>
    <tableColumn name="Country 2" id="21"/>
    <tableColumn name="University" id="22"/>
    <tableColumn name="Course Studying" id="23"/>
    <tableColumn name="Course Tenure" id="24"/>
    <tableColumn name="Passport Number" id="25"/>
    <tableColumn name="USN Number" id="26"/>
    <tableColumn name="CGPA" id="27"/>
    <tableColumn name="School of Study (UG at DSU)" id="28"/>
    <tableColumn name="Masters Abroad -   Upload Zip FIle" id="29"/>
    <tableColumn name="Incoming / Outgoing" id="30"/>
    <tableColumn name="Students Name 2" id="31"/>
    <tableColumn name="Course " id="32"/>
    <tableColumn name="Semester /Year" id="33"/>
    <tableColumn name="USN NO" id="34"/>
    <tableColumn name="Exchange University" id="35"/>
    <tableColumn name="From Date" id="36"/>
    <tableColumn name="To Date" id="37"/>
    <tableColumn name="Status 2" id="38"/>
    <tableColumn name="Student Exchange -   Upload Zip FIle" id="39"/>
    <tableColumn name="Student Exchange -  Upload Zip FIle" id="40"/>
    <tableColumn name="Status 3" id="41"/>
    <tableColumn name="Incoming/Outgoing" id="42"/>
    <tableColumn name="Country " id="43"/>
    <tableColumn name="University " id="44"/>
    <tableColumn name="No of Pax" id="45"/>
    <tableColumn name="Summary 3" id="46"/>
    <tableColumn name="Arrival Date" id="47"/>
    <tableColumn name="Departure Date" id="48"/>
    <tableColumn name="Fees Per Pax" id="49"/>
    <tableColumn name="Department " id="50"/>
    <tableColumn name="Immersion Program -  Upload Zip FIle" id="51"/>
    <tableColumn name="Date 3" id="52"/>
    <tableColumn name="Country  2" id="53"/>
    <tableColumn name="University 2" id="54"/>
    <tableColumn name="Department" id="55"/>
    <tableColumn name="Completed Date" id="56"/>
    <tableColumn name="MoU Status " id="57"/>
    <tableColumn name="Contact Person " id="58"/>
    <tableColumn name="Contact Email" id="59"/>
    <tableColumn name="Agreement Type" id="60"/>
    <tableColumn name="Term" id="61"/>
    <tableColumn name="Validity Status " id="62"/>
    <tableColumn name="MoU Update  Upload Zip FIle" id="63"/>
    <tableColumn name="Status " id="64"/>
    <tableColumn name="  Category  " id="65"/>
    <tableColumn name="Scholars Name" id="66"/>
    <tableColumn name="University  2" id="67"/>
    <tableColumn name="Country 3" id="68"/>
    <tableColumn name="From Date 2" id="69"/>
    <tableColumn name="To Date 2" id="70"/>
    <tableColumn name="Department  2" id="71"/>
    <tableColumn name="Summary 4" id="72"/>
    <tableColumn name="Campus" id="73"/>
    <tableColumn name="Scholars in Residence -  Upload Zip FIle" id="74"/>
    <tableColumn name="Date 4" id="75"/>
    <tableColumn name="Conference Name" id="76"/>
    <tableColumn name="Country 4" id="77"/>
    <tableColumn name="Department  3" id="78"/>
    <tableColumn name="Event Summary" id="79"/>
    <tableColumn name="Campus 2" id="80"/>
    <tableColumn name="Conference -   Upload Zip FIle" id="81"/>
    <tableColumn name="Date 5" id="82"/>
    <tableColumn name="Type " id="83"/>
    <tableColumn name="Name &amp; Details " id="84"/>
    <tableColumn name="Department  4" id="85"/>
    <tableColumn name="University, Country" id="86"/>
    <tableColumn name="Dignitaries " id="87"/>
    <tableColumn name="Event Summary 2" id="88"/>
    <tableColumn name="Campus 3" id="89"/>
    <tableColumn name="Events -   Upload Zip FIle" id="90"/>
    <tableColumn name="Date 6" id="91"/>
    <tableColumn name="Type" id="92"/>
    <tableColumn name="Visitor's Name &amp; Details" id="93"/>
    <tableColumn name="University Name" id="94"/>
    <tableColumn name="Department  5" id="95"/>
    <tableColumn name="Event Summary 3" id="96"/>
    <tableColumn name="Campus 4" id="97"/>
    <tableColumn name="MoU Signing Ceremony    Upload Zip FIle" id="98"/>
    <tableColumn name="Date 7" id="99"/>
    <tableColumn name="Type 2" id="100"/>
    <tableColumn name="Visitor's Name &amp; Details 2" id="101"/>
    <tableColumn name="Country  3" id="102"/>
    <tableColumn name="University Name 2" id="103"/>
    <tableColumn name="Summary 5" id="104"/>
    <tableColumn name="Department  6" id="105"/>
    <tableColumn name="Campus 5" id="106"/>
    <tableColumn name="Campus Visit-  Upload Zip FIle" id="107"/>
    <tableColumn name="Country 5" id="108"/>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drive.google.com/open?id=12ysl-8ePoGYdWy4FjNDk6Y9s7wiyiLuX" TargetMode="External"/><Relationship Id="rId190" Type="http://schemas.openxmlformats.org/officeDocument/2006/relationships/hyperlink" Target="https://drive.google.com/open?id=1C5sQ89MLzT9P0VTYumacLNDF3s0ZMRMF" TargetMode="External"/><Relationship Id="rId42" Type="http://schemas.openxmlformats.org/officeDocument/2006/relationships/hyperlink" Target="https://drive.google.com/open?id=1vvvHHZh8Uf0kFOOwun_tO2wgFcMkdfO4" TargetMode="External"/><Relationship Id="rId41" Type="http://schemas.openxmlformats.org/officeDocument/2006/relationships/hyperlink" Target="https://drive.google.com/open?id=1LEfwhxGz_coycwET540_qvHhT9p-xYpk" TargetMode="External"/><Relationship Id="rId44" Type="http://schemas.openxmlformats.org/officeDocument/2006/relationships/hyperlink" Target="https://drive.google.com/open?id=1Ndk8jLyrhiOt9f54DyJYNg6kP7aOuBVo" TargetMode="External"/><Relationship Id="rId194" Type="http://schemas.openxmlformats.org/officeDocument/2006/relationships/hyperlink" Target="https://drive.google.com/open?id=1GFacOqn1KcevcCVjYlIn8V9DJtBxTdNE" TargetMode="External"/><Relationship Id="rId43" Type="http://schemas.openxmlformats.org/officeDocument/2006/relationships/hyperlink" Target="https://drive.google.com/open?id=1mV-txk2P5WpmBIwT-kst122xiEM6Ra7L" TargetMode="External"/><Relationship Id="rId193" Type="http://schemas.openxmlformats.org/officeDocument/2006/relationships/hyperlink" Target="https://drive.google.com/open?id=13Ru90EeBHP2Y26nzMgkjyAvssTFsAdxg" TargetMode="External"/><Relationship Id="rId46" Type="http://schemas.openxmlformats.org/officeDocument/2006/relationships/hyperlink" Target="https://drive.google.com/open?id=1gCa0W3QNmvF7flRsjjUnjGekTemAtK7J" TargetMode="External"/><Relationship Id="rId192" Type="http://schemas.openxmlformats.org/officeDocument/2006/relationships/hyperlink" Target="https://drive.google.com/open?id=1zUM_jMu8XohooGCw3qrQIfK-OautlmGI" TargetMode="External"/><Relationship Id="rId45" Type="http://schemas.openxmlformats.org/officeDocument/2006/relationships/hyperlink" Target="https://drive.google.com/open?id=1fGnRvlYuCSuJQCrk6jo6s86irfz2Xk4o" TargetMode="External"/><Relationship Id="rId191" Type="http://schemas.openxmlformats.org/officeDocument/2006/relationships/hyperlink" Target="https://drive.google.com/open?id=1NIjIT58Ts4rOqHd-eqylnyS7AfoUcnsN" TargetMode="External"/><Relationship Id="rId48" Type="http://schemas.openxmlformats.org/officeDocument/2006/relationships/hyperlink" Target="https://drive.google.com/open?id=1q-wFjGgoc2I5JNQ9s6mWCSsFvLgsXS7Y" TargetMode="External"/><Relationship Id="rId187" Type="http://schemas.openxmlformats.org/officeDocument/2006/relationships/hyperlink" Target="https://drive.google.com/open?id=1uSutGuskVPuffjvGTSBZjkE1MP0kZO7-" TargetMode="External"/><Relationship Id="rId47" Type="http://schemas.openxmlformats.org/officeDocument/2006/relationships/hyperlink" Target="https://drive.google.com/open?id=1Z58Cl_sxM9ouTWUEnzRMeDXmTyA3PyUw" TargetMode="External"/><Relationship Id="rId186" Type="http://schemas.openxmlformats.org/officeDocument/2006/relationships/hyperlink" Target="https://drive.google.com/open?id=1Jbym7hsUhq6ZdjF2TJfSA9shFI2x_Rh7" TargetMode="External"/><Relationship Id="rId185" Type="http://schemas.openxmlformats.org/officeDocument/2006/relationships/hyperlink" Target="https://drive.google.com/open?id=1z74ufv2F-VoNua4Ma5JmRUwUrba69QrO" TargetMode="External"/><Relationship Id="rId49" Type="http://schemas.openxmlformats.org/officeDocument/2006/relationships/hyperlink" Target="https://drive.google.com/open?id=18GGf5qF6bP7PyjSSWjPGujZDUNEdLRol" TargetMode="External"/><Relationship Id="rId184" Type="http://schemas.openxmlformats.org/officeDocument/2006/relationships/hyperlink" Target="https://drive.google.com/open?id=1ddCOdJ-3wJuKVTsUajMMJqs1rdw1jrar" TargetMode="External"/><Relationship Id="rId189" Type="http://schemas.openxmlformats.org/officeDocument/2006/relationships/hyperlink" Target="https://drive.google.com/open?id=14phbnL7ZE0NfEF097T8YhsKw-aa55Nua" TargetMode="External"/><Relationship Id="rId188" Type="http://schemas.openxmlformats.org/officeDocument/2006/relationships/hyperlink" Target="https://drive.google.com/open?id=1asNdAD7lXHOhdawbVvrnyvaXO9_Hg-dU" TargetMode="External"/><Relationship Id="rId31" Type="http://schemas.openxmlformats.org/officeDocument/2006/relationships/hyperlink" Target="https://drive.google.com/open?id=1zer8o4GFIQXCksszInXRIcX9tz3_YEE8" TargetMode="External"/><Relationship Id="rId30" Type="http://schemas.openxmlformats.org/officeDocument/2006/relationships/hyperlink" Target="https://drive.google.com/open?id=1qAkPUt5XLPHkQXDxomSDBqAk2Y5maUig" TargetMode="External"/><Relationship Id="rId33" Type="http://schemas.openxmlformats.org/officeDocument/2006/relationships/hyperlink" Target="https://www.acu.ac.uk/about-us/work-with-us/" TargetMode="External"/><Relationship Id="rId183" Type="http://schemas.openxmlformats.org/officeDocument/2006/relationships/hyperlink" Target="https://drive.google.com/open?id=1xbHPOqHEZ7oVc6mi4YhXzR1ajQ57oGTS" TargetMode="External"/><Relationship Id="rId32" Type="http://schemas.openxmlformats.org/officeDocument/2006/relationships/hyperlink" Target="https://drive.google.com/open?id=18m0WXCwVkhNWUnHs_eqUMxNhpln-Qirl" TargetMode="External"/><Relationship Id="rId182" Type="http://schemas.openxmlformats.org/officeDocument/2006/relationships/hyperlink" Target="https://drive.google.com/open?id=1-abf0hjs1wqxESTmYwCaIPpbNhNxvA-8" TargetMode="External"/><Relationship Id="rId35" Type="http://schemas.openxmlformats.org/officeDocument/2006/relationships/hyperlink" Target="https://kshec.karnataka.gov.in/2/contact-us/en" TargetMode="External"/><Relationship Id="rId181" Type="http://schemas.openxmlformats.org/officeDocument/2006/relationships/hyperlink" Target="https://drive.google.com/open?id=12C0dryT8SCwkUXNYgm6RUBahqaUzctLE" TargetMode="External"/><Relationship Id="rId34" Type="http://schemas.openxmlformats.org/officeDocument/2006/relationships/hyperlink" Target="https://drive.google.com/open?id=1wwk5OStg4wgWB_KwJJZon3ojWgG6QoWt" TargetMode="External"/><Relationship Id="rId180" Type="http://schemas.openxmlformats.org/officeDocument/2006/relationships/hyperlink" Target="https://drive.google.com/open?id=1qEwEmLJqobSGsemKWP2hjlR65__fyjH5" TargetMode="External"/><Relationship Id="rId37" Type="http://schemas.openxmlformats.org/officeDocument/2006/relationships/hyperlink" Target="https://drive.google.com/open?id=1fXewwbZQzf_ERyMYz7_q3ruCe4LPBWfU" TargetMode="External"/><Relationship Id="rId176" Type="http://schemas.openxmlformats.org/officeDocument/2006/relationships/hyperlink" Target="https://drive.google.com/open?id=13BJBM3kjUESNV_yjHjPCmdvjAhzE9_dA" TargetMode="External"/><Relationship Id="rId36" Type="http://schemas.openxmlformats.org/officeDocument/2006/relationships/hyperlink" Target="https://drive.google.com/open?id=1VWArJYN9Co9RSZZ9AOw6UhlB245f04Fh" TargetMode="External"/><Relationship Id="rId175" Type="http://schemas.openxmlformats.org/officeDocument/2006/relationships/hyperlink" Target="https://drive.google.com/open?id=12MRXYiatDLLHG6PLfc5rtAaA56DBLKzd" TargetMode="External"/><Relationship Id="rId39" Type="http://schemas.openxmlformats.org/officeDocument/2006/relationships/hyperlink" Target="https://drive.google.com/open?id=1K0gP0N9Z6FrUdyBzuYowEwQXEk6UFrrm" TargetMode="External"/><Relationship Id="rId174" Type="http://schemas.openxmlformats.org/officeDocument/2006/relationships/hyperlink" Target="https://drive.google.com/open?id=1W_m63s8QCgvbVQtvo9vBdb_23omsdSvT" TargetMode="External"/><Relationship Id="rId295" Type="http://schemas.openxmlformats.org/officeDocument/2006/relationships/table" Target="../tables/table1.xml"/><Relationship Id="rId38" Type="http://schemas.openxmlformats.org/officeDocument/2006/relationships/hyperlink" Target="https://drive.google.com/open?id=1_-3IlJ8O1puzE4-y3J78t78G5BJqvU90" TargetMode="External"/><Relationship Id="rId173" Type="http://schemas.openxmlformats.org/officeDocument/2006/relationships/hyperlink" Target="https://drive.google.com/open?id=1IoXntJD-4ihwxa_yiRHUjeup5W1liM6h" TargetMode="External"/><Relationship Id="rId179" Type="http://schemas.openxmlformats.org/officeDocument/2006/relationships/hyperlink" Target="https://drive.google.com/open?id=1TWyd2bMbkcmQe4IanR2aJn8br8OoWsy3" TargetMode="External"/><Relationship Id="rId178" Type="http://schemas.openxmlformats.org/officeDocument/2006/relationships/hyperlink" Target="https://drive.google.com/open?id=1QBmmhEghV7AJvRb_1vooCoTprKg_2swl" TargetMode="External"/><Relationship Id="rId177" Type="http://schemas.openxmlformats.org/officeDocument/2006/relationships/hyperlink" Target="https://drive.google.com/open?id=15dtX47eoBMpFuZImEIKzFEuO6EKuN6PH" TargetMode="External"/><Relationship Id="rId20" Type="http://schemas.openxmlformats.org/officeDocument/2006/relationships/hyperlink" Target="https://drive.google.com/open?id=1C5C3EQ-6pumrBp_q66BiZWwSoUFS2lAL" TargetMode="External"/><Relationship Id="rId22" Type="http://schemas.openxmlformats.org/officeDocument/2006/relationships/hyperlink" Target="https://drive.google.com/open?id=1nMO3Vv6tYZTCaYnj_EgHsc1RAhBtrVlq" TargetMode="External"/><Relationship Id="rId21" Type="http://schemas.openxmlformats.org/officeDocument/2006/relationships/hyperlink" Target="https://drive.google.com/open?id=1wdej1MOJt0_HvwOElyLAwLBW9dopLl8G" TargetMode="External"/><Relationship Id="rId24" Type="http://schemas.openxmlformats.org/officeDocument/2006/relationships/hyperlink" Target="mailto:harish@campususaedu.com" TargetMode="External"/><Relationship Id="rId23" Type="http://schemas.openxmlformats.org/officeDocument/2006/relationships/hyperlink" Target="https://drive.google.com/open?id=1UoiVd2hSCcxWmSmjbe40ROALgWKkbVT3" TargetMode="External"/><Relationship Id="rId26" Type="http://schemas.openxmlformats.org/officeDocument/2006/relationships/hyperlink" Target="https://drive.google.com/open?id=1qBs4nrKLVpPwZlqwOYh3M0gCzZ19nzqS" TargetMode="External"/><Relationship Id="rId25" Type="http://schemas.openxmlformats.org/officeDocument/2006/relationships/hyperlink" Target="https://drive.google.com/open?id=1aVzH6vGUvWmnFOBWHchZ6QLpUeWST6oS" TargetMode="External"/><Relationship Id="rId28" Type="http://schemas.openxmlformats.org/officeDocument/2006/relationships/hyperlink" Target="https://drive.google.com/open?id=1V4dacW9mwODxbw4bFjd5xwuh4sIRpyrA" TargetMode="External"/><Relationship Id="rId27" Type="http://schemas.openxmlformats.org/officeDocument/2006/relationships/hyperlink" Target="https://drive.google.com/open?id=1DVhR1kSPh645DkN7fy8PRkiBFG_TrtIZ" TargetMode="External"/><Relationship Id="rId29" Type="http://schemas.openxmlformats.org/officeDocument/2006/relationships/hyperlink" Target="https://drive.google.com/open?id=1GCWsaV5zmPjKwnRp05iCbchQWiExTNIN" TargetMode="External"/><Relationship Id="rId11" Type="http://schemas.openxmlformats.org/officeDocument/2006/relationships/hyperlink" Target="https://drive.google.com/open?id=14xFS9dPGDz2RsrkFBlk76GLkgqf6gruj" TargetMode="External"/><Relationship Id="rId10" Type="http://schemas.openxmlformats.org/officeDocument/2006/relationships/hyperlink" Target="https://drive.google.com/open?id=1z-V3Ia_4vmBtXBQlpaKMNN5uxsBx1C2_" TargetMode="External"/><Relationship Id="rId13" Type="http://schemas.openxmlformats.org/officeDocument/2006/relationships/hyperlink" Target="https://drive.google.com/open?id=19cTkVS16s1pE7uku40vc19eO_26Bgvq-" TargetMode="External"/><Relationship Id="rId12" Type="http://schemas.openxmlformats.org/officeDocument/2006/relationships/hyperlink" Target="https://drive.google.com/open?id=16fP2qxYLyrpK4NJDgEnLaDu49WlGdfFa" TargetMode="External"/><Relationship Id="rId15" Type="http://schemas.openxmlformats.org/officeDocument/2006/relationships/hyperlink" Target="https://drive.google.com/open?id=1yL08T8QHrb8jzn4McKwh1zr69xqC8Xe7" TargetMode="External"/><Relationship Id="rId198" Type="http://schemas.openxmlformats.org/officeDocument/2006/relationships/hyperlink" Target="https://drive.google.com/open?id=1DzOo7YXcZDm1O5EF6xt6mnPJsvx1EcyO" TargetMode="External"/><Relationship Id="rId14" Type="http://schemas.openxmlformats.org/officeDocument/2006/relationships/hyperlink" Target="https://drive.google.com/open?id=1dzn8pDm2Ni5IvNqz8hNHW0DlG1E71cb-" TargetMode="External"/><Relationship Id="rId197" Type="http://schemas.openxmlformats.org/officeDocument/2006/relationships/hyperlink" Target="https://drive.google.com/open?id=19aT588lSKdpDlJ1NFjSIACmgiu6Pie3w" TargetMode="External"/><Relationship Id="rId17" Type="http://schemas.openxmlformats.org/officeDocument/2006/relationships/hyperlink" Target="https://drive.google.com/open?id=1RyIkhyKIiL3DAsuJTGCEvve9rdwb36NN" TargetMode="External"/><Relationship Id="rId196" Type="http://schemas.openxmlformats.org/officeDocument/2006/relationships/hyperlink" Target="https://drive.google.com/open?id=1KUe7fcWACBaI5v4B4PbVuWAiTda6gZwO" TargetMode="External"/><Relationship Id="rId16" Type="http://schemas.openxmlformats.org/officeDocument/2006/relationships/hyperlink" Target="https://drive.google.com/open?id=1jT3pv_cwOCYX9wlPDu3leMrBVJMlLEbP" TargetMode="External"/><Relationship Id="rId195" Type="http://schemas.openxmlformats.org/officeDocument/2006/relationships/hyperlink" Target="https://drive.google.com/open?id=1SluZvzdHiA1Q2SJkYPN28Iiw8d_W0SuB" TargetMode="External"/><Relationship Id="rId19" Type="http://schemas.openxmlformats.org/officeDocument/2006/relationships/hyperlink" Target="https://drive.google.com/open?id=1ZWuxe7CshNvt7D2dIq4Ge061tdxwObLW" TargetMode="External"/><Relationship Id="rId18" Type="http://schemas.openxmlformats.org/officeDocument/2006/relationships/hyperlink" Target="https://drive.google.com/open?id=1N6eJfCwwt-JdNQPp5JPIHqxv4Kf1eUr2" TargetMode="External"/><Relationship Id="rId199" Type="http://schemas.openxmlformats.org/officeDocument/2006/relationships/hyperlink" Target="https://drive.google.com/open?id=1uCrUomoyQTO3G4fL2ksUllCD8WVaHMs-" TargetMode="External"/><Relationship Id="rId84" Type="http://schemas.openxmlformats.org/officeDocument/2006/relationships/hyperlink" Target="https://www.telegraphindia.com/edugraph/campus/dayananda-sagar-university-celebrates-academic-excellence-at-convocation-with-over-2500-graduates/cid/2131581" TargetMode="External"/><Relationship Id="rId83" Type="http://schemas.openxmlformats.org/officeDocument/2006/relationships/hyperlink" Target="https://drive.google.com/open?id=1TyxaDr_9VahH1YleK1ER2SvtGLnJEOn8" TargetMode="External"/><Relationship Id="rId86" Type="http://schemas.openxmlformats.org/officeDocument/2006/relationships/hyperlink" Target="https://theprint.in/ani-press-releases/palace-of-vision-step-inside-dayananda-sagar-university-open-house-2025/2712638/" TargetMode="External"/><Relationship Id="rId85" Type="http://schemas.openxmlformats.org/officeDocument/2006/relationships/hyperlink" Target="https://drive.google.com/open?id=16MYaO138Gk-BlmX6q611Aa8McImWXZYp" TargetMode="External"/><Relationship Id="rId88" Type="http://schemas.openxmlformats.org/officeDocument/2006/relationships/hyperlink" Target="https://edtimes.in/dream-big-travel-far-dayananda-sagar-university-opens-doors-to-the-world-for-every-student/" TargetMode="External"/><Relationship Id="rId150" Type="http://schemas.openxmlformats.org/officeDocument/2006/relationships/hyperlink" Target="https://drive.google.com/open?id=1E6PVrXteD_0j4zrqpXHxncCg7gF35SXx" TargetMode="External"/><Relationship Id="rId271" Type="http://schemas.openxmlformats.org/officeDocument/2006/relationships/hyperlink" Target="https://drive.google.com/file/d/19k-x4rDEWqywJO5-RhnCEC240a99ItEk/view?usp=sharing" TargetMode="External"/><Relationship Id="rId87" Type="http://schemas.openxmlformats.org/officeDocument/2006/relationships/hyperlink" Target="https://drive.google.com/open?id=1pdi9mN2RiF5GaU8t4yif34BCViovTaqt" TargetMode="External"/><Relationship Id="rId270" Type="http://schemas.openxmlformats.org/officeDocument/2006/relationships/hyperlink" Target="https://drive.google.com/drive/folders/1pQEZc1QRUarP3vwhc-YKYDQ9Sw9sd-MT?usp=drive_link" TargetMode="External"/><Relationship Id="rId89" Type="http://schemas.openxmlformats.org/officeDocument/2006/relationships/hyperlink" Target="https://drive.google.com/open?id=1qbL8pInXNBnCAxBDV_mwrK0feRAFEj8y" TargetMode="External"/><Relationship Id="rId80" Type="http://schemas.openxmlformats.org/officeDocument/2006/relationships/hyperlink" Target="https://drive.google.com/open?id=1igA5cQnytUCuhO9V1z7-98Sn3fVGrESO" TargetMode="External"/><Relationship Id="rId82" Type="http://schemas.openxmlformats.org/officeDocument/2006/relationships/hyperlink" Target="https://drive.google.com/open?id=1VjshEBrfhLuVPoDpTZISvC6Pa3wo1duI" TargetMode="External"/><Relationship Id="rId81" Type="http://schemas.openxmlformats.org/officeDocument/2006/relationships/hyperlink" Target="https://drive.google.com/open?id=1-VCMROxXxElA90pkD6MdGFauIWgzGrs4" TargetMode="External"/><Relationship Id="rId1" Type="http://schemas.openxmlformats.org/officeDocument/2006/relationships/hyperlink" Target="https://drive.google.com/drive/folders/19Q3RZIoCw-1ehQpQ8xLaS8tTDP7w2pRp?usp=sharing" TargetMode="External"/><Relationship Id="rId2" Type="http://schemas.openxmlformats.org/officeDocument/2006/relationships/hyperlink" Target="https://drive.google.com/open?id=1mnW-DP6jHacAuptkkVU6y7vzZ-qVP9xF" TargetMode="External"/><Relationship Id="rId3" Type="http://schemas.openxmlformats.org/officeDocument/2006/relationships/hyperlink" Target="https://drive.google.com/open?id=1FnxH9AXY9zsGu883xGIAsBrfj-tYd_SB" TargetMode="External"/><Relationship Id="rId149" Type="http://schemas.openxmlformats.org/officeDocument/2006/relationships/hyperlink" Target="https://drive.google.com/open?id=1MJ4h7eCZ7MK1XS83OMWOh8-4JcOpCxVw" TargetMode="External"/><Relationship Id="rId4" Type="http://schemas.openxmlformats.org/officeDocument/2006/relationships/hyperlink" Target="https://drive.google.com/open?id=1pSqcL3GNUop6omX7UeEcnqrQk1pWkNU8" TargetMode="External"/><Relationship Id="rId148" Type="http://schemas.openxmlformats.org/officeDocument/2006/relationships/hyperlink" Target="https://drive.google.com/open?id=1PuQRxDltuyXdwHeZVv8QEMitRhgwZde0" TargetMode="External"/><Relationship Id="rId269" Type="http://schemas.openxmlformats.org/officeDocument/2006/relationships/hyperlink" Target="https://drive.google.com/file/d/1qusMnPgjlkj0WLh4OUgJyCNzkZACUBVJ/view?usp=drive_link" TargetMode="External"/><Relationship Id="rId9" Type="http://schemas.openxmlformats.org/officeDocument/2006/relationships/hyperlink" Target="https://drive.google.com/open?id=1QwfzFnzB_33UpB8Ya92aUUvSgxpZCPzP" TargetMode="External"/><Relationship Id="rId143" Type="http://schemas.openxmlformats.org/officeDocument/2006/relationships/hyperlink" Target="https://wcrcleaders.com/pioneering-a-legacy-of-transformative-education-an-in-depth-exploration-of-dayananda-sagar-university/" TargetMode="External"/><Relationship Id="rId264" Type="http://schemas.openxmlformats.org/officeDocument/2006/relationships/hyperlink" Target="https://drive.google.com/file/d/16k3rFEIpBJHBG_0N0a2Sfa2__vR93pgb/view?usp=sharing" TargetMode="External"/><Relationship Id="rId142" Type="http://schemas.openxmlformats.org/officeDocument/2006/relationships/hyperlink" Target="https://drive.google.com/open?id=1bvu2A7Di2Z2Kg_7YHaOHdg-ERkZSfsGU" TargetMode="External"/><Relationship Id="rId263" Type="http://schemas.openxmlformats.org/officeDocument/2006/relationships/hyperlink" Target="https://drive.google.com/file/d/1bw9T9T-c5LMmBLq8rPoaOz_vuGhYJ_wD/view?usp=drive_link" TargetMode="External"/><Relationship Id="rId141" Type="http://schemas.openxmlformats.org/officeDocument/2006/relationships/hyperlink" Target="https://drive.google.com/open?id=109cihFWmcDcrMqKBGR56Xgi2yllupzRT" TargetMode="External"/><Relationship Id="rId262" Type="http://schemas.openxmlformats.org/officeDocument/2006/relationships/hyperlink" Target="https://drive.google.com/file/d/1i0wYKEaCDkk4RD8CWiuxPt_KFVMegRGD/view?usp=sharing" TargetMode="External"/><Relationship Id="rId140" Type="http://schemas.openxmlformats.org/officeDocument/2006/relationships/hyperlink" Target="https://wcrcleaders.com/rohan-prem-sagar-a-visionary-leader-igniting-transformation-at-dayananda-sagar-university/" TargetMode="External"/><Relationship Id="rId261" Type="http://schemas.openxmlformats.org/officeDocument/2006/relationships/hyperlink" Target="https://drive.google.com/drive/folders/1aBt2RwywIctMVoCoLN68npKZ0LOccc5E?usp=drive_link" TargetMode="External"/><Relationship Id="rId5" Type="http://schemas.openxmlformats.org/officeDocument/2006/relationships/hyperlink" Target="https://drive.google.com/open?id=1Ns_aCNB4kecnrN60mZlGjScSamrzoZOD" TargetMode="External"/><Relationship Id="rId147" Type="http://schemas.openxmlformats.org/officeDocument/2006/relationships/hyperlink" Target="https://drive.google.com/open?id=1h-vwl5SnMQCyAZjFLg-ve3mThYrBpltC" TargetMode="External"/><Relationship Id="rId268" Type="http://schemas.openxmlformats.org/officeDocument/2006/relationships/hyperlink" Target="https://drive.google.com/file/d/16oZc9csZfnqf9OMJ1awotN9XL27WlHcV/view?usp=sharing" TargetMode="External"/><Relationship Id="rId6" Type="http://schemas.openxmlformats.org/officeDocument/2006/relationships/hyperlink" Target="https://drive.google.com/open?id=1KEtrmpuPO5JJUVtUzZqpc12lF4MEWh0X" TargetMode="External"/><Relationship Id="rId146" Type="http://schemas.openxmlformats.org/officeDocument/2006/relationships/hyperlink" Target="https://drive.google.com/open?id=120YcxqtFyLgqZPBT3glKoWSlBsVkcRWp" TargetMode="External"/><Relationship Id="rId267" Type="http://schemas.openxmlformats.org/officeDocument/2006/relationships/hyperlink" Target="https://drive.google.com/file/d/1CVqM1HMI7Dsf0M7kd3sVgcBF5239VVYj/view?usp=drive_link" TargetMode="External"/><Relationship Id="rId7" Type="http://schemas.openxmlformats.org/officeDocument/2006/relationships/hyperlink" Target="https://drive.google.com/open?id=1fuzo5ZPatD3ZplYzKuQ0fevjg_BOK2i4" TargetMode="External"/><Relationship Id="rId145" Type="http://schemas.openxmlformats.org/officeDocument/2006/relationships/hyperlink" Target="https://drive.google.com/open?id=1h3ASSsXF7KZs0_nEJTaVvJZv2zO6zlFJ" TargetMode="External"/><Relationship Id="rId266" Type="http://schemas.openxmlformats.org/officeDocument/2006/relationships/hyperlink" Target="https://drive.google.com/file/d/16mLe9mKTumin0x6_xTaprnRQTcUSiTX6/view?usp=sharing" TargetMode="External"/><Relationship Id="rId8" Type="http://schemas.openxmlformats.org/officeDocument/2006/relationships/hyperlink" Target="https://drive.google.com/open?id=1bMPfWG4mDFNCSFkmMHpoinJVr3_NkF86" TargetMode="External"/><Relationship Id="rId144" Type="http://schemas.openxmlformats.org/officeDocument/2006/relationships/hyperlink" Target="https://drive.google.com/open?id=14qAT6stOmfhlqHAs5eVnXgsJkexaS1FG" TargetMode="External"/><Relationship Id="rId265" Type="http://schemas.openxmlformats.org/officeDocument/2006/relationships/hyperlink" Target="https://drive.google.com/file/d/13c2E4NhiOH-lecccz5vO_9nJEsd5vSRA/view?usp=drive_link" TargetMode="External"/><Relationship Id="rId73" Type="http://schemas.openxmlformats.org/officeDocument/2006/relationships/hyperlink" Target="https://drive.google.com/open?id=1Z18clV_oc8vunHfVu4R35f19HOgAKaPC" TargetMode="External"/><Relationship Id="rId72" Type="http://schemas.openxmlformats.org/officeDocument/2006/relationships/hyperlink" Target="https://drive.google.com/open?id=1u9g7hvmbFYrDzslFA_OfqAX9U1Xp9LSa" TargetMode="External"/><Relationship Id="rId75" Type="http://schemas.openxmlformats.org/officeDocument/2006/relationships/hyperlink" Target="https://drive.google.com/open?id=1faPRWbfkzbmMheATcRELmkrDkmL26FkX" TargetMode="External"/><Relationship Id="rId74" Type="http://schemas.openxmlformats.org/officeDocument/2006/relationships/hyperlink" Target="https://drive.google.com/open?id=1hWsjclL-lN4n9sgFNu8TbBZ7L0ojEINO" TargetMode="External"/><Relationship Id="rId77" Type="http://schemas.openxmlformats.org/officeDocument/2006/relationships/hyperlink" Target="https://drive.google.com/open?id=1YAbaDNqxm7ExKi54J1nOEsItPYRBk3qM" TargetMode="External"/><Relationship Id="rId260" Type="http://schemas.openxmlformats.org/officeDocument/2006/relationships/hyperlink" Target="https://drive.google.com/drive/folders/1PZnUdmR1UXdf4Y4LHwiftyTzF1_rn4cN?usp=sharing" TargetMode="External"/><Relationship Id="rId76" Type="http://schemas.openxmlformats.org/officeDocument/2006/relationships/hyperlink" Target="https://drive.google.com/open?id=1jJ11gMSF69NT2LOOK0Xa-u4QtjfdfgOo" TargetMode="External"/><Relationship Id="rId79" Type="http://schemas.openxmlformats.org/officeDocument/2006/relationships/hyperlink" Target="https://drive.google.com/open?id=1Y21N0IAP_EzQ4uviMpy6QPDziSgC5uSc" TargetMode="External"/><Relationship Id="rId78" Type="http://schemas.openxmlformats.org/officeDocument/2006/relationships/hyperlink" Target="https://drive.google.com/open?id=1kMvBTRge1OrIbcAlMvPWmtk0CRbburR5" TargetMode="External"/><Relationship Id="rId71" Type="http://schemas.openxmlformats.org/officeDocument/2006/relationships/hyperlink" Target="https://drive.google.com/open?id=1iztkVlKOvWQjECdm1__ihRJP3uDJ52II" TargetMode="External"/><Relationship Id="rId70" Type="http://schemas.openxmlformats.org/officeDocument/2006/relationships/hyperlink" Target="https://drive.google.com/open?id=1etBLi9vio9EiQ509BIBUQXnSXG3eAKKe" TargetMode="External"/><Relationship Id="rId139" Type="http://schemas.openxmlformats.org/officeDocument/2006/relationships/hyperlink" Target="https://drive.google.com/open?id=1t8nFpZMFQXpMjelsjneQkThPlCgH6bKk" TargetMode="External"/><Relationship Id="rId138" Type="http://schemas.openxmlformats.org/officeDocument/2006/relationships/hyperlink" Target="https://drive.google.com/open?id=12ikCUcKgb91-LAhTW0mJzZwc9zX13pst" TargetMode="External"/><Relationship Id="rId259" Type="http://schemas.openxmlformats.org/officeDocument/2006/relationships/hyperlink" Target="https://drive.google.com/file/d/1oyOq_6CbSzbEdKs2LrgTiOBWLFWEnJTo/view?usp=drive_link" TargetMode="External"/><Relationship Id="rId137" Type="http://schemas.openxmlformats.org/officeDocument/2006/relationships/hyperlink" Target="https://drive.google.com/open?id=1eZnif2wlM6KDkX5_o5FPnt-ixB2BgbpZ" TargetMode="External"/><Relationship Id="rId258" Type="http://schemas.openxmlformats.org/officeDocument/2006/relationships/hyperlink" Target="https://drive.google.com/file/d/1cLPOisdUiUtSD1z_Oo1RluT-9EaWGUhs/view?usp=sharing" TargetMode="External"/><Relationship Id="rId132" Type="http://schemas.openxmlformats.org/officeDocument/2006/relationships/hyperlink" Target="https://www.telegraphindia.com/edugraph/campus/dayananda-sagar-university-nurturing-dreams-in-bangalores-educational-landscape/cid/2036683" TargetMode="External"/><Relationship Id="rId253" Type="http://schemas.openxmlformats.org/officeDocument/2006/relationships/hyperlink" Target="https://drive.google.com/file/d/1IXSIDXnBZaLP6GqzITfkhPU2Y2_60KOF/view?usp=drive_link" TargetMode="External"/><Relationship Id="rId131" Type="http://schemas.openxmlformats.org/officeDocument/2006/relationships/hyperlink" Target="https://drive.google.com/open?id=1Pqny7H86JI-6aIh5HN2ik6BHSeKtfj0r" TargetMode="External"/><Relationship Id="rId252" Type="http://schemas.openxmlformats.org/officeDocument/2006/relationships/hyperlink" Target="https://drive.google.com/file/d/1c1VMIiY0zPRRXvZH2L8xW2tH7tBHRUdW/view?usp=sharing" TargetMode="External"/><Relationship Id="rId130" Type="http://schemas.openxmlformats.org/officeDocument/2006/relationships/hyperlink" Target="https://drive.google.com/open?id=1AVYKVjE-6dxvVV4Vo6xHAPUDHMZotEka" TargetMode="External"/><Relationship Id="rId251" Type="http://schemas.openxmlformats.org/officeDocument/2006/relationships/hyperlink" Target="https://drive.google.com/file/d/1kgS0ynWg70KPKcRHHADMwH9uLtTxcPFZ/view?usp=drive_link" TargetMode="External"/><Relationship Id="rId250" Type="http://schemas.openxmlformats.org/officeDocument/2006/relationships/hyperlink" Target="https://drive.google.com/file/d/1bvxPqwYuPyRAHabcjvXJQ9VWGPJyaJgD/view?usp=sharing" TargetMode="External"/><Relationship Id="rId136" Type="http://schemas.openxmlformats.org/officeDocument/2006/relationships/hyperlink" Target="https://www.telegraphindia.com/edugraph/campus/dayananda-sagar-universitys-open-house-2024-combined-traditional-celebrations-with-cutting-edge-educational-programmes-photogallery/cid/2025553" TargetMode="External"/><Relationship Id="rId257" Type="http://schemas.openxmlformats.org/officeDocument/2006/relationships/hyperlink" Target="https://drive.google.com/file/d/1XZOKOjbOSWipK_r1cPdEHJcG3Z-rW_cY/view?usp=drive_link" TargetMode="External"/><Relationship Id="rId135" Type="http://schemas.openxmlformats.org/officeDocument/2006/relationships/hyperlink" Target="https://drive.google.com/open?id=1HXKcogbKJCCUstpJEywHrCMMGFNxTPRV" TargetMode="External"/><Relationship Id="rId256" Type="http://schemas.openxmlformats.org/officeDocument/2006/relationships/hyperlink" Target="https://drive.google.com/file/d/1c92Nowt2uuNgkN8XT6pR1be8YsJvSnkj/view?usp=sharing" TargetMode="External"/><Relationship Id="rId134" Type="http://schemas.openxmlformats.org/officeDocument/2006/relationships/hyperlink" Target="https://drive.google.com/open?id=10TZuZjY7tEy2BVCMz8Qj_yR9bmAZJa_u" TargetMode="External"/><Relationship Id="rId255" Type="http://schemas.openxmlformats.org/officeDocument/2006/relationships/hyperlink" Target="https://drive.google.com/file/d/1v0VQyf8axdBgEXHt8V11O5IybFQ_Kzy5/view?usp=drive_link" TargetMode="External"/><Relationship Id="rId133" Type="http://schemas.openxmlformats.org/officeDocument/2006/relationships/hyperlink" Target="https://drive.google.com/open?id=1ECjr5_--u3Ff68N1bAyCHItXEW2tG7-v" TargetMode="External"/><Relationship Id="rId254" Type="http://schemas.openxmlformats.org/officeDocument/2006/relationships/hyperlink" Target="https://drive.google.com/file/d/1npN0dwwyE5j66Eqn-OFVTAvuDnNk0iRE/view?usp=sharing" TargetMode="External"/><Relationship Id="rId62" Type="http://schemas.openxmlformats.org/officeDocument/2006/relationships/hyperlink" Target="https://drive.google.com/open?id=1DBNqO3O7Jt29oIbV74Vtx6YbdqBjfyqc" TargetMode="External"/><Relationship Id="rId61" Type="http://schemas.openxmlformats.org/officeDocument/2006/relationships/hyperlink" Target="https://drive.google.com/open?id=1lYDtn8FWZVvAaWq_7CT-OOumCCGmVbvI" TargetMode="External"/><Relationship Id="rId64" Type="http://schemas.openxmlformats.org/officeDocument/2006/relationships/hyperlink" Target="https://drive.google.com/open?id=1yMCWFo8vgAjyUa9B3qN7uAT_WGR94bYh" TargetMode="External"/><Relationship Id="rId63" Type="http://schemas.openxmlformats.org/officeDocument/2006/relationships/hyperlink" Target="https://drive.google.com/open?id=1pg72k54Gkp7OByHnkzdeGoWmOwBoiO8i" TargetMode="External"/><Relationship Id="rId66" Type="http://schemas.openxmlformats.org/officeDocument/2006/relationships/hyperlink" Target="https://drive.google.com/open?id=1a_BSJcPZrFHGmZv5BUw_YrdPdgF6KuPT" TargetMode="External"/><Relationship Id="rId172" Type="http://schemas.openxmlformats.org/officeDocument/2006/relationships/hyperlink" Target="https://drive.google.com/open?id=1PmmJihJlywBMzQ3rT0mnwP4vUDK0TSfF" TargetMode="External"/><Relationship Id="rId293" Type="http://schemas.openxmlformats.org/officeDocument/2006/relationships/drawing" Target="../drawings/drawing2.xml"/><Relationship Id="rId65" Type="http://schemas.openxmlformats.org/officeDocument/2006/relationships/hyperlink" Target="https://drive.google.com/open?id=10WytXVD_ZS4R8ff-rqDxsTSs4Rudyz2K" TargetMode="External"/><Relationship Id="rId171" Type="http://schemas.openxmlformats.org/officeDocument/2006/relationships/hyperlink" Target="https://drive.google.com/open?id=169SPazsrCx_stbZFQ6VaUafeU0FmjpV5" TargetMode="External"/><Relationship Id="rId292" Type="http://schemas.openxmlformats.org/officeDocument/2006/relationships/hyperlink" Target="https://drive.google.com/drive/folders/1t1ueCAANBmlH2dhpuBGFM58thEbUqlKh?usp=drive_link" TargetMode="External"/><Relationship Id="rId68" Type="http://schemas.openxmlformats.org/officeDocument/2006/relationships/hyperlink" Target="https://drive.google.com/open?id=1GwHWtpgX7je3zBMzwInlSXbKmzPkRE5Z" TargetMode="External"/><Relationship Id="rId170" Type="http://schemas.openxmlformats.org/officeDocument/2006/relationships/hyperlink" Target="https://drive.google.com/open?id=13j4gwOuDUphtgzguDmdAxpy5EFY4RJrB" TargetMode="External"/><Relationship Id="rId291" Type="http://schemas.openxmlformats.org/officeDocument/2006/relationships/hyperlink" Target="https://drive.google.com/drive/folders/1WDZNRtIgEMOmoBB75ajPb4XxOLuwjhJK?usp=drive_link" TargetMode="External"/><Relationship Id="rId67" Type="http://schemas.openxmlformats.org/officeDocument/2006/relationships/hyperlink" Target="https://drive.google.com/open?id=1fBOnwP3m5npEOZoZ6uDl6mywn-y6S8xv" TargetMode="External"/><Relationship Id="rId290" Type="http://schemas.openxmlformats.org/officeDocument/2006/relationships/hyperlink" Target="https://drive.google.com/drive/folders/1CRoQSMFAZwQbm22sPIiOuIasDsg04PW1?usp=drive_link" TargetMode="External"/><Relationship Id="rId60" Type="http://schemas.openxmlformats.org/officeDocument/2006/relationships/hyperlink" Target="https://drive.google.com/open?id=1rxnsYWAecAjjM6AILuH8gwJ-vyw3BUp1" TargetMode="External"/><Relationship Id="rId165" Type="http://schemas.openxmlformats.org/officeDocument/2006/relationships/hyperlink" Target="https://drive.google.com/open?id=1PMLPCLzPty31sqlrRiBzL6TeL4r3LM8i" TargetMode="External"/><Relationship Id="rId286" Type="http://schemas.openxmlformats.org/officeDocument/2006/relationships/hyperlink" Target="https://drive.google.com/drive/folders/1TH-XkdUBTw1m7kSnIJV5vYjlaxlxAkPV?usp=sharing" TargetMode="External"/><Relationship Id="rId69" Type="http://schemas.openxmlformats.org/officeDocument/2006/relationships/hyperlink" Target="https://drive.google.com/open?id=1YJ5TWe7ItwYlEjPjj21GDzF3XFxlj55u" TargetMode="External"/><Relationship Id="rId164" Type="http://schemas.openxmlformats.org/officeDocument/2006/relationships/hyperlink" Target="https://drive.google.com/open?id=1iyDl8Bdq53S_L_rfqLR3XSrS3fbjxLjI" TargetMode="External"/><Relationship Id="rId285" Type="http://schemas.openxmlformats.org/officeDocument/2006/relationships/hyperlink" Target="https://drive.google.com/drive/folders/1P78EHR1n3lceMwS14ZWbdWzEE_HL2YRr?usp=drive_link" TargetMode="External"/><Relationship Id="rId163" Type="http://schemas.openxmlformats.org/officeDocument/2006/relationships/hyperlink" Target="https://drive.google.com/open?id=1P9bqDxi0oOtdtx2ApCLS94v5LHrcp8rc" TargetMode="External"/><Relationship Id="rId284" Type="http://schemas.openxmlformats.org/officeDocument/2006/relationships/hyperlink" Target="https://drive.google.com/drive/folders/1SQWj0XJZKTZLsScfzpvwKmzzrK7NjVIx?usp=drive_link" TargetMode="External"/><Relationship Id="rId162" Type="http://schemas.openxmlformats.org/officeDocument/2006/relationships/hyperlink" Target="https://drive.google.com/open?id=1TjJ8wzPR-92w96a56yMNc5eaSsddtucf" TargetMode="External"/><Relationship Id="rId283" Type="http://schemas.openxmlformats.org/officeDocument/2006/relationships/hyperlink" Target="https://drive.google.com/drive/folders/1vD7LG8wp_rOqKsF5BpyUY14IK3vdGDYF?usp=drive_link" TargetMode="External"/><Relationship Id="rId169" Type="http://schemas.openxmlformats.org/officeDocument/2006/relationships/hyperlink" Target="https://drive.google.com/open?id=12Bh6qY55Aj74Ow4uXJ6Vzzo9W-o8_yWi" TargetMode="External"/><Relationship Id="rId168" Type="http://schemas.openxmlformats.org/officeDocument/2006/relationships/hyperlink" Target="https://drive.google.com/open?id=1vaH-e6nq85V_iTsvX4Cv8RxpwDU80Ixx" TargetMode="External"/><Relationship Id="rId289" Type="http://schemas.openxmlformats.org/officeDocument/2006/relationships/hyperlink" Target="https://drive.google.com/drive/folders/1xTwtMRdLqA0vyTXngXka9fJ2N0U2uu5X?usp=drive_link" TargetMode="External"/><Relationship Id="rId167" Type="http://schemas.openxmlformats.org/officeDocument/2006/relationships/hyperlink" Target="https://drive.google.com/open?id=1MixqHdqxXYgAbYsc5YyJtpzED8Fqidg9" TargetMode="External"/><Relationship Id="rId288" Type="http://schemas.openxmlformats.org/officeDocument/2006/relationships/hyperlink" Target="https://drive.google.com/drive/folders/11KOizCFCVsIvZJoPlZDN7qx1J3mqIDHG?usp=drive_link" TargetMode="External"/><Relationship Id="rId166" Type="http://schemas.openxmlformats.org/officeDocument/2006/relationships/hyperlink" Target="https://drive.google.com/open?id=1ww-0Jk4vaf9Qqx73Po9hzaFa0zubblBt" TargetMode="External"/><Relationship Id="rId287" Type="http://schemas.openxmlformats.org/officeDocument/2006/relationships/hyperlink" Target="https://drive.google.com/drive/folders/1kcZOqwpEFE9xMoFsIzjoQXj9eaugswfM?usp=drive_link" TargetMode="External"/><Relationship Id="rId51" Type="http://schemas.openxmlformats.org/officeDocument/2006/relationships/hyperlink" Target="https://drive.google.com/open?id=13IweLQFCNaGoa6kSrrmKEVkV-NUMjfUY" TargetMode="External"/><Relationship Id="rId50" Type="http://schemas.openxmlformats.org/officeDocument/2006/relationships/hyperlink" Target="https://drive.google.com/open?id=1DJSK27q6bm7wVt42qjOH2OmYINEXc9Lu" TargetMode="External"/><Relationship Id="rId53" Type="http://schemas.openxmlformats.org/officeDocument/2006/relationships/hyperlink" Target="https://drive.google.com/open?id=1UTCvS9PJwGiu4za7IpDJuls4qMkL5uaQ" TargetMode="External"/><Relationship Id="rId52" Type="http://schemas.openxmlformats.org/officeDocument/2006/relationships/hyperlink" Target="https://drive.google.com/open?id=1NM7CcJ4OoZcTq7j0uT1-RbBsa-IpW8fS" TargetMode="External"/><Relationship Id="rId55" Type="http://schemas.openxmlformats.org/officeDocument/2006/relationships/hyperlink" Target="https://drive.google.com/open?id=1Tku65075BPt66QbeZjYqPRyK1YbveU22" TargetMode="External"/><Relationship Id="rId161" Type="http://schemas.openxmlformats.org/officeDocument/2006/relationships/hyperlink" Target="https://drive.google.com/open?id=1hH6eM2p5T0ne29EdwWfb0LVJKrTvikT2" TargetMode="External"/><Relationship Id="rId282" Type="http://schemas.openxmlformats.org/officeDocument/2006/relationships/hyperlink" Target="https://drive.google.com/drive/folders/1_LVNQTC3fYbRPtMSXuvUkTNMZPTpcSQW?usp=drive_link" TargetMode="External"/><Relationship Id="rId54" Type="http://schemas.openxmlformats.org/officeDocument/2006/relationships/hyperlink" Target="https://drive.google.com/open?id=151lfcpAoiFlnUMuLahNr4Pik5Unm4F86" TargetMode="External"/><Relationship Id="rId160" Type="http://schemas.openxmlformats.org/officeDocument/2006/relationships/hyperlink" Target="https://drive.google.com/open?id=1kH7D1R24BML4ONbVEUuD3AkvZG8tHvzH" TargetMode="External"/><Relationship Id="rId281" Type="http://schemas.openxmlformats.org/officeDocument/2006/relationships/hyperlink" Target="https://drive.google.com/drive/folders/1apoz-KYNUHeYsTNAwhG9WyscPGAhZ2v1?usp=drive_link" TargetMode="External"/><Relationship Id="rId57" Type="http://schemas.openxmlformats.org/officeDocument/2006/relationships/hyperlink" Target="https://drive.google.com/open?id=1SLcVgIxUnSB-qvSEkTETxU1-1Oms4GI7" TargetMode="External"/><Relationship Id="rId280" Type="http://schemas.openxmlformats.org/officeDocument/2006/relationships/hyperlink" Target="https://drive.google.com/drive/folders/1k887YWQd0dGtAohpgIw4tnM4fd1TnWZ4?usp=drive_link" TargetMode="External"/><Relationship Id="rId56" Type="http://schemas.openxmlformats.org/officeDocument/2006/relationships/hyperlink" Target="https://drive.google.com/open?id=1gpOPvP6jTZJWG7X5mMw-s_kiKzXr615q" TargetMode="External"/><Relationship Id="rId159" Type="http://schemas.openxmlformats.org/officeDocument/2006/relationships/hyperlink" Target="https://drive.google.com/open?id=1_UI-NLv1kjI6WICfx3-t5CZaHQbQwuqa" TargetMode="External"/><Relationship Id="rId59" Type="http://schemas.openxmlformats.org/officeDocument/2006/relationships/hyperlink" Target="https://drive.google.com/open?id=1qtgtu-gG1J1kbqLux6_MR4g0vTMxd6cl" TargetMode="External"/><Relationship Id="rId154" Type="http://schemas.openxmlformats.org/officeDocument/2006/relationships/hyperlink" Target="https://drive.google.com/open?id=1dU1ClWbRkpDZ4X0MDYJLKswna89I6cUN" TargetMode="External"/><Relationship Id="rId275" Type="http://schemas.openxmlformats.org/officeDocument/2006/relationships/hyperlink" Target="https://drive.google.com/file/d/1ANe1bBR74fxIDuXgCXeUiLdum9_voCpA/view?usp=sharing" TargetMode="External"/><Relationship Id="rId58" Type="http://schemas.openxmlformats.org/officeDocument/2006/relationships/hyperlink" Target="https://drive.google.com/open?id=14Gov6naupJHxryHO1Fl3SVr43MUxLHrJ" TargetMode="External"/><Relationship Id="rId153" Type="http://schemas.openxmlformats.org/officeDocument/2006/relationships/hyperlink" Target="https://drive.google.com/open?id=1fuCyUZRD10ADXx54lwXTIqA07tkTnKL3" TargetMode="External"/><Relationship Id="rId274" Type="http://schemas.openxmlformats.org/officeDocument/2006/relationships/hyperlink" Target="https://drive.google.com/file/d/1wxpGzO-NCVjoJOawyEMSM_gk5k5PCBbW/view?usp=drive_link" TargetMode="External"/><Relationship Id="rId152" Type="http://schemas.openxmlformats.org/officeDocument/2006/relationships/hyperlink" Target="https://drive.google.com/open?id=1ifBKwag83eSVwtZopO8Fo79FPqbewWjL" TargetMode="External"/><Relationship Id="rId273" Type="http://schemas.openxmlformats.org/officeDocument/2006/relationships/hyperlink" Target="https://drive.google.com/file/d/1AJmQalosaO9OLClJ2sBqUaA5dYuop0Nr/view?usp=sharing" TargetMode="External"/><Relationship Id="rId151" Type="http://schemas.openxmlformats.org/officeDocument/2006/relationships/hyperlink" Target="https://drive.google.com/open?id=1591AkM0wZ_wK9JY-AcYId0j8fi1vZhDL" TargetMode="External"/><Relationship Id="rId272" Type="http://schemas.openxmlformats.org/officeDocument/2006/relationships/hyperlink" Target="https://drive.google.com/file/d/1_aqaI4nvI3j3qPmXWxbS5WlQZ7wInXyk/view?usp=drive_link" TargetMode="External"/><Relationship Id="rId158" Type="http://schemas.openxmlformats.org/officeDocument/2006/relationships/hyperlink" Target="https://drive.google.com/open?id=1EH_lMUgFYzqB3rNHpXjOReT9mE_aq71h" TargetMode="External"/><Relationship Id="rId279" Type="http://schemas.openxmlformats.org/officeDocument/2006/relationships/hyperlink" Target="https://drive.google.com/drive/folders/1b5910AFWfNGcNP-EnKEgjiw80EI4hbBa?usp=drive_link" TargetMode="External"/><Relationship Id="rId157" Type="http://schemas.openxmlformats.org/officeDocument/2006/relationships/hyperlink" Target="https://drive.google.com/open?id=1WIqcbhP4OjgfRAACNp-8UTfaUBRgL_m1" TargetMode="External"/><Relationship Id="rId278" Type="http://schemas.openxmlformats.org/officeDocument/2006/relationships/hyperlink" Target="https://drive.google.com/drive/folders/1mTbUn34aBXATrKqyFfEXs76LpxSrqO8P?usp=drive_link" TargetMode="External"/><Relationship Id="rId156" Type="http://schemas.openxmlformats.org/officeDocument/2006/relationships/hyperlink" Target="https://drive.google.com/open?id=1KHqsKeKvfYqZeJCaGaBNpSnNHrMsOtmC" TargetMode="External"/><Relationship Id="rId277" Type="http://schemas.openxmlformats.org/officeDocument/2006/relationships/hyperlink" Target="https://drive.google.com/drive/folders/1YQqbYhRvbV4eLTImtp5T6kpgsZJnwOOE?usp=drive_link" TargetMode="External"/><Relationship Id="rId155" Type="http://schemas.openxmlformats.org/officeDocument/2006/relationships/hyperlink" Target="https://drive.google.com/open?id=1U8IP_2xa_1QFSCY233Gqy657JTft8JzT" TargetMode="External"/><Relationship Id="rId276" Type="http://schemas.openxmlformats.org/officeDocument/2006/relationships/hyperlink" Target="https://drive.google.com/file/d/1c8k9uKzKiFBG8B59hUGicV_ee9YrA20s/view?usp=drive_link" TargetMode="External"/><Relationship Id="rId107" Type="http://schemas.openxmlformats.org/officeDocument/2006/relationships/hyperlink" Target="https://www.tribuneindia.com/partner-exclusives/global-conflicts-media-law-and-human-rights-a-humanitarian-perspective-at-dayananda-sagar-university/" TargetMode="External"/><Relationship Id="rId228" Type="http://schemas.openxmlformats.org/officeDocument/2006/relationships/hyperlink" Target="https://drive.google.com/drive/folders/1M81KKk8X_Nh4wkvSBXDAApOFo87MRRWJ?usp=drive_link" TargetMode="External"/><Relationship Id="rId106" Type="http://schemas.openxmlformats.org/officeDocument/2006/relationships/hyperlink" Target="https://drive.google.com/open?id=1NDH6MzmkEyll6Ej742DR9GGoESlJNAGJ" TargetMode="External"/><Relationship Id="rId227" Type="http://schemas.openxmlformats.org/officeDocument/2006/relationships/hyperlink" Target="https://drive.google.com/drive/folders/1ZexcNblZgEfgvTyz6lmjt7fygoNmW1SX?usp=drive_link" TargetMode="External"/><Relationship Id="rId105" Type="http://schemas.openxmlformats.org/officeDocument/2006/relationships/hyperlink" Target="https://www.tribuneindia.com/news/business/discover-the-inspiring-journey-of-dayananda-sagar-university-from-vision-to-legacy/" TargetMode="External"/><Relationship Id="rId226" Type="http://schemas.openxmlformats.org/officeDocument/2006/relationships/hyperlink" Target="https://drive.google.com/drive/folders/1ZSlxc9fvbpSkXdgYtlS4zJAfXcHIphTO?usp=drive_link" TargetMode="External"/><Relationship Id="rId104" Type="http://schemas.openxmlformats.org/officeDocument/2006/relationships/hyperlink" Target="https://drive.google.com/open?id=1fFYelGyv6nfUBhI6zNML8U-_BfHg6nWU" TargetMode="External"/><Relationship Id="rId225" Type="http://schemas.openxmlformats.org/officeDocument/2006/relationships/hyperlink" Target="https://drive.google.com/drive/folders/1b5910AFWfNGcNP-EnKEgjiw80EI4hbBa?usp=drive_link" TargetMode="External"/><Relationship Id="rId109" Type="http://schemas.openxmlformats.org/officeDocument/2006/relationships/hyperlink" Target="https://www.oneindia.com/partner-content/from-dsu-to-the-world-inspiring-student-success-stories-4094111.html" TargetMode="External"/><Relationship Id="rId108" Type="http://schemas.openxmlformats.org/officeDocument/2006/relationships/hyperlink" Target="https://drive.google.com/open?id=1KYtDrTW_x5tmIM-a7V5WUjkwfOKBpIwS" TargetMode="External"/><Relationship Id="rId229" Type="http://schemas.openxmlformats.org/officeDocument/2006/relationships/hyperlink" Target="https://drive.google.com/drive/folders/1ub-L8bi7zwx45dhn-eFDlOLfmh-1-rjG?usp=drive_link" TargetMode="External"/><Relationship Id="rId220" Type="http://schemas.openxmlformats.org/officeDocument/2006/relationships/hyperlink" Target="https://drive.google.com/drive/folders/1qS3xjREw7yP6sNEKwt1_ICL1kLh7Au7q?usp=drive_link" TargetMode="External"/><Relationship Id="rId103" Type="http://schemas.openxmlformats.org/officeDocument/2006/relationships/hyperlink" Target="https://drive.google.com/open?id=1N_lVuwH5Ci0yx8Ut4b4oKn23qJUjaQUt" TargetMode="External"/><Relationship Id="rId224" Type="http://schemas.openxmlformats.org/officeDocument/2006/relationships/hyperlink" Target="https://drive.google.com/drive/folders/1plkAM48E5Hndvk5d3-OFTFh4iT0LRBKd?usp=drive_link" TargetMode="External"/><Relationship Id="rId102" Type="http://schemas.openxmlformats.org/officeDocument/2006/relationships/hyperlink" Target="https://drive.google.com/open?id=1NAcK2O_7ITJ5wfzG1bubsz1IfibZAYBh" TargetMode="External"/><Relationship Id="rId223" Type="http://schemas.openxmlformats.org/officeDocument/2006/relationships/hyperlink" Target="https://drive.google.com/drive/folders/1KtjKDSYPB7MKZM-0coCqF6V2hV9oSdJh?usp=drive_link" TargetMode="External"/><Relationship Id="rId101" Type="http://schemas.openxmlformats.org/officeDocument/2006/relationships/hyperlink" Target="https://drive.google.com/open?id=1zwL7WoFFv_iX65yVRfYY4YH91WfFkcF4" TargetMode="External"/><Relationship Id="rId222" Type="http://schemas.openxmlformats.org/officeDocument/2006/relationships/hyperlink" Target="https://drive.google.com/drive/folders/10Rl-cBDtfP-tm9veAlfFNMzkf0txHGgs?usp=drive_link" TargetMode="External"/><Relationship Id="rId100" Type="http://schemas.openxmlformats.org/officeDocument/2006/relationships/hyperlink" Target="https://drive.google.com/open?id=1w_tbhtUl70yDUTIYMez8vJr_srfmc7NY" TargetMode="External"/><Relationship Id="rId221" Type="http://schemas.openxmlformats.org/officeDocument/2006/relationships/hyperlink" Target="https://drive.google.com/drive/folders/10u2Jk17HNMvYAp01gilR_2BkZSizqGrI?usp=drive_link" TargetMode="External"/><Relationship Id="rId217" Type="http://schemas.openxmlformats.org/officeDocument/2006/relationships/hyperlink" Target="https://drive.google.com/open?id=15XsHMU-pMrt6hhYMZ46CnMaGXSoz_H6j" TargetMode="External"/><Relationship Id="rId216" Type="http://schemas.openxmlformats.org/officeDocument/2006/relationships/hyperlink" Target="https://drive.google.com/open?id=1pKl4OOQaLTYhHtIzwH2l0K5hrNpHvOr1" TargetMode="External"/><Relationship Id="rId215" Type="http://schemas.openxmlformats.org/officeDocument/2006/relationships/hyperlink" Target="https://drive.google.com/open?id=1YuwXaYv_NFxCk5at6GnIXDtDURHswDBU" TargetMode="External"/><Relationship Id="rId214" Type="http://schemas.openxmlformats.org/officeDocument/2006/relationships/hyperlink" Target="https://drive.google.com/open?id=1rCy-d4Bzx8Kj3ZnLuOf_KFAECVP6ttA4" TargetMode="External"/><Relationship Id="rId219" Type="http://schemas.openxmlformats.org/officeDocument/2006/relationships/hyperlink" Target="https://drive.google.com/open?id=1yzpeuwUZoDCqJ6UmbD4-jo7shDgEJztu" TargetMode="External"/><Relationship Id="rId218" Type="http://schemas.openxmlformats.org/officeDocument/2006/relationships/hyperlink" Target="https://drive.google.com/open?id=1u1Xfs6Ub1AL3XgwBYhnW636NabqC30bD" TargetMode="External"/><Relationship Id="rId213" Type="http://schemas.openxmlformats.org/officeDocument/2006/relationships/hyperlink" Target="https://drive.google.com/open?id=17JTAeArzjWvVql6Bx4WfTwZfXzbsIA_0" TargetMode="External"/><Relationship Id="rId212" Type="http://schemas.openxmlformats.org/officeDocument/2006/relationships/hyperlink" Target="https://drive.google.com/open?id=1SG8fFAjC4pyV3KMda3RktsP9brgsfvtN" TargetMode="External"/><Relationship Id="rId211" Type="http://schemas.openxmlformats.org/officeDocument/2006/relationships/hyperlink" Target="https://drive.google.com/open?id=1vC2vD2XulpVbprjvDlC33iNxEpg2Y54D" TargetMode="External"/><Relationship Id="rId210" Type="http://schemas.openxmlformats.org/officeDocument/2006/relationships/hyperlink" Target="https://drive.google.com/open?id=1iTePISlv9XWhdJ-ak8S_WPRajY0iJiGa" TargetMode="External"/><Relationship Id="rId129" Type="http://schemas.openxmlformats.org/officeDocument/2006/relationships/hyperlink" Target="https://drive.google.com/open?id=1AvYIIz8v85u895wej-rNSELQnEPacXJo" TargetMode="External"/><Relationship Id="rId128" Type="http://schemas.openxmlformats.org/officeDocument/2006/relationships/hyperlink" Target="https://www.telegraphindia.com/edugraph/campus/bridging-borders-dayananda-sagar-universitys-path-to-inclusive-internationalization/cid/2048511" TargetMode="External"/><Relationship Id="rId249" Type="http://schemas.openxmlformats.org/officeDocument/2006/relationships/hyperlink" Target="https://drive.google.com/file/d/1gjNgbE_AeOV5twW8xqnbMW1sdY8CIpEa/view?usp=drive_link" TargetMode="External"/><Relationship Id="rId127" Type="http://schemas.openxmlformats.org/officeDocument/2006/relationships/hyperlink" Target="https://drive.google.com/open?id=1F23d1rKsYKaA73KVsl74TeL3WyJAM2qX" TargetMode="External"/><Relationship Id="rId248" Type="http://schemas.openxmlformats.org/officeDocument/2006/relationships/hyperlink" Target="https://drive.google.com/file/d/1br6A_YCp67GoiOtxCUGYpzvmOnoYMCxS/view?usp=sharing" TargetMode="External"/><Relationship Id="rId126" Type="http://schemas.openxmlformats.org/officeDocument/2006/relationships/hyperlink" Target="https://www.telegraphindia.com/edugraph/campus/dayananda-sagar-university-gears-up-for-nasa-space-apps-global-hackathon/cid/2049488" TargetMode="External"/><Relationship Id="rId247" Type="http://schemas.openxmlformats.org/officeDocument/2006/relationships/hyperlink" Target="https://drive.google.com/file/d/1mPDynQp7J0vuKMIE1jbcN1qb535XleQz/view?usp=drive_link" TargetMode="External"/><Relationship Id="rId121" Type="http://schemas.openxmlformats.org/officeDocument/2006/relationships/hyperlink" Target="https://drive.google.com/open?id=1OX7U4kfq-j3P6CEGqWtm9XFbwEPwlogm" TargetMode="External"/><Relationship Id="rId242" Type="http://schemas.openxmlformats.org/officeDocument/2006/relationships/hyperlink" Target="https://drive.google.com/file/d/1bNm4pRWX2vNx1DJRfFB2ZYKwM4K9ieZJ/view?usp=sharing" TargetMode="External"/><Relationship Id="rId120" Type="http://schemas.openxmlformats.org/officeDocument/2006/relationships/hyperlink" Target="https://www.anandabazar.com/brand-studio/bridging-borders-dayananda-sagar-universitys-path-to-inclusive-internationalization-dgtl/cid/1550595" TargetMode="External"/><Relationship Id="rId241" Type="http://schemas.openxmlformats.org/officeDocument/2006/relationships/hyperlink" Target="https://drive.google.com/file/d/1Tr_mzRFBYsGA7iBc1zT0RTIc1Y5PeST0/view?usp=drive_link" TargetMode="External"/><Relationship Id="rId240" Type="http://schemas.openxmlformats.org/officeDocument/2006/relationships/hyperlink" Target="https://drive.google.com/file/d/1bFmJ04XM9kPOGGiWN9de9B-cUEJ4Ik-3/view?usp=sharing" TargetMode="External"/><Relationship Id="rId125" Type="http://schemas.openxmlformats.org/officeDocument/2006/relationships/hyperlink" Target="https://drive.google.com/open?id=1g-Qe8hnlgPZ7m1IF0D7gY2llSJSPQUb3" TargetMode="External"/><Relationship Id="rId246" Type="http://schemas.openxmlformats.org/officeDocument/2006/relationships/hyperlink" Target="https://drive.google.com/file/d/1JVXIWT1AOrl0K1sbDmFt-mYuE64zaWFK/view?usp=sharing" TargetMode="External"/><Relationship Id="rId124" Type="http://schemas.openxmlformats.org/officeDocument/2006/relationships/hyperlink" Target="https://drive.google.com/open?id=1rJ7qAA3EmHPhwrqW4HSH-3Be_Stx59_4" TargetMode="External"/><Relationship Id="rId245" Type="http://schemas.openxmlformats.org/officeDocument/2006/relationships/hyperlink" Target="https://drive.google.com/file/d/1MGPcFSuiMQluGFn8uWDV8oAtcu3WIcrk/view?usp=drive_link" TargetMode="External"/><Relationship Id="rId123" Type="http://schemas.openxmlformats.org/officeDocument/2006/relationships/hyperlink" Target="https://drive.google.com/open?id=1aY65CGz4AcYT60H56_vXXkcTGhIETunQ" TargetMode="External"/><Relationship Id="rId244" Type="http://schemas.openxmlformats.org/officeDocument/2006/relationships/hyperlink" Target="https://drive.google.com/file/d/1bV3_x-v4Su361j-WGnLokONQkNFieQ_9/view?usp=sharing" TargetMode="External"/><Relationship Id="rId122" Type="http://schemas.openxmlformats.org/officeDocument/2006/relationships/hyperlink" Target="https://www.telegraphindia.com/edugraph/campus/why-choose-dayananda-sagar-university-for-your-law-degree/cid/2059145" TargetMode="External"/><Relationship Id="rId243" Type="http://schemas.openxmlformats.org/officeDocument/2006/relationships/hyperlink" Target="https://drive.google.com/drive/folders/1PgCoGAwuQyYKqVJfyqPam5KMue2N9LDV?usp=drive_link" TargetMode="External"/><Relationship Id="rId95" Type="http://schemas.openxmlformats.org/officeDocument/2006/relationships/hyperlink" Target="https://drive.google.com/open?id=1aGGTZC0Twr8fzckMEvIaFAX-0bQo05gi" TargetMode="External"/><Relationship Id="rId94" Type="http://schemas.openxmlformats.org/officeDocument/2006/relationships/hyperlink" Target="https://drive.google.com/open?id=1_Usjpd9LHw5kIWR2tU4GXO6C64u33FMl" TargetMode="External"/><Relationship Id="rId97" Type="http://schemas.openxmlformats.org/officeDocument/2006/relationships/hyperlink" Target="https://drive.google.com/open?id=1BaWA87bdUvxSysmjZjtSSkJ3lT76Xplp" TargetMode="External"/><Relationship Id="rId96" Type="http://schemas.openxmlformats.org/officeDocument/2006/relationships/hyperlink" Target="https://theprint.in/ani-press-releases/tedx-dayananda-sagar-university-a-symphony-of-ideas-and-inspiration-unfolds-on-stage/2618154/" TargetMode="External"/><Relationship Id="rId99" Type="http://schemas.openxmlformats.org/officeDocument/2006/relationships/hyperlink" Target="https://drive.google.com/open?id=1c3MZNXOQBAnCPdTNn4NcNVrKHq5nMJma" TargetMode="External"/><Relationship Id="rId98" Type="http://schemas.openxmlformats.org/officeDocument/2006/relationships/hyperlink" Target="https://drive.google.com/open?id=1-G7jY_yc4Msa4wmmJb5L9qkYQCvxEvEM" TargetMode="External"/><Relationship Id="rId91" Type="http://schemas.openxmlformats.org/officeDocument/2006/relationships/hyperlink" Target="https://drive.google.com/open?id=1ePmf87uMnPgJXHWbSFV19T77VUZ3T9tN" TargetMode="External"/><Relationship Id="rId90" Type="http://schemas.openxmlformats.org/officeDocument/2006/relationships/hyperlink" Target="https://theprint.in/ani-press-releases/palace-of-vision-step-inside-dayananda-sagar-university-open-house-2025/2712638/" TargetMode="External"/><Relationship Id="rId93" Type="http://schemas.openxmlformats.org/officeDocument/2006/relationships/hyperlink" Target="https://drive.google.com/open?id=1wanswy4tCzClbsvEQlKGigOQBhmOboPB" TargetMode="External"/><Relationship Id="rId92" Type="http://schemas.openxmlformats.org/officeDocument/2006/relationships/hyperlink" Target="https://www.tribuneindia.com/partner-exclusives/dayananda-sagar-university-a-global-education-destination-with-heartfelt-experiences-from-international-students/" TargetMode="External"/><Relationship Id="rId118" Type="http://schemas.openxmlformats.org/officeDocument/2006/relationships/hyperlink" Target="https://drive.google.com/open?id=1nP-S9_5mrvkBJzu-sRL1mo7EAq1SNZx2" TargetMode="External"/><Relationship Id="rId239" Type="http://schemas.openxmlformats.org/officeDocument/2006/relationships/hyperlink" Target="https://drive.google.com/file/d/1-pfpU5i1PI8jsuH8DH37AOs_ZInRnW-y/view?usp=drive_link" TargetMode="External"/><Relationship Id="rId117" Type="http://schemas.openxmlformats.org/officeDocument/2006/relationships/hyperlink" Target="https://drive.google.com/open?id=1VfQs4Ob-d1ztO4V2QwvV-y7IFRgtuFBS" TargetMode="External"/><Relationship Id="rId238" Type="http://schemas.openxmlformats.org/officeDocument/2006/relationships/hyperlink" Target="https://drive.google.com/file/d/1bC-_uDPnjABTySoAdU6x4ddHgKEuzrGM/view?usp=sharing" TargetMode="External"/><Relationship Id="rId116" Type="http://schemas.openxmlformats.org/officeDocument/2006/relationships/hyperlink" Target="https://www.anandabazar.com/brand-studio/nurturing-dreams-in-bangalores-educational-landscape-dgtl/cid/1534936" TargetMode="External"/><Relationship Id="rId237" Type="http://schemas.openxmlformats.org/officeDocument/2006/relationships/hyperlink" Target="https://drive.google.com/drive/folders/1aILR2uqp3hwCAcxwqe094fOSvKG4vyYJ?usp=drive_link" TargetMode="External"/><Relationship Id="rId115" Type="http://schemas.openxmlformats.org/officeDocument/2006/relationships/hyperlink" Target="http://anandabazar.com" TargetMode="External"/><Relationship Id="rId236" Type="http://schemas.openxmlformats.org/officeDocument/2006/relationships/hyperlink" Target="https://drive.google.com/file/d/1aiGw6cgX7lg0zxywmCFdB3rwkezmULk7/view?usp=sharing" TargetMode="External"/><Relationship Id="rId119" Type="http://schemas.openxmlformats.org/officeDocument/2006/relationships/hyperlink" Target="http://anandabazar.com" TargetMode="External"/><Relationship Id="rId110" Type="http://schemas.openxmlformats.org/officeDocument/2006/relationships/hyperlink" Target="https://drive.google.com/open?id=1LAZaO8Y_G2qOMH5nIzVFVTVPRjpF5v26" TargetMode="External"/><Relationship Id="rId231" Type="http://schemas.openxmlformats.org/officeDocument/2006/relationships/hyperlink" Target="https://drive.google.com/drive/folders/1iKaGTEuCi0zH3muBpezuGcSn2UwYV4Hx?usp=drive_link" TargetMode="External"/><Relationship Id="rId230" Type="http://schemas.openxmlformats.org/officeDocument/2006/relationships/hyperlink" Target="https://drive.google.com/drive/folders/1s5zYuWW0-xaxxwlrixYGZbB62PHq2eqG?usp=drive_link" TargetMode="External"/><Relationship Id="rId114" Type="http://schemas.openxmlformats.org/officeDocument/2006/relationships/hyperlink" Target="https://drive.google.com/open?id=1zfMHiVKAUvBq8WWUYHY_Di6ul-kmZuvD" TargetMode="External"/><Relationship Id="rId235" Type="http://schemas.openxmlformats.org/officeDocument/2006/relationships/hyperlink" Target="https://drive.google.com/drive/folders/1fiblNUxoh2afzypM0vo52pNtrfkO0I9J?usp=drive_link" TargetMode="External"/><Relationship Id="rId113" Type="http://schemas.openxmlformats.org/officeDocument/2006/relationships/hyperlink" Target="https://thepienews.com/special-category-visas-announced-for-india-bound-intl-students/" TargetMode="External"/><Relationship Id="rId234" Type="http://schemas.openxmlformats.org/officeDocument/2006/relationships/hyperlink" Target="https://drive.google.com/file/d/1KJwEvx1WaPeIWIL4F9P-8wzNsYMZyHfX/view?usp=sharing" TargetMode="External"/><Relationship Id="rId112" Type="http://schemas.openxmlformats.org/officeDocument/2006/relationships/hyperlink" Target="https://drive.google.com/open?id=1e8RF9ta4O-UfjwaCmmOFlAMnXMC6SMIP" TargetMode="External"/><Relationship Id="rId233" Type="http://schemas.openxmlformats.org/officeDocument/2006/relationships/hyperlink" Target="https://drive.google.com/drive/folders/1xWOjlPGGE5uKk5s8s4CCJSOCdJeTjZyD?usp=drive_link" TargetMode="External"/><Relationship Id="rId111" Type="http://schemas.openxmlformats.org/officeDocument/2006/relationships/hyperlink" Target="https://www.outlookindia.com/xhub/featured-insights/how-dayananda-sagar-university-is-transforming-lives-real-stories-of-community-impact" TargetMode="External"/><Relationship Id="rId232" Type="http://schemas.openxmlformats.org/officeDocument/2006/relationships/hyperlink" Target="https://drive.google.com/file/d/1uWkBeslpRL2XJ8yIRV63fMBm1wPwibKU/view?usp=sharing" TargetMode="External"/><Relationship Id="rId206" Type="http://schemas.openxmlformats.org/officeDocument/2006/relationships/hyperlink" Target="https://drive.google.com/open?id=1j3YPswQVTLNvbJVpJfiTe3wdCP5jVhbl" TargetMode="External"/><Relationship Id="rId205" Type="http://schemas.openxmlformats.org/officeDocument/2006/relationships/hyperlink" Target="https://drive.google.com/open?id=1lawHW7qWsMm6W3NC96Gz5wOUmCuBdixb" TargetMode="External"/><Relationship Id="rId204" Type="http://schemas.openxmlformats.org/officeDocument/2006/relationships/hyperlink" Target="https://drive.google.com/open?id=1JKK6XfI62NKXZAWgHk3qfWv59YLP6ssF" TargetMode="External"/><Relationship Id="rId203" Type="http://schemas.openxmlformats.org/officeDocument/2006/relationships/hyperlink" Target="https://drive.google.com/open?id=1FwFTyc-b8y2gV-NpF-j6zLJySbCOL3yH" TargetMode="External"/><Relationship Id="rId209" Type="http://schemas.openxmlformats.org/officeDocument/2006/relationships/hyperlink" Target="https://drive.google.com/open?id=1DSXAzk3rtN64v3WDkcKJ1mZP5t4gbi7R" TargetMode="External"/><Relationship Id="rId208" Type="http://schemas.openxmlformats.org/officeDocument/2006/relationships/hyperlink" Target="https://drive.google.com/open?id=1vNTyQ-dSLN3Zvkdnh3_akExWq88BsF-N" TargetMode="External"/><Relationship Id="rId207" Type="http://schemas.openxmlformats.org/officeDocument/2006/relationships/hyperlink" Target="https://drive.google.com/open?id=1_sdO8h7Mbi8UoUnelGZeiEHkwTiHIhoD" TargetMode="External"/><Relationship Id="rId202" Type="http://schemas.openxmlformats.org/officeDocument/2006/relationships/hyperlink" Target="https://drive.google.com/open?id=13B61qPgrXY6JBsc33YN5C_xHNfcTQh73" TargetMode="External"/><Relationship Id="rId201" Type="http://schemas.openxmlformats.org/officeDocument/2006/relationships/hyperlink" Target="https://drive.google.com/open?id=1oph5X-mSZqjwR3-0yeUWDMJdUV7yIz-r" TargetMode="External"/><Relationship Id="rId200" Type="http://schemas.openxmlformats.org/officeDocument/2006/relationships/hyperlink" Target="https://drive.google.com/open?id=107LbDzhg7tx5jcOafFaN7VUKkdj19-QI"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s://drive.google.com/open?id=12Bh6qY55Aj74Ow4uXJ6Vzzo9W-o8_yWi" TargetMode="External"/><Relationship Id="rId42" Type="http://schemas.openxmlformats.org/officeDocument/2006/relationships/hyperlink" Target="https://drive.google.com/open?id=169SPazsrCx_stbZFQ6VaUafeU0FmjpV5" TargetMode="External"/><Relationship Id="rId41" Type="http://schemas.openxmlformats.org/officeDocument/2006/relationships/hyperlink" Target="https://drive.google.com/open?id=13j4gwOuDUphtgzguDmdAxpy5EFY4RJrB" TargetMode="External"/><Relationship Id="rId44" Type="http://schemas.openxmlformats.org/officeDocument/2006/relationships/hyperlink" Target="https://drive.google.com/open?id=1IoXntJD-4ihwxa_yiRHUjeup5W1liM6h" TargetMode="External"/><Relationship Id="rId43" Type="http://schemas.openxmlformats.org/officeDocument/2006/relationships/hyperlink" Target="https://drive.google.com/open?id=1PmmJihJlywBMzQ3rT0mnwP4vUDK0TSfF" TargetMode="External"/><Relationship Id="rId46" Type="http://schemas.openxmlformats.org/officeDocument/2006/relationships/hyperlink" Target="https://drive.google.com/open?id=12MRXYiatDLLHG6PLfc5rtAaA56DBLKzd" TargetMode="External"/><Relationship Id="rId45" Type="http://schemas.openxmlformats.org/officeDocument/2006/relationships/hyperlink" Target="https://drive.google.com/open?id=1W_m63s8QCgvbVQtvo9vBdb_23omsdSvT" TargetMode="External"/><Relationship Id="rId48" Type="http://schemas.openxmlformats.org/officeDocument/2006/relationships/hyperlink" Target="https://drive.google.com/open?id=15dtX47eoBMpFuZImEIKzFEuO6EKuN6PH" TargetMode="External"/><Relationship Id="rId47" Type="http://schemas.openxmlformats.org/officeDocument/2006/relationships/hyperlink" Target="https://drive.google.com/open?id=13BJBM3kjUESNV_yjHjPCmdvjAhzE9_dA" TargetMode="External"/><Relationship Id="rId49" Type="http://schemas.openxmlformats.org/officeDocument/2006/relationships/hyperlink" Target="https://drive.google.com/open?id=1NIjIT58Ts4rOqHd-eqylnyS7AfoUcnsN" TargetMode="External"/><Relationship Id="rId31" Type="http://schemas.openxmlformats.org/officeDocument/2006/relationships/hyperlink" Target="https://drive.google.com/open?id=1fuCyUZRD10ADXx54lwXTIqA07tkTnKL3" TargetMode="External"/><Relationship Id="rId30" Type="http://schemas.openxmlformats.org/officeDocument/2006/relationships/hyperlink" Target="https://drive.google.com/open?id=1591AkM0wZ_wK9JY-AcYId0j8fi1vZhDL" TargetMode="External"/><Relationship Id="rId33" Type="http://schemas.openxmlformats.org/officeDocument/2006/relationships/hyperlink" Target="https://drive.google.com/open?id=1EH_lMUgFYzqB3rNHpXjOReT9mE_aq71h" TargetMode="External"/><Relationship Id="rId32" Type="http://schemas.openxmlformats.org/officeDocument/2006/relationships/hyperlink" Target="https://drive.google.com/open?id=1U8IP_2xa_1QFSCY233Gqy657JTft8JzT" TargetMode="External"/><Relationship Id="rId35" Type="http://schemas.openxmlformats.org/officeDocument/2006/relationships/hyperlink" Target="https://drive.google.com/open?id=1hH6eM2p5T0ne29EdwWfb0LVJKrTvikT2" TargetMode="External"/><Relationship Id="rId34" Type="http://schemas.openxmlformats.org/officeDocument/2006/relationships/hyperlink" Target="https://drive.google.com/open?id=1_UI-NLv1kjI6WICfx3-t5CZaHQbQwuqa" TargetMode="External"/><Relationship Id="rId37" Type="http://schemas.openxmlformats.org/officeDocument/2006/relationships/hyperlink" Target="https://drive.google.com/open?id=1ww-0Jk4vaf9Qqx73Po9hzaFa0zubblBt" TargetMode="External"/><Relationship Id="rId36" Type="http://schemas.openxmlformats.org/officeDocument/2006/relationships/hyperlink" Target="https://drive.google.com/open?id=1PMLPCLzPty31sqlrRiBzL6TeL4r3LM8i" TargetMode="External"/><Relationship Id="rId39" Type="http://schemas.openxmlformats.org/officeDocument/2006/relationships/hyperlink" Target="https://drive.google.com/open?id=1vaH-e6nq85V_iTsvX4Cv8RxpwDU80Ixx" TargetMode="External"/><Relationship Id="rId38" Type="http://schemas.openxmlformats.org/officeDocument/2006/relationships/hyperlink" Target="https://drive.google.com/open?id=1MixqHdqxXYgAbYsc5YyJtpzED8Fqidg9" TargetMode="External"/><Relationship Id="rId20" Type="http://schemas.openxmlformats.org/officeDocument/2006/relationships/hyperlink" Target="https://drive.google.com/open?id=1g-Qe8hnlgPZ7m1IF0D7gY2llSJSPQUb3" TargetMode="External"/><Relationship Id="rId22" Type="http://schemas.openxmlformats.org/officeDocument/2006/relationships/hyperlink" Target="https://drive.google.com/open?id=10TZuZjY7tEy2BVCMz8Qj_yR9bmAZJa_u" TargetMode="External"/><Relationship Id="rId21" Type="http://schemas.openxmlformats.org/officeDocument/2006/relationships/hyperlink" Target="https://drive.google.com/open?id=1Pqny7H86JI-6aIh5HN2ik6BHSeKtfj0r" TargetMode="External"/><Relationship Id="rId24" Type="http://schemas.openxmlformats.org/officeDocument/2006/relationships/hyperlink" Target="https://drive.google.com/open?id=12ikCUcKgb91-LAhTW0mJzZwc9zX13pst" TargetMode="External"/><Relationship Id="rId23" Type="http://schemas.openxmlformats.org/officeDocument/2006/relationships/hyperlink" Target="https://drive.google.com/open?id=1HXKcogbKJCCUstpJEywHrCMMGFNxTPRV" TargetMode="External"/><Relationship Id="rId26" Type="http://schemas.openxmlformats.org/officeDocument/2006/relationships/hyperlink" Target="https://drive.google.com/open?id=1h3ASSsXF7KZs0_nEJTaVvJZv2zO6zlFJ" TargetMode="External"/><Relationship Id="rId25" Type="http://schemas.openxmlformats.org/officeDocument/2006/relationships/hyperlink" Target="https://drive.google.com/open?id=1bvu2A7Di2Z2Kg_7YHaOHdg-ERkZSfsGU" TargetMode="External"/><Relationship Id="rId28" Type="http://schemas.openxmlformats.org/officeDocument/2006/relationships/hyperlink" Target="https://drive.google.com/open?id=1PuQRxDltuyXdwHeZVv8QEMitRhgwZde0" TargetMode="External"/><Relationship Id="rId27" Type="http://schemas.openxmlformats.org/officeDocument/2006/relationships/hyperlink" Target="https://drive.google.com/open?id=120YcxqtFyLgqZPBT3glKoWSlBsVkcRWp" TargetMode="External"/><Relationship Id="rId29" Type="http://schemas.openxmlformats.org/officeDocument/2006/relationships/hyperlink" Target="https://drive.google.com/open?id=1MJ4h7eCZ7MK1XS83OMWOh8-4JcOpCxVw" TargetMode="External"/><Relationship Id="rId11" Type="http://schemas.openxmlformats.org/officeDocument/2006/relationships/hyperlink" Target="https://drive.google.com/open?id=1-G7jY_yc4Msa4wmmJb5L9qkYQCvxEvEM" TargetMode="External"/><Relationship Id="rId10" Type="http://schemas.openxmlformats.org/officeDocument/2006/relationships/hyperlink" Target="https://drive.google.com/open?id=1aGGTZC0Twr8fzckMEvIaFAX-0bQo05gi" TargetMode="External"/><Relationship Id="rId13" Type="http://schemas.openxmlformats.org/officeDocument/2006/relationships/hyperlink" Target="https://drive.google.com/open?id=1w_tbhtUl70yDUTIYMez8vJr_srfmc7NY" TargetMode="External"/><Relationship Id="rId12" Type="http://schemas.openxmlformats.org/officeDocument/2006/relationships/hyperlink" Target="https://drive.google.com/open?id=1c3MZNXOQBAnCPdTNn4NcNVrKHq5nMJma" TargetMode="External"/><Relationship Id="rId15" Type="http://schemas.openxmlformats.org/officeDocument/2006/relationships/hyperlink" Target="https://drive.google.com/open?id=1NAcK2O_7ITJ5wfzG1bubsz1IfibZAYBh" TargetMode="External"/><Relationship Id="rId14" Type="http://schemas.openxmlformats.org/officeDocument/2006/relationships/hyperlink" Target="https://drive.google.com/open?id=1zwL7WoFFv_iX65yVRfYY4YH91WfFkcF4" TargetMode="External"/><Relationship Id="rId17" Type="http://schemas.openxmlformats.org/officeDocument/2006/relationships/hyperlink" Target="https://drive.google.com/open?id=1fFYelGyv6nfUBhI6zNML8U-_BfHg6nWU" TargetMode="External"/><Relationship Id="rId16" Type="http://schemas.openxmlformats.org/officeDocument/2006/relationships/hyperlink" Target="https://drive.google.com/open?id=1N_lVuwH5Ci0yx8Ut4b4oKn23qJUjaQUt" TargetMode="External"/><Relationship Id="rId19" Type="http://schemas.openxmlformats.org/officeDocument/2006/relationships/hyperlink" Target="https://drive.google.com/open?id=1rJ7qAA3EmHPhwrqW4HSH-3Be_Stx59_4" TargetMode="External"/><Relationship Id="rId18" Type="http://schemas.openxmlformats.org/officeDocument/2006/relationships/hyperlink" Target="https://drive.google.com/open?id=1nP-S9_5mrvkBJzu-sRL1mo7EAq1SNZx2" TargetMode="External"/><Relationship Id="rId1" Type="http://schemas.openxmlformats.org/officeDocument/2006/relationships/hyperlink" Target="https://drive.google.com/open?id=1fuzo5ZPatD3ZplYzKuQ0fevjg_BOK2i4" TargetMode="External"/><Relationship Id="rId2" Type="http://schemas.openxmlformats.org/officeDocument/2006/relationships/hyperlink" Target="https://drive.google.com/open?id=18m0WXCwVkhNWUnHs_eqUMxNhpln-Qirl" TargetMode="External"/><Relationship Id="rId3" Type="http://schemas.openxmlformats.org/officeDocument/2006/relationships/hyperlink" Target="https://drive.google.com/open?id=1K0gP0N9Z6FrUdyBzuYowEwQXEk6UFrrm" TargetMode="External"/><Relationship Id="rId4" Type="http://schemas.openxmlformats.org/officeDocument/2006/relationships/hyperlink" Target="https://drive.google.com/open?id=1DJSK27q6bm7wVt42qjOH2OmYINEXc9Lu" TargetMode="External"/><Relationship Id="rId9" Type="http://schemas.openxmlformats.org/officeDocument/2006/relationships/hyperlink" Target="https://drive.google.com/open?id=1_Usjpd9LHw5kIWR2tU4GXO6C64u33FMl" TargetMode="External"/><Relationship Id="rId5" Type="http://schemas.openxmlformats.org/officeDocument/2006/relationships/hyperlink" Target="https://drive.google.com/open?id=1gpOPvP6jTZJWG7X5mMw-s_kiKzXr615q" TargetMode="External"/><Relationship Id="rId6" Type="http://schemas.openxmlformats.org/officeDocument/2006/relationships/hyperlink" Target="https://drive.google.com/open?id=1yMCWFo8vgAjyUa9B3qN7uAT_WGR94bYh" TargetMode="External"/><Relationship Id="rId7" Type="http://schemas.openxmlformats.org/officeDocument/2006/relationships/hyperlink" Target="https://drive.google.com/open?id=10WytXVD_ZS4R8ff-rqDxsTSs4Rudyz2K" TargetMode="External"/><Relationship Id="rId8" Type="http://schemas.openxmlformats.org/officeDocument/2006/relationships/hyperlink" Target="https://drive.google.com/open?id=1Z18clV_oc8vunHfVu4R35f19HOgAKaPC" TargetMode="External"/><Relationship Id="rId72" Type="http://schemas.openxmlformats.org/officeDocument/2006/relationships/drawing" Target="../drawings/drawing3.xml"/><Relationship Id="rId71" Type="http://schemas.openxmlformats.org/officeDocument/2006/relationships/hyperlink" Target="https://drive.google.com/open?id=17JTAeArzjWvVql6Bx4WfTwZfXzbsIA_0" TargetMode="External"/><Relationship Id="rId70" Type="http://schemas.openxmlformats.org/officeDocument/2006/relationships/hyperlink" Target="https://drive.google.com/open?id=1SG8fFAjC4pyV3KMda3RktsP9brgsfvtN" TargetMode="External"/><Relationship Id="rId62" Type="http://schemas.openxmlformats.org/officeDocument/2006/relationships/hyperlink" Target="https://drive.google.com/open?id=1JKK6XfI62NKXZAWgHk3qfWv59YLP6ssF" TargetMode="External"/><Relationship Id="rId61" Type="http://schemas.openxmlformats.org/officeDocument/2006/relationships/hyperlink" Target="https://drive.google.com/open?id=1FwFTyc-b8y2gV-NpF-j6zLJySbCOL3yH" TargetMode="External"/><Relationship Id="rId64" Type="http://schemas.openxmlformats.org/officeDocument/2006/relationships/hyperlink" Target="https://drive.google.com/open?id=1j3YPswQVTLNvbJVpJfiTe3wdCP5jVhbl" TargetMode="External"/><Relationship Id="rId63" Type="http://schemas.openxmlformats.org/officeDocument/2006/relationships/hyperlink" Target="https://drive.google.com/open?id=1lawHW7qWsMm6W3NC96Gz5wOUmCuBdixb" TargetMode="External"/><Relationship Id="rId66" Type="http://schemas.openxmlformats.org/officeDocument/2006/relationships/hyperlink" Target="https://drive.google.com/open?id=1vNTyQ-dSLN3Zvkdnh3_akExWq88BsF-N" TargetMode="External"/><Relationship Id="rId65" Type="http://schemas.openxmlformats.org/officeDocument/2006/relationships/hyperlink" Target="https://drive.google.com/open?id=1_sdO8h7Mbi8UoUnelGZeiEHkwTiHIhoD" TargetMode="External"/><Relationship Id="rId68" Type="http://schemas.openxmlformats.org/officeDocument/2006/relationships/hyperlink" Target="https://drive.google.com/open?id=1iTePISlv9XWhdJ-ak8S_WPRajY0iJiGa" TargetMode="External"/><Relationship Id="rId67" Type="http://schemas.openxmlformats.org/officeDocument/2006/relationships/hyperlink" Target="https://drive.google.com/open?id=1DSXAzk3rtN64v3WDkcKJ1mZP5t4gbi7R" TargetMode="External"/><Relationship Id="rId60" Type="http://schemas.openxmlformats.org/officeDocument/2006/relationships/hyperlink" Target="https://drive.google.com/open?id=13B61qPgrXY6JBsc33YN5C_xHNfcTQh73" TargetMode="External"/><Relationship Id="rId69" Type="http://schemas.openxmlformats.org/officeDocument/2006/relationships/hyperlink" Target="https://drive.google.com/open?id=1vC2vD2XulpVbprjvDlC33iNxEpg2Y54D" TargetMode="External"/><Relationship Id="rId51" Type="http://schemas.openxmlformats.org/officeDocument/2006/relationships/hyperlink" Target="https://drive.google.com/open?id=13Ru90EeBHP2Y26nzMgkjyAvssTFsAdxg" TargetMode="External"/><Relationship Id="rId50" Type="http://schemas.openxmlformats.org/officeDocument/2006/relationships/hyperlink" Target="https://drive.google.com/open?id=1zUM_jMu8XohooGCw3qrQIfK-OautlmGI" TargetMode="External"/><Relationship Id="rId53" Type="http://schemas.openxmlformats.org/officeDocument/2006/relationships/hyperlink" Target="https://drive.google.com/open?id=1SluZvzdHiA1Q2SJkYPN28Iiw8d_W0SuB" TargetMode="External"/><Relationship Id="rId52" Type="http://schemas.openxmlformats.org/officeDocument/2006/relationships/hyperlink" Target="https://drive.google.com/open?id=1GFacOqn1KcevcCVjYlIn8V9DJtBxTdNE" TargetMode="External"/><Relationship Id="rId55" Type="http://schemas.openxmlformats.org/officeDocument/2006/relationships/hyperlink" Target="https://drive.google.com/open?id=19aT588lSKdpDlJ1NFjSIACmgiu6Pie3w" TargetMode="External"/><Relationship Id="rId54" Type="http://schemas.openxmlformats.org/officeDocument/2006/relationships/hyperlink" Target="https://drive.google.com/open?id=1KUe7fcWACBaI5v4B4PbVuWAiTda6gZwO" TargetMode="External"/><Relationship Id="rId57" Type="http://schemas.openxmlformats.org/officeDocument/2006/relationships/hyperlink" Target="https://drive.google.com/open?id=1uCrUomoyQTO3G4fL2ksUllCD8WVaHMs-" TargetMode="External"/><Relationship Id="rId56" Type="http://schemas.openxmlformats.org/officeDocument/2006/relationships/hyperlink" Target="https://drive.google.com/open?id=1DzOo7YXcZDm1O5EF6xt6mnPJsvx1EcyO" TargetMode="External"/><Relationship Id="rId59" Type="http://schemas.openxmlformats.org/officeDocument/2006/relationships/hyperlink" Target="https://drive.google.com/open?id=1oph5X-mSZqjwR3-0yeUWDMJdUV7yIz-r" TargetMode="External"/><Relationship Id="rId58" Type="http://schemas.openxmlformats.org/officeDocument/2006/relationships/hyperlink" Target="https://drive.google.com/open?id=107LbDzhg7tx5jcOafFaN7VUKkdj19-QI"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drive.google.com/open?id=1Tku65075BPt66QbeZjYqPRyK1YbveU22" TargetMode="External"/><Relationship Id="rId2" Type="http://schemas.openxmlformats.org/officeDocument/2006/relationships/hyperlink" Target="https://drive.google.com/open?id=1lYDtn8FWZVvAaWq_7CT-OOumCCGmVbvI" TargetMode="External"/><Relationship Id="rId3" Type="http://schemas.openxmlformats.org/officeDocument/2006/relationships/hyperlink" Target="https://drive.google.com/open?id=1YuwXaYv_NFxCk5at6GnIXDtDURHswDBU" TargetMode="External"/><Relationship Id="rId4" Type="http://schemas.openxmlformats.org/officeDocument/2006/relationships/hyperlink" Target="https://drive.google.com/open?id=1pKl4OOQaLTYhHtIzwH2l0K5hrNpHvOr1" TargetMode="External"/><Relationship Id="rId5" Type="http://schemas.openxmlformats.org/officeDocument/2006/relationships/hyperlink" Target="https://drive.google.com/open?id=15XsHMU-pMrt6hhYMZ46CnMaGXSoz_H6j" TargetMode="External"/><Relationship Id="rId6" Type="http://schemas.openxmlformats.org/officeDocument/2006/relationships/hyperlink" Target="https://drive.google.com/open?id=1u1Xfs6Ub1AL3XgwBYhnW636NabqC30bD" TargetMode="External"/><Relationship Id="rId7" Type="http://schemas.openxmlformats.org/officeDocument/2006/relationships/hyperlink" Target="https://drive.google.com/open?id=1yzpeuwUZoDCqJ6UmbD4-jo7shDgEJztu" TargetMode="External"/><Relationship Id="rId8"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40" Type="http://schemas.openxmlformats.org/officeDocument/2006/relationships/hyperlink" Target="https://drive.google.com/file/d/19k-x4rDEWqywJO5-RhnCEC240a99ItEk/view?usp=sharing" TargetMode="External"/><Relationship Id="rId42" Type="http://schemas.openxmlformats.org/officeDocument/2006/relationships/hyperlink" Target="https://drive.google.com/file/d/1AJmQalosaO9OLClJ2sBqUaA5dYuop0Nr/view?usp=sharing" TargetMode="External"/><Relationship Id="rId41" Type="http://schemas.openxmlformats.org/officeDocument/2006/relationships/hyperlink" Target="https://drive.google.com/file/d/1_aqaI4nvI3j3qPmXWxbS5WlQZ7wInXyk/view?usp=drive_link" TargetMode="External"/><Relationship Id="rId44" Type="http://schemas.openxmlformats.org/officeDocument/2006/relationships/hyperlink" Target="https://drive.google.com/file/d/1ANe1bBR74fxIDuXgCXeUiLdum9_voCpA/view?usp=sharing" TargetMode="External"/><Relationship Id="rId43" Type="http://schemas.openxmlformats.org/officeDocument/2006/relationships/hyperlink" Target="https://drive.google.com/file/d/1wxpGzO-NCVjoJOawyEMSM_gk5k5PCBbW/view?usp=drive_link" TargetMode="External"/><Relationship Id="rId46" Type="http://schemas.openxmlformats.org/officeDocument/2006/relationships/hyperlink" Target="https://drive.google.com/drive/folders/1YQqbYhRvbV4eLTImtp5T6kpgsZJnwOOE?usp=drive_link" TargetMode="External"/><Relationship Id="rId45" Type="http://schemas.openxmlformats.org/officeDocument/2006/relationships/hyperlink" Target="https://drive.google.com/file/d/1c8k9uKzKiFBG8B59hUGicV_ee9YrA20s/view?usp=drive_link" TargetMode="External"/><Relationship Id="rId48" Type="http://schemas.openxmlformats.org/officeDocument/2006/relationships/hyperlink" Target="https://drive.google.com/drive/folders/1b5910AFWfNGcNP-EnKEgjiw80EI4hbBa?usp=drive_link" TargetMode="External"/><Relationship Id="rId47" Type="http://schemas.openxmlformats.org/officeDocument/2006/relationships/hyperlink" Target="https://drive.google.com/drive/folders/1mTbUn34aBXATrKqyFfEXs76LpxSrqO8P?usp=drive_link" TargetMode="External"/><Relationship Id="rId49" Type="http://schemas.openxmlformats.org/officeDocument/2006/relationships/hyperlink" Target="https://drive.google.com/drive/folders/1k887YWQd0dGtAohpgIw4tnM4fd1TnWZ4?usp=drive_link" TargetMode="External"/><Relationship Id="rId31" Type="http://schemas.openxmlformats.org/officeDocument/2006/relationships/hyperlink" Target="https://drive.google.com/drive/folders/1aBt2RwywIctMVoCoLN68npKZ0LOccc5E?usp=drive_link" TargetMode="External"/><Relationship Id="rId30" Type="http://schemas.openxmlformats.org/officeDocument/2006/relationships/hyperlink" Target="https://drive.google.com/drive/folders/1PZnUdmR1UXdf4Y4LHwiftyTzF1_rn4cN?usp=sharing" TargetMode="External"/><Relationship Id="rId33" Type="http://schemas.openxmlformats.org/officeDocument/2006/relationships/hyperlink" Target="https://drive.google.com/file/d/1bw9T9T-c5LMmBLq8rPoaOz_vuGhYJ_wD/view?usp=drive_link" TargetMode="External"/><Relationship Id="rId32" Type="http://schemas.openxmlformats.org/officeDocument/2006/relationships/hyperlink" Target="https://drive.google.com/file/d/1i0wYKEaCDkk4RD8CWiuxPt_KFVMegRGD/view?usp=sharing" TargetMode="External"/><Relationship Id="rId35" Type="http://schemas.openxmlformats.org/officeDocument/2006/relationships/hyperlink" Target="https://drive.google.com/file/d/13c2E4NhiOH-lecccz5vO_9nJEsd5vSRA/view?usp=drive_link" TargetMode="External"/><Relationship Id="rId34" Type="http://schemas.openxmlformats.org/officeDocument/2006/relationships/hyperlink" Target="https://drive.google.com/file/d/16k3rFEIpBJHBG_0N0a2Sfa2__vR93pgb/view?usp=sharing" TargetMode="External"/><Relationship Id="rId37" Type="http://schemas.openxmlformats.org/officeDocument/2006/relationships/hyperlink" Target="https://drive.google.com/file/d/1CVqM1HMI7Dsf0M7kd3sVgcBF5239VVYj/view?usp=drive_link" TargetMode="External"/><Relationship Id="rId36" Type="http://schemas.openxmlformats.org/officeDocument/2006/relationships/hyperlink" Target="https://drive.google.com/file/d/16mLe9mKTumin0x6_xTaprnRQTcUSiTX6/view?usp=sharing" TargetMode="External"/><Relationship Id="rId39" Type="http://schemas.openxmlformats.org/officeDocument/2006/relationships/hyperlink" Target="https://drive.google.com/drive/folders/1pQEZc1QRUarP3vwhc-YKYDQ9Sw9sd-MT?usp=drive_link" TargetMode="External"/><Relationship Id="rId38" Type="http://schemas.openxmlformats.org/officeDocument/2006/relationships/hyperlink" Target="https://drive.google.com/file/d/16oZc9csZfnqf9OMJ1awotN9XL27WlHcV/view?usp=sharing" TargetMode="External"/><Relationship Id="rId20" Type="http://schemas.openxmlformats.org/officeDocument/2006/relationships/hyperlink" Target="https://drive.google.com/file/d/1bvxPqwYuPyRAHabcjvXJQ9VWGPJyaJgD/view?usp=sharing" TargetMode="External"/><Relationship Id="rId22" Type="http://schemas.openxmlformats.org/officeDocument/2006/relationships/hyperlink" Target="https://drive.google.com/file/d/1c1VMIiY0zPRRXvZH2L8xW2tH7tBHRUdW/view?usp=sharing" TargetMode="External"/><Relationship Id="rId21" Type="http://schemas.openxmlformats.org/officeDocument/2006/relationships/hyperlink" Target="https://drive.google.com/file/d/1kgS0ynWg70KPKcRHHADMwH9uLtTxcPFZ/view?usp=drive_link" TargetMode="External"/><Relationship Id="rId24" Type="http://schemas.openxmlformats.org/officeDocument/2006/relationships/hyperlink" Target="https://drive.google.com/file/d/1npN0dwwyE5j66Eqn-OFVTAvuDnNk0iRE/view?usp=sharing" TargetMode="External"/><Relationship Id="rId23" Type="http://schemas.openxmlformats.org/officeDocument/2006/relationships/hyperlink" Target="https://drive.google.com/file/d/1IXSIDXnBZaLP6GqzITfkhPU2Y2_60KOF/view?usp=drive_link" TargetMode="External"/><Relationship Id="rId26" Type="http://schemas.openxmlformats.org/officeDocument/2006/relationships/hyperlink" Target="https://drive.google.com/file/d/1c92Nowt2uuNgkN8XT6pR1be8YsJvSnkj/view?usp=sharing" TargetMode="External"/><Relationship Id="rId25" Type="http://schemas.openxmlformats.org/officeDocument/2006/relationships/hyperlink" Target="https://drive.google.com/file/d/1v0VQyf8axdBgEXHt8V11O5IybFQ_Kzy5/view?usp=drive_link" TargetMode="External"/><Relationship Id="rId28" Type="http://schemas.openxmlformats.org/officeDocument/2006/relationships/hyperlink" Target="https://drive.google.com/file/d/1cLPOisdUiUtSD1z_Oo1RluT-9EaWGUhs/view?usp=sharing" TargetMode="External"/><Relationship Id="rId27" Type="http://schemas.openxmlformats.org/officeDocument/2006/relationships/hyperlink" Target="https://drive.google.com/file/d/1XZOKOjbOSWipK_r1cPdEHJcG3Z-rW_cY/view?usp=drive_link" TargetMode="External"/><Relationship Id="rId29" Type="http://schemas.openxmlformats.org/officeDocument/2006/relationships/hyperlink" Target="https://drive.google.com/file/d/1oyOq_6CbSzbEdKs2LrgTiOBWLFWEnJTo/view?usp=drive_link" TargetMode="External"/><Relationship Id="rId11" Type="http://schemas.openxmlformats.org/officeDocument/2006/relationships/hyperlink" Target="https://drive.google.com/file/d/1Tr_mzRFBYsGA7iBc1zT0RTIc1Y5PeST0/view?usp=drive_link" TargetMode="External"/><Relationship Id="rId10" Type="http://schemas.openxmlformats.org/officeDocument/2006/relationships/hyperlink" Target="https://drive.google.com/file/d/1bFmJ04XM9kPOGGiWN9de9B-cUEJ4Ik-3/view?usp=sharing" TargetMode="External"/><Relationship Id="rId13" Type="http://schemas.openxmlformats.org/officeDocument/2006/relationships/hyperlink" Target="https://drive.google.com/drive/folders/1PgCoGAwuQyYKqVJfyqPam5KMue2N9LDV?usp=drive_link" TargetMode="External"/><Relationship Id="rId12" Type="http://schemas.openxmlformats.org/officeDocument/2006/relationships/hyperlink" Target="https://drive.google.com/file/d/1bNm4pRWX2vNx1DJRfFB2ZYKwM4K9ieZJ/view?usp=sharing" TargetMode="External"/><Relationship Id="rId15" Type="http://schemas.openxmlformats.org/officeDocument/2006/relationships/hyperlink" Target="https://drive.google.com/file/d/1MGPcFSuiMQluGFn8uWDV8oAtcu3WIcrk/view?usp=drive_link" TargetMode="External"/><Relationship Id="rId14" Type="http://schemas.openxmlformats.org/officeDocument/2006/relationships/hyperlink" Target="https://drive.google.com/file/d/1bV3_x-v4Su361j-WGnLokONQkNFieQ_9/view?usp=sharing" TargetMode="External"/><Relationship Id="rId17" Type="http://schemas.openxmlformats.org/officeDocument/2006/relationships/hyperlink" Target="https://drive.google.com/file/d/1mPDynQp7J0vuKMIE1jbcN1qb535XleQz/view?usp=drive_link" TargetMode="External"/><Relationship Id="rId16" Type="http://schemas.openxmlformats.org/officeDocument/2006/relationships/hyperlink" Target="https://drive.google.com/file/d/1JVXIWT1AOrl0K1sbDmFt-mYuE64zaWFK/view?usp=sharing" TargetMode="External"/><Relationship Id="rId19" Type="http://schemas.openxmlformats.org/officeDocument/2006/relationships/hyperlink" Target="https://drive.google.com/file/d/1gjNgbE_AeOV5twW8xqnbMW1sdY8CIpEa/view?usp=drive_link" TargetMode="External"/><Relationship Id="rId18" Type="http://schemas.openxmlformats.org/officeDocument/2006/relationships/hyperlink" Target="https://drive.google.com/file/d/1br6A_YCp67GoiOtxCUGYpzvmOnoYMCxS/view?usp=sharing" TargetMode="External"/><Relationship Id="rId1" Type="http://schemas.openxmlformats.org/officeDocument/2006/relationships/hyperlink" Target="https://docs.google.com/document/u/0/d/1n04LAqiF1q1_8T8PN4vgHq4a3Xbbd3X4TsvrhRWtAZM/edit" TargetMode="External"/><Relationship Id="rId2" Type="http://schemas.openxmlformats.org/officeDocument/2006/relationships/hyperlink" Target="https://drive.google.com/file/d/1uWkBeslpRL2XJ8yIRV63fMBm1wPwibKU/view?usp=sharing" TargetMode="External"/><Relationship Id="rId3" Type="http://schemas.openxmlformats.org/officeDocument/2006/relationships/hyperlink" Target="https://drive.google.com/drive/folders/1xWOjlPGGE5uKk5s8s4CCJSOCdJeTjZyD?usp=drive_link" TargetMode="External"/><Relationship Id="rId4" Type="http://schemas.openxmlformats.org/officeDocument/2006/relationships/hyperlink" Target="https://drive.google.com/file/d/1KJwEvx1WaPeIWIL4F9P-8wzNsYMZyHfX/view?usp=sharing" TargetMode="External"/><Relationship Id="rId9" Type="http://schemas.openxmlformats.org/officeDocument/2006/relationships/hyperlink" Target="https://drive.google.com/file/d/1-pfpU5i1PI8jsuH8DH37AOs_ZInRnW-y/view?usp=drive_link" TargetMode="External"/><Relationship Id="rId5" Type="http://schemas.openxmlformats.org/officeDocument/2006/relationships/hyperlink" Target="https://drive.google.com/drive/folders/1fiblNUxoh2afzypM0vo52pNtrfkO0I9J?usp=drive_link" TargetMode="External"/><Relationship Id="rId6" Type="http://schemas.openxmlformats.org/officeDocument/2006/relationships/hyperlink" Target="https://drive.google.com/file/d/1aiGw6cgX7lg0zxywmCFdB3rwkezmULk7/view?usp=sharing" TargetMode="External"/><Relationship Id="rId7" Type="http://schemas.openxmlformats.org/officeDocument/2006/relationships/hyperlink" Target="https://drive.google.com/drive/folders/1aILR2uqp3hwCAcxwqe094fOSvKG4vyYJ?usp=drive_link" TargetMode="External"/><Relationship Id="rId8" Type="http://schemas.openxmlformats.org/officeDocument/2006/relationships/hyperlink" Target="https://drive.google.com/file/d/1bC-_uDPnjABTySoAdU6x4ddHgKEuzrGM/view?usp=sharing" TargetMode="External"/><Relationship Id="rId62" Type="http://schemas.openxmlformats.org/officeDocument/2006/relationships/drawing" Target="../drawings/drawing5.xml"/><Relationship Id="rId61" Type="http://schemas.openxmlformats.org/officeDocument/2006/relationships/hyperlink" Target="https://drive.google.com/drive/folders/1t1ueCAANBmlH2dhpuBGFM58thEbUqlKh?usp=drive_link" TargetMode="External"/><Relationship Id="rId60" Type="http://schemas.openxmlformats.org/officeDocument/2006/relationships/hyperlink" Target="https://drive.google.com/drive/folders/1WDZNRtIgEMOmoBB75ajPb4XxOLuwjhJK?usp=drive_link" TargetMode="External"/><Relationship Id="rId51" Type="http://schemas.openxmlformats.org/officeDocument/2006/relationships/hyperlink" Target="https://drive.google.com/drive/folders/1_LVNQTC3fYbRPtMSXuvUkTNMZPTpcSQW?usp=drive_link" TargetMode="External"/><Relationship Id="rId50" Type="http://schemas.openxmlformats.org/officeDocument/2006/relationships/hyperlink" Target="https://drive.google.com/drive/folders/1apoz-KYNUHeYsTNAwhG9WyscPGAhZ2v1?usp=drive_link" TargetMode="External"/><Relationship Id="rId53" Type="http://schemas.openxmlformats.org/officeDocument/2006/relationships/hyperlink" Target="https://drive.google.com/drive/folders/1SQWj0XJZKTZLsScfzpvwKmzzrK7NjVIx?usp=drive_link" TargetMode="External"/><Relationship Id="rId52" Type="http://schemas.openxmlformats.org/officeDocument/2006/relationships/hyperlink" Target="https://drive.google.com/drive/folders/1vD7LG8wp_rOqKsF5BpyUY14IK3vdGDYF?usp=drive_link" TargetMode="External"/><Relationship Id="rId55" Type="http://schemas.openxmlformats.org/officeDocument/2006/relationships/hyperlink" Target="https://drive.google.com/drive/folders/1TH-XkdUBTw1m7kSnIJV5vYjlaxlxAkPV?usp=sharing" TargetMode="External"/><Relationship Id="rId54" Type="http://schemas.openxmlformats.org/officeDocument/2006/relationships/hyperlink" Target="https://drive.google.com/drive/folders/1P78EHR1n3lceMwS14ZWbdWzEE_HL2YRr?usp=drive_link" TargetMode="External"/><Relationship Id="rId57" Type="http://schemas.openxmlformats.org/officeDocument/2006/relationships/hyperlink" Target="https://drive.google.com/drive/folders/11KOizCFCVsIvZJoPlZDN7qx1J3mqIDHG?usp=drive_link" TargetMode="External"/><Relationship Id="rId56" Type="http://schemas.openxmlformats.org/officeDocument/2006/relationships/hyperlink" Target="https://drive.google.com/drive/folders/1kcZOqwpEFE9xMoFsIzjoQXj9eaugswfM?usp=drive_link" TargetMode="External"/><Relationship Id="rId59" Type="http://schemas.openxmlformats.org/officeDocument/2006/relationships/hyperlink" Target="https://drive.google.com/drive/folders/1CRoQSMFAZwQbm22sPIiOuIasDsg04PW1?usp=drive_link" TargetMode="External"/><Relationship Id="rId58" Type="http://schemas.openxmlformats.org/officeDocument/2006/relationships/hyperlink" Target="https://drive.google.com/drive/folders/1xTwtMRdLqA0vyTXngXka9fJ2N0U2uu5X?usp=drive_link"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drive.google.com/open?id=1TjJ8wzPR-92w96a56yMNc5eaSsddtucf" TargetMode="External"/><Relationship Id="rId2" Type="http://schemas.openxmlformats.org/officeDocument/2006/relationships/hyperlink" Target="https://drive.google.com/open?id=1P9bqDxi0oOtdtx2ApCLS94v5LHrcp8rc" TargetMode="External"/><Relationship Id="rId3" Type="http://schemas.openxmlformats.org/officeDocument/2006/relationships/hyperlink" Target="https://drive.google.com/open?id=1iyDl8Bdq53S_L_rfqLR3XSrS3fbjxLjI" TargetMode="External"/><Relationship Id="rId4" Type="http://schemas.openxmlformats.org/officeDocument/2006/relationships/hyperlink" Target="https://drive.google.com/open?id=1rCy-d4Bzx8Kj3ZnLuOf_KFAECVP6ttA4" TargetMode="External"/><Relationship Id="rId5"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1" Type="http://schemas.openxmlformats.org/officeDocument/2006/relationships/hyperlink" Target="https://drive.google.com/drive/folders/1ub-L8bi7zwx45dhn-eFDlOLfmh-1-rjG?usp=drive_link" TargetMode="External"/><Relationship Id="rId10" Type="http://schemas.openxmlformats.org/officeDocument/2006/relationships/hyperlink" Target="https://drive.google.com/drive/folders/1M81KKk8X_Nh4wkvSBXDAApOFo87MRRWJ?usp=drive_link" TargetMode="External"/><Relationship Id="rId13" Type="http://schemas.openxmlformats.org/officeDocument/2006/relationships/hyperlink" Target="https://drive.google.com/drive/folders/1iKaGTEuCi0zH3muBpezuGcSn2UwYV4Hx?usp=drive_link" TargetMode="External"/><Relationship Id="rId12" Type="http://schemas.openxmlformats.org/officeDocument/2006/relationships/hyperlink" Target="https://drive.google.com/drive/folders/1s5zYuWW0-xaxxwlrixYGZbB62PHq2eqG?usp=drive_link" TargetMode="External"/><Relationship Id="rId14" Type="http://schemas.openxmlformats.org/officeDocument/2006/relationships/drawing" Target="../drawings/drawing7.xml"/><Relationship Id="rId1" Type="http://schemas.openxmlformats.org/officeDocument/2006/relationships/hyperlink" Target="https://drive.google.com/drive/folders/19Q3RZIoCw-1ehQpQ8xLaS8tTDP7w2pRp?usp=sharing" TargetMode="External"/><Relationship Id="rId2" Type="http://schemas.openxmlformats.org/officeDocument/2006/relationships/hyperlink" Target="https://drive.google.com/drive/folders/1qS3xjREw7yP6sNEKwt1_ICL1kLh7Au7q?usp=drive_link" TargetMode="External"/><Relationship Id="rId3" Type="http://schemas.openxmlformats.org/officeDocument/2006/relationships/hyperlink" Target="https://drive.google.com/drive/folders/10u2Jk17HNMvYAp01gilR_2BkZSizqGrI?usp=drive_link" TargetMode="External"/><Relationship Id="rId4" Type="http://schemas.openxmlformats.org/officeDocument/2006/relationships/hyperlink" Target="https://drive.google.com/drive/folders/10Rl-cBDtfP-tm9veAlfFNMzkf0txHGgs?usp=drive_link" TargetMode="External"/><Relationship Id="rId9" Type="http://schemas.openxmlformats.org/officeDocument/2006/relationships/hyperlink" Target="https://drive.google.com/drive/folders/1ZexcNblZgEfgvTyz6lmjt7fygoNmW1SX?usp=drive_link" TargetMode="External"/><Relationship Id="rId5" Type="http://schemas.openxmlformats.org/officeDocument/2006/relationships/hyperlink" Target="https://drive.google.com/drive/folders/1KtjKDSYPB7MKZM-0coCqF6V2hV9oSdJh?usp=drive_link" TargetMode="External"/><Relationship Id="rId6" Type="http://schemas.openxmlformats.org/officeDocument/2006/relationships/hyperlink" Target="https://drive.google.com/drive/folders/1plkAM48E5Hndvk5d3-OFTFh4iT0LRBKd?usp=drive_link" TargetMode="External"/><Relationship Id="rId7" Type="http://schemas.openxmlformats.org/officeDocument/2006/relationships/hyperlink" Target="https://drive.google.com/drive/folders/1b5910AFWfNGcNP-EnKEgjiw80EI4hbBa?usp=drive_link" TargetMode="External"/><Relationship Id="rId8" Type="http://schemas.openxmlformats.org/officeDocument/2006/relationships/hyperlink" Target="https://drive.google.com/drive/folders/1ZSlxc9fvbpSkXdgYtlS4zJAfXcHIphTO?usp=drive_link" TargetMode="External"/></Relationships>
</file>

<file path=xl/worksheets/_rels/sheet8.xml.rels><?xml version="1.0" encoding="UTF-8" standalone="yes"?><Relationships xmlns="http://schemas.openxmlformats.org/package/2006/relationships"><Relationship Id="rId40" Type="http://schemas.openxmlformats.org/officeDocument/2006/relationships/hyperlink" Target="https://drive.google.com/open?id=1hWsjclL-lN4n9sgFNu8TbBZ7L0ojEINO" TargetMode="External"/><Relationship Id="rId42" Type="http://schemas.openxmlformats.org/officeDocument/2006/relationships/hyperlink" Target="https://drive.google.com/open?id=1jJ11gMSF69NT2LOOK0Xa-u4QtjfdfgOo" TargetMode="External"/><Relationship Id="rId41" Type="http://schemas.openxmlformats.org/officeDocument/2006/relationships/hyperlink" Target="https://drive.google.com/open?id=1faPRWbfkzbmMheATcRELmkrDkmL26FkX" TargetMode="External"/><Relationship Id="rId44" Type="http://schemas.openxmlformats.org/officeDocument/2006/relationships/hyperlink" Target="https://drive.google.com/open?id=1kMvBTRge1OrIbcAlMvPWmtk0CRbburR5" TargetMode="External"/><Relationship Id="rId43" Type="http://schemas.openxmlformats.org/officeDocument/2006/relationships/hyperlink" Target="https://drive.google.com/open?id=1YAbaDNqxm7ExKi54J1nOEsItPYRBk3qM" TargetMode="External"/><Relationship Id="rId46" Type="http://schemas.openxmlformats.org/officeDocument/2006/relationships/hyperlink" Target="https://drive.google.com/open?id=1igA5cQnytUCuhO9V1z7-98Sn3fVGrESO" TargetMode="External"/><Relationship Id="rId45" Type="http://schemas.openxmlformats.org/officeDocument/2006/relationships/hyperlink" Target="https://drive.google.com/open?id=1Y21N0IAP_EzQ4uviMpy6QPDziSgC5uSc" TargetMode="External"/><Relationship Id="rId48" Type="http://schemas.openxmlformats.org/officeDocument/2006/relationships/hyperlink" Target="https://drive.google.com/open?id=1VjshEBrfhLuVPoDpTZISvC6Pa3wo1duI" TargetMode="External"/><Relationship Id="rId47" Type="http://schemas.openxmlformats.org/officeDocument/2006/relationships/hyperlink" Target="https://drive.google.com/open?id=1-VCMROxXxElA90pkD6MdGFauIWgzGrs4" TargetMode="External"/><Relationship Id="rId49" Type="http://schemas.openxmlformats.org/officeDocument/2006/relationships/hyperlink" Target="https://drive.google.com/open?id=1TyxaDr_9VahH1YleK1ER2SvtGLnJEOn8" TargetMode="External"/><Relationship Id="rId31" Type="http://schemas.openxmlformats.org/officeDocument/2006/relationships/hyperlink" Target="https://drive.google.com/open?id=1DBNqO3O7Jt29oIbV74Vtx6YbdqBjfyqc" TargetMode="External"/><Relationship Id="rId30" Type="http://schemas.openxmlformats.org/officeDocument/2006/relationships/hyperlink" Target="https://drive.google.com/open?id=1rxnsYWAecAjjM6AILuH8gwJ-vyw3BUp1" TargetMode="External"/><Relationship Id="rId33" Type="http://schemas.openxmlformats.org/officeDocument/2006/relationships/hyperlink" Target="https://drive.google.com/open?id=1a_BSJcPZrFHGmZv5BUw_YrdPdgF6KuPT" TargetMode="External"/><Relationship Id="rId32" Type="http://schemas.openxmlformats.org/officeDocument/2006/relationships/hyperlink" Target="https://drive.google.com/open?id=1pg72k54Gkp7OByHnkzdeGoWmOwBoiO8i" TargetMode="External"/><Relationship Id="rId35" Type="http://schemas.openxmlformats.org/officeDocument/2006/relationships/hyperlink" Target="https://drive.google.com/open?id=1GwHWtpgX7je3zBMzwInlSXbKmzPkRE5Z" TargetMode="External"/><Relationship Id="rId34" Type="http://schemas.openxmlformats.org/officeDocument/2006/relationships/hyperlink" Target="https://drive.google.com/open?id=1fBOnwP3m5npEOZoZ6uDl6mywn-y6S8xv" TargetMode="External"/><Relationship Id="rId37" Type="http://schemas.openxmlformats.org/officeDocument/2006/relationships/hyperlink" Target="https://drive.google.com/open?id=1etBLi9vio9EiQ509BIBUQXnSXG3eAKKe" TargetMode="External"/><Relationship Id="rId36" Type="http://schemas.openxmlformats.org/officeDocument/2006/relationships/hyperlink" Target="https://drive.google.com/open?id=1YJ5TWe7ItwYlEjPjj21GDzF3XFxlj55u" TargetMode="External"/><Relationship Id="rId39" Type="http://schemas.openxmlformats.org/officeDocument/2006/relationships/hyperlink" Target="https://drive.google.com/open?id=1u9g7hvmbFYrDzslFA_OfqAX9U1Xp9LSa" TargetMode="External"/><Relationship Id="rId38" Type="http://schemas.openxmlformats.org/officeDocument/2006/relationships/hyperlink" Target="https://drive.google.com/open?id=1iztkVlKOvWQjECdm1__ihRJP3uDJ52II" TargetMode="External"/><Relationship Id="rId20" Type="http://schemas.openxmlformats.org/officeDocument/2006/relationships/hyperlink" Target="https://drive.google.com/open?id=1Z58Cl_sxM9ouTWUEnzRMeDXmTyA3PyUw" TargetMode="External"/><Relationship Id="rId22" Type="http://schemas.openxmlformats.org/officeDocument/2006/relationships/hyperlink" Target="https://drive.google.com/open?id=18GGf5qF6bP7PyjSSWjPGujZDUNEdLRol" TargetMode="External"/><Relationship Id="rId21" Type="http://schemas.openxmlformats.org/officeDocument/2006/relationships/hyperlink" Target="https://drive.google.com/open?id=1q-wFjGgoc2I5JNQ9s6mWCSsFvLgsXS7Y" TargetMode="External"/><Relationship Id="rId24" Type="http://schemas.openxmlformats.org/officeDocument/2006/relationships/hyperlink" Target="https://drive.google.com/open?id=1NM7CcJ4OoZcTq7j0uT1-RbBsa-IpW8fS" TargetMode="External"/><Relationship Id="rId23" Type="http://schemas.openxmlformats.org/officeDocument/2006/relationships/hyperlink" Target="https://drive.google.com/open?id=13IweLQFCNaGoa6kSrrmKEVkV-NUMjfUY" TargetMode="External"/><Relationship Id="rId26" Type="http://schemas.openxmlformats.org/officeDocument/2006/relationships/hyperlink" Target="https://drive.google.com/open?id=151lfcpAoiFlnUMuLahNr4Pik5Unm4F86" TargetMode="External"/><Relationship Id="rId25" Type="http://schemas.openxmlformats.org/officeDocument/2006/relationships/hyperlink" Target="https://drive.google.com/open?id=1UTCvS9PJwGiu4za7IpDJuls4qMkL5uaQ" TargetMode="External"/><Relationship Id="rId28" Type="http://schemas.openxmlformats.org/officeDocument/2006/relationships/hyperlink" Target="https://drive.google.com/open?id=14Gov6naupJHxryHO1Fl3SVr43MUxLHrJ" TargetMode="External"/><Relationship Id="rId27" Type="http://schemas.openxmlformats.org/officeDocument/2006/relationships/hyperlink" Target="https://drive.google.com/open?id=1SLcVgIxUnSB-qvSEkTETxU1-1Oms4GI7" TargetMode="External"/><Relationship Id="rId29" Type="http://schemas.openxmlformats.org/officeDocument/2006/relationships/hyperlink" Target="https://drive.google.com/open?id=1qtgtu-gG1J1kbqLux6_MR4g0vTMxd6cl" TargetMode="External"/><Relationship Id="rId11" Type="http://schemas.openxmlformats.org/officeDocument/2006/relationships/hyperlink" Target="https://drive.google.com/open?id=1qAkPUt5XLPHkQXDxomSDBqAk2Y5maUig" TargetMode="External"/><Relationship Id="rId10" Type="http://schemas.openxmlformats.org/officeDocument/2006/relationships/hyperlink" Target="https://drive.google.com/open?id=1GCWsaV5zmPjKwnRp05iCbchQWiExTNIN" TargetMode="External"/><Relationship Id="rId13" Type="http://schemas.openxmlformats.org/officeDocument/2006/relationships/hyperlink" Target="https://drive.google.com/open?id=1fXewwbZQzf_ERyMYz7_q3ruCe4LPBWfU" TargetMode="External"/><Relationship Id="rId12" Type="http://schemas.openxmlformats.org/officeDocument/2006/relationships/hyperlink" Target="https://drive.google.com/open?id=1zer8o4GFIQXCksszInXRIcX9tz3_YEE8" TargetMode="External"/><Relationship Id="rId15" Type="http://schemas.openxmlformats.org/officeDocument/2006/relationships/hyperlink" Target="https://drive.google.com/open?id=12ysl-8ePoGYdWy4FjNDk6Y9s7wiyiLuX" TargetMode="External"/><Relationship Id="rId14" Type="http://schemas.openxmlformats.org/officeDocument/2006/relationships/hyperlink" Target="https://drive.google.com/open?id=1_-3IlJ8O1puzE4-y3J78t78G5BJqvU90" TargetMode="External"/><Relationship Id="rId17" Type="http://schemas.openxmlformats.org/officeDocument/2006/relationships/hyperlink" Target="https://drive.google.com/open?id=1Ndk8jLyrhiOt9f54DyJYNg6kP7aOuBVo" TargetMode="External"/><Relationship Id="rId16" Type="http://schemas.openxmlformats.org/officeDocument/2006/relationships/hyperlink" Target="https://drive.google.com/open?id=1vvvHHZh8Uf0kFOOwun_tO2wgFcMkdfO4" TargetMode="External"/><Relationship Id="rId19" Type="http://schemas.openxmlformats.org/officeDocument/2006/relationships/hyperlink" Target="https://drive.google.com/open?id=1gCa0W3QNmvF7flRsjjUnjGekTemAtK7J" TargetMode="External"/><Relationship Id="rId18" Type="http://schemas.openxmlformats.org/officeDocument/2006/relationships/hyperlink" Target="https://drive.google.com/open?id=1fGnRvlYuCSuJQCrk6jo6s86irfz2Xk4o" TargetMode="External"/><Relationship Id="rId1" Type="http://schemas.openxmlformats.org/officeDocument/2006/relationships/hyperlink" Target="https://drive.google.com/open?id=1C5C3EQ-6pumrBp_q66BiZWwSoUFS2lAL" TargetMode="External"/><Relationship Id="rId2" Type="http://schemas.openxmlformats.org/officeDocument/2006/relationships/hyperlink" Target="https://drive.google.com/open?id=1wdej1MOJt0_HvwOElyLAwLBW9dopLl8G" TargetMode="External"/><Relationship Id="rId3" Type="http://schemas.openxmlformats.org/officeDocument/2006/relationships/hyperlink" Target="https://drive.google.com/open?id=1nMO3Vv6tYZTCaYnj_EgHsc1RAhBtrVlq" TargetMode="External"/><Relationship Id="rId4" Type="http://schemas.openxmlformats.org/officeDocument/2006/relationships/hyperlink" Target="https://drive.google.com/open?id=1UoiVd2hSCcxWmSmjbe40ROALgWKkbVT3" TargetMode="External"/><Relationship Id="rId9" Type="http://schemas.openxmlformats.org/officeDocument/2006/relationships/hyperlink" Target="https://drive.google.com/open?id=1V4dacW9mwODxbw4bFjd5xwuh4sIRpyrA" TargetMode="External"/><Relationship Id="rId5" Type="http://schemas.openxmlformats.org/officeDocument/2006/relationships/hyperlink" Target="mailto:harish@campususaedu.com" TargetMode="External"/><Relationship Id="rId6" Type="http://schemas.openxmlformats.org/officeDocument/2006/relationships/hyperlink" Target="https://drive.google.com/open?id=1aVzH6vGUvWmnFOBWHchZ6QLpUeWST6oS" TargetMode="External"/><Relationship Id="rId7" Type="http://schemas.openxmlformats.org/officeDocument/2006/relationships/hyperlink" Target="https://drive.google.com/open?id=1qBs4nrKLVpPwZlqwOYh3M0gCzZ19nzqS" TargetMode="External"/><Relationship Id="rId8" Type="http://schemas.openxmlformats.org/officeDocument/2006/relationships/hyperlink" Target="https://drive.google.com/open?id=1DVhR1kSPh645DkN7fy8PRkiBFG_TrtIZ" TargetMode="External"/><Relationship Id="rId72" Type="http://schemas.openxmlformats.org/officeDocument/2006/relationships/drawing" Target="../drawings/drawing8.xml"/><Relationship Id="rId71" Type="http://schemas.openxmlformats.org/officeDocument/2006/relationships/hyperlink" Target="https://drive.google.com/open?id=1C5sQ89MLzT9P0VTYumacLNDF3s0ZMRMF" TargetMode="External"/><Relationship Id="rId70" Type="http://schemas.openxmlformats.org/officeDocument/2006/relationships/hyperlink" Target="https://drive.google.com/open?id=14phbnL7ZE0NfEF097T8YhsKw-aa55Nua" TargetMode="External"/><Relationship Id="rId62" Type="http://schemas.openxmlformats.org/officeDocument/2006/relationships/hyperlink" Target="https://drive.google.com/open?id=12C0dryT8SCwkUXNYgm6RUBahqaUzctLE" TargetMode="External"/><Relationship Id="rId61" Type="http://schemas.openxmlformats.org/officeDocument/2006/relationships/hyperlink" Target="https://drive.google.com/open?id=1qEwEmLJqobSGsemKWP2hjlR65__fyjH5" TargetMode="External"/><Relationship Id="rId64" Type="http://schemas.openxmlformats.org/officeDocument/2006/relationships/hyperlink" Target="https://drive.google.com/open?id=1xbHPOqHEZ7oVc6mi4YhXzR1ajQ57oGTS" TargetMode="External"/><Relationship Id="rId63" Type="http://schemas.openxmlformats.org/officeDocument/2006/relationships/hyperlink" Target="https://drive.google.com/open?id=1-abf0hjs1wqxESTmYwCaIPpbNhNxvA-8" TargetMode="External"/><Relationship Id="rId66" Type="http://schemas.openxmlformats.org/officeDocument/2006/relationships/hyperlink" Target="https://drive.google.com/open?id=1z74ufv2F-VoNua4Ma5JmRUwUrba69QrO" TargetMode="External"/><Relationship Id="rId65" Type="http://schemas.openxmlformats.org/officeDocument/2006/relationships/hyperlink" Target="https://drive.google.com/open?id=1ddCOdJ-3wJuKVTsUajMMJqs1rdw1jrar" TargetMode="External"/><Relationship Id="rId68" Type="http://schemas.openxmlformats.org/officeDocument/2006/relationships/hyperlink" Target="https://drive.google.com/open?id=1uSutGuskVPuffjvGTSBZjkE1MP0kZO7-" TargetMode="External"/><Relationship Id="rId67" Type="http://schemas.openxmlformats.org/officeDocument/2006/relationships/hyperlink" Target="https://drive.google.com/open?id=1Jbym7hsUhq6ZdjF2TJfSA9shFI2x_Rh7" TargetMode="External"/><Relationship Id="rId60" Type="http://schemas.openxmlformats.org/officeDocument/2006/relationships/hyperlink" Target="https://drive.google.com/open?id=1TWyd2bMbkcmQe4IanR2aJn8br8OoWsy3" TargetMode="External"/><Relationship Id="rId69" Type="http://schemas.openxmlformats.org/officeDocument/2006/relationships/hyperlink" Target="https://drive.google.com/open?id=1asNdAD7lXHOhdawbVvrnyvaXO9_Hg-dU" TargetMode="External"/><Relationship Id="rId51" Type="http://schemas.openxmlformats.org/officeDocument/2006/relationships/hyperlink" Target="https://drive.google.com/open?id=1t8nFpZMFQXpMjelsjneQkThPlCgH6bKk" TargetMode="External"/><Relationship Id="rId50" Type="http://schemas.openxmlformats.org/officeDocument/2006/relationships/hyperlink" Target="https://drive.google.com/open?id=1AVYKVjE-6dxvVV4Vo6xHAPUDHMZotEka" TargetMode="External"/><Relationship Id="rId53" Type="http://schemas.openxmlformats.org/officeDocument/2006/relationships/hyperlink" Target="https://drive.google.com/open?id=1E6PVrXteD_0j4zrqpXHxncCg7gF35SXx" TargetMode="External"/><Relationship Id="rId52" Type="http://schemas.openxmlformats.org/officeDocument/2006/relationships/hyperlink" Target="https://drive.google.com/open?id=1h-vwl5SnMQCyAZjFLg-ve3mThYrBpltC" TargetMode="External"/><Relationship Id="rId55" Type="http://schemas.openxmlformats.org/officeDocument/2006/relationships/hyperlink" Target="https://drive.google.com/open?id=1dU1ClWbRkpDZ4X0MDYJLKswna89I6cUN" TargetMode="External"/><Relationship Id="rId54" Type="http://schemas.openxmlformats.org/officeDocument/2006/relationships/hyperlink" Target="https://drive.google.com/open?id=1ifBKwag83eSVwtZopO8Fo79FPqbewWjL" TargetMode="External"/><Relationship Id="rId57" Type="http://schemas.openxmlformats.org/officeDocument/2006/relationships/hyperlink" Target="https://drive.google.com/open?id=1WIqcbhP4OjgfRAACNp-8UTfaUBRgL_m1" TargetMode="External"/><Relationship Id="rId56" Type="http://schemas.openxmlformats.org/officeDocument/2006/relationships/hyperlink" Target="https://drive.google.com/open?id=1KHqsKeKvfYqZeJCaGaBNpSnNHrMsOtmC" TargetMode="External"/><Relationship Id="rId59" Type="http://schemas.openxmlformats.org/officeDocument/2006/relationships/hyperlink" Target="https://drive.google.com/open?id=1QBmmhEghV7AJvRb_1vooCoTprKg_2swl" TargetMode="External"/><Relationship Id="rId58" Type="http://schemas.openxmlformats.org/officeDocument/2006/relationships/hyperlink" Target="https://drive.google.com/open?id=1kH7D1R24BML4ONbVEUuD3AkvZG8tHvzH"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drive.google.com/open?id=1mnW-DP6jHacAuptkkVU6y7vzZ-qVP9xF" TargetMode="External"/><Relationship Id="rId2" Type="http://schemas.openxmlformats.org/officeDocument/2006/relationships/hyperlink" Target="https://drive.google.com/open?id=1FnxH9AXY9zsGu883xGIAsBrfj-tYd_SB" TargetMode="External"/><Relationship Id="rId3" Type="http://schemas.openxmlformats.org/officeDocument/2006/relationships/hyperlink" Target="https://drive.google.com/open?id=1pSqcL3GNUop6omX7UeEcnqrQk1pWkNU8" TargetMode="External"/><Relationship Id="rId4" Type="http://schemas.openxmlformats.org/officeDocument/2006/relationships/hyperlink" Target="https://drive.google.com/open?id=1Ns_aCNB4kecnrN60mZlGjScSamrzoZOD" TargetMode="External"/><Relationship Id="rId5" Type="http://schemas.openxmlformats.org/officeDocument/2006/relationships/hyperlink" Target="https://drive.google.com/open?id=1KEtrmpuPO5JJUVtUzZqpc12lF4MEWh0X" TargetMode="External"/><Relationship Id="rId6"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1" Type="http://schemas.openxmlformats.org/officeDocument/2006/relationships/hyperlink" Target="https://drive.google.com/open?id=1N6eJfCwwt-JdNQPp5JPIHqxv4Kf1eUr2" TargetMode="External"/><Relationship Id="rId10" Type="http://schemas.openxmlformats.org/officeDocument/2006/relationships/hyperlink" Target="https://drive.google.com/open?id=1RyIkhyKIiL3DAsuJTGCEvve9rdwb36NN" TargetMode="External"/><Relationship Id="rId13" Type="http://schemas.openxmlformats.org/officeDocument/2006/relationships/drawing" Target="../drawings/drawing10.xml"/><Relationship Id="rId12" Type="http://schemas.openxmlformats.org/officeDocument/2006/relationships/hyperlink" Target="https://drive.google.com/open?id=1ZWuxe7CshNvt7D2dIq4Ge061tdxwObLW" TargetMode="External"/><Relationship Id="rId1" Type="http://schemas.openxmlformats.org/officeDocument/2006/relationships/hyperlink" Target="https://drive.google.com/open?id=1bMPfWG4mDFNCSFkmMHpoinJVr3_NkF86" TargetMode="External"/><Relationship Id="rId2" Type="http://schemas.openxmlformats.org/officeDocument/2006/relationships/hyperlink" Target="https://drive.google.com/open?id=1QwfzFnzB_33UpB8Ya92aUUvSgxpZCPzP" TargetMode="External"/><Relationship Id="rId3" Type="http://schemas.openxmlformats.org/officeDocument/2006/relationships/hyperlink" Target="https://drive.google.com/open?id=1z-V3Ia_4vmBtXBQlpaKMNN5uxsBx1C2_" TargetMode="External"/><Relationship Id="rId4" Type="http://schemas.openxmlformats.org/officeDocument/2006/relationships/hyperlink" Target="https://drive.google.com/open?id=14xFS9dPGDz2RsrkFBlk76GLkgqf6gruj" TargetMode="External"/><Relationship Id="rId9" Type="http://schemas.openxmlformats.org/officeDocument/2006/relationships/hyperlink" Target="https://drive.google.com/open?id=1jT3pv_cwOCYX9wlPDu3leMrBVJMlLEbP" TargetMode="External"/><Relationship Id="rId5" Type="http://schemas.openxmlformats.org/officeDocument/2006/relationships/hyperlink" Target="https://drive.google.com/open?id=16fP2qxYLyrpK4NJDgEnLaDu49WlGdfFa" TargetMode="External"/><Relationship Id="rId6" Type="http://schemas.openxmlformats.org/officeDocument/2006/relationships/hyperlink" Target="https://drive.google.com/open?id=19cTkVS16s1pE7uku40vc19eO_26Bgvq-" TargetMode="External"/><Relationship Id="rId7" Type="http://schemas.openxmlformats.org/officeDocument/2006/relationships/hyperlink" Target="https://drive.google.com/open?id=1dzn8pDm2Ni5IvNqz8hNHW0DlG1E71cb-" TargetMode="External"/><Relationship Id="rId8" Type="http://schemas.openxmlformats.org/officeDocument/2006/relationships/hyperlink" Target="https://drive.google.com/open?id=1yL08T8QHrb8jzn4McKwh1zr69xqC8Xe7"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www.acu.ac.uk/about-us/work-with-us/" TargetMode="External"/><Relationship Id="rId2" Type="http://schemas.openxmlformats.org/officeDocument/2006/relationships/hyperlink" Target="https://drive.google.com/open?id=1wwk5OStg4wgWB_KwJJZon3ojWgG6QoWt" TargetMode="External"/><Relationship Id="rId3" Type="http://schemas.openxmlformats.org/officeDocument/2006/relationships/hyperlink" Target="https://kshec.karnataka.gov.in/2/contact-us/en" TargetMode="External"/><Relationship Id="rId4" Type="http://schemas.openxmlformats.org/officeDocument/2006/relationships/hyperlink" Target="https://drive.google.com/open?id=1VWArJYN9Co9RSZZ9AOw6UhlB245f04Fh" TargetMode="External"/><Relationship Id="rId5" Type="http://schemas.openxmlformats.org/officeDocument/2006/relationships/hyperlink" Target="https://drive.google.com/open?id=1LEfwhxGz_coycwET540_qvHhT9p-xYpk" TargetMode="External"/><Relationship Id="rId6" Type="http://schemas.openxmlformats.org/officeDocument/2006/relationships/hyperlink" Target="https://drive.google.com/open?id=1mV-txk2P5WpmBIwT-kst122xiEM6Ra7L" TargetMode="External"/><Relationship Id="rId7"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40" Type="http://schemas.openxmlformats.org/officeDocument/2006/relationships/hyperlink" Target="https://drive.google.com/open?id=109cihFWmcDcrMqKBGR56Xgi2yllupzRT" TargetMode="External"/><Relationship Id="rId42" Type="http://schemas.openxmlformats.org/officeDocument/2006/relationships/hyperlink" Target="https://drive.google.com/open?id=14qAT6stOmfhlqHAs5eVnXgsJkexaS1FG" TargetMode="External"/><Relationship Id="rId41" Type="http://schemas.openxmlformats.org/officeDocument/2006/relationships/hyperlink" Target="https://wcrcleaders.com/pioneering-a-legacy-of-transformative-education-an-in-depth-exploration-of-dayananda-sagar-university/" TargetMode="External"/><Relationship Id="rId43" Type="http://schemas.openxmlformats.org/officeDocument/2006/relationships/drawing" Target="../drawings/drawing13.xml"/><Relationship Id="rId31" Type="http://schemas.openxmlformats.org/officeDocument/2006/relationships/hyperlink" Target="https://www.telegraphindia.com/edugraph/campus/dayananda-sagar-university-gears-up-for-nasa-space-apps-global-hackathon/cid/2049488" TargetMode="External"/><Relationship Id="rId30" Type="http://schemas.openxmlformats.org/officeDocument/2006/relationships/hyperlink" Target="https://drive.google.com/open?id=1aY65CGz4AcYT60H56_vXXkcTGhIETunQ" TargetMode="External"/><Relationship Id="rId33" Type="http://schemas.openxmlformats.org/officeDocument/2006/relationships/hyperlink" Target="https://www.telegraphindia.com/edugraph/campus/bridging-borders-dayananda-sagar-universitys-path-to-inclusive-internationalization/cid/2048511" TargetMode="External"/><Relationship Id="rId32" Type="http://schemas.openxmlformats.org/officeDocument/2006/relationships/hyperlink" Target="https://drive.google.com/open?id=1F23d1rKsYKaA73KVsl74TeL3WyJAM2qX" TargetMode="External"/><Relationship Id="rId35" Type="http://schemas.openxmlformats.org/officeDocument/2006/relationships/hyperlink" Target="https://www.telegraphindia.com/edugraph/campus/dayananda-sagar-university-nurturing-dreams-in-bangalores-educational-landscape/cid/2036683" TargetMode="External"/><Relationship Id="rId34" Type="http://schemas.openxmlformats.org/officeDocument/2006/relationships/hyperlink" Target="https://drive.google.com/open?id=1AvYIIz8v85u895wej-rNSELQnEPacXJo" TargetMode="External"/><Relationship Id="rId37" Type="http://schemas.openxmlformats.org/officeDocument/2006/relationships/hyperlink" Target="https://www.telegraphindia.com/edugraph/campus/dayananda-sagar-universitys-open-house-2024-combined-traditional-celebrations-with-cutting-edge-educational-programmes-photogallery/cid/2025553" TargetMode="External"/><Relationship Id="rId36" Type="http://schemas.openxmlformats.org/officeDocument/2006/relationships/hyperlink" Target="https://drive.google.com/open?id=1ECjr5_--u3Ff68N1bAyCHItXEW2tG7-v" TargetMode="External"/><Relationship Id="rId39" Type="http://schemas.openxmlformats.org/officeDocument/2006/relationships/hyperlink" Target="https://wcrcleaders.com/rohan-prem-sagar-a-visionary-leader-igniting-transformation-at-dayananda-sagar-university/" TargetMode="External"/><Relationship Id="rId38" Type="http://schemas.openxmlformats.org/officeDocument/2006/relationships/hyperlink" Target="https://drive.google.com/open?id=1eZnif2wlM6KDkX5_o5FPnt-ixB2BgbpZ" TargetMode="External"/><Relationship Id="rId20" Type="http://schemas.openxmlformats.org/officeDocument/2006/relationships/hyperlink" Target="https://drive.google.com/open?id=1e8RF9ta4O-UfjwaCmmOFlAMnXMC6SMIP" TargetMode="External"/><Relationship Id="rId22" Type="http://schemas.openxmlformats.org/officeDocument/2006/relationships/hyperlink" Target="https://drive.google.com/open?id=1zfMHiVKAUvBq8WWUYHY_Di6ul-kmZuvD" TargetMode="External"/><Relationship Id="rId21" Type="http://schemas.openxmlformats.org/officeDocument/2006/relationships/hyperlink" Target="https://thepienews.com/special-category-visas-announced-for-india-bound-intl-students/" TargetMode="External"/><Relationship Id="rId24" Type="http://schemas.openxmlformats.org/officeDocument/2006/relationships/hyperlink" Target="https://www.anandabazar.com/brand-studio/nurturing-dreams-in-bangalores-educational-landscape-dgtl/cid/1534936" TargetMode="External"/><Relationship Id="rId23" Type="http://schemas.openxmlformats.org/officeDocument/2006/relationships/hyperlink" Target="http://anandabazar.com" TargetMode="External"/><Relationship Id="rId26" Type="http://schemas.openxmlformats.org/officeDocument/2006/relationships/hyperlink" Target="http://anandabazar.com" TargetMode="External"/><Relationship Id="rId25" Type="http://schemas.openxmlformats.org/officeDocument/2006/relationships/hyperlink" Target="https://drive.google.com/open?id=1VfQs4Ob-d1ztO4V2QwvV-y7IFRgtuFBS" TargetMode="External"/><Relationship Id="rId28" Type="http://schemas.openxmlformats.org/officeDocument/2006/relationships/hyperlink" Target="https://drive.google.com/open?id=1OX7U4kfq-j3P6CEGqWtm9XFbwEPwlogm" TargetMode="External"/><Relationship Id="rId27" Type="http://schemas.openxmlformats.org/officeDocument/2006/relationships/hyperlink" Target="https://www.anandabazar.com/brand-studio/bridging-borders-dayananda-sagar-universitys-path-to-inclusive-internationalization-dgtl/cid/1550595" TargetMode="External"/><Relationship Id="rId29" Type="http://schemas.openxmlformats.org/officeDocument/2006/relationships/hyperlink" Target="https://www.telegraphindia.com/edugraph/campus/why-choose-dayananda-sagar-university-for-your-law-degree/cid/2059145" TargetMode="External"/><Relationship Id="rId11" Type="http://schemas.openxmlformats.org/officeDocument/2006/relationships/hyperlink" Target="https://theprint.in/ani-press-releases/tedx-dayananda-sagar-university-a-symphony-of-ideas-and-inspiration-unfolds-on-stage/2618154/" TargetMode="External"/><Relationship Id="rId10" Type="http://schemas.openxmlformats.org/officeDocument/2006/relationships/hyperlink" Target="https://drive.google.com/open?id=1wanswy4tCzClbsvEQlKGigOQBhmOboPB" TargetMode="External"/><Relationship Id="rId13" Type="http://schemas.openxmlformats.org/officeDocument/2006/relationships/hyperlink" Target="https://www.tribuneindia.com/news/business/discover-the-inspiring-journey-of-dayananda-sagar-university-from-vision-to-legacy/" TargetMode="External"/><Relationship Id="rId12" Type="http://schemas.openxmlformats.org/officeDocument/2006/relationships/hyperlink" Target="https://drive.google.com/open?id=1BaWA87bdUvxSysmjZjtSSkJ3lT76Xplp" TargetMode="External"/><Relationship Id="rId15" Type="http://schemas.openxmlformats.org/officeDocument/2006/relationships/hyperlink" Target="https://www.tribuneindia.com/partner-exclusives/global-conflicts-media-law-and-human-rights-a-humanitarian-perspective-at-dayananda-sagar-university/" TargetMode="External"/><Relationship Id="rId14" Type="http://schemas.openxmlformats.org/officeDocument/2006/relationships/hyperlink" Target="https://drive.google.com/open?id=1NDH6MzmkEyll6Ej742DR9GGoESlJNAGJ" TargetMode="External"/><Relationship Id="rId17" Type="http://schemas.openxmlformats.org/officeDocument/2006/relationships/hyperlink" Target="https://www.oneindia.com/partner-content/from-dsu-to-the-world-inspiring-student-success-stories-4094111.html" TargetMode="External"/><Relationship Id="rId16" Type="http://schemas.openxmlformats.org/officeDocument/2006/relationships/hyperlink" Target="https://drive.google.com/open?id=1KYtDrTW_x5tmIM-a7V5WUjkwfOKBpIwS" TargetMode="External"/><Relationship Id="rId19" Type="http://schemas.openxmlformats.org/officeDocument/2006/relationships/hyperlink" Target="https://www.outlookindia.com/xhub/featured-insights/how-dayananda-sagar-university-is-transforming-lives-real-stories-of-community-impact" TargetMode="External"/><Relationship Id="rId18" Type="http://schemas.openxmlformats.org/officeDocument/2006/relationships/hyperlink" Target="https://drive.google.com/open?id=1LAZaO8Y_G2qOMH5nIzVFVTVPRjpF5v26" TargetMode="External"/><Relationship Id="rId1" Type="http://schemas.openxmlformats.org/officeDocument/2006/relationships/hyperlink" Target="https://www.telegraphindia.com/edugraph/campus/dayananda-sagar-university-celebrates-academic-excellence-at-convocation-with-over-2500-graduates/cid/2131581" TargetMode="External"/><Relationship Id="rId2" Type="http://schemas.openxmlformats.org/officeDocument/2006/relationships/hyperlink" Target="https://drive.google.com/open?id=16MYaO138Gk-BlmX6q611Aa8McImWXZYp" TargetMode="External"/><Relationship Id="rId3" Type="http://schemas.openxmlformats.org/officeDocument/2006/relationships/hyperlink" Target="https://theprint.in/ani-press-releases/palace-of-vision-step-inside-dayananda-sagar-university-open-house-2025/2712638/" TargetMode="External"/><Relationship Id="rId4" Type="http://schemas.openxmlformats.org/officeDocument/2006/relationships/hyperlink" Target="https://drive.google.com/open?id=1pdi9mN2RiF5GaU8t4yif34BCViovTaqt" TargetMode="External"/><Relationship Id="rId9" Type="http://schemas.openxmlformats.org/officeDocument/2006/relationships/hyperlink" Target="https://www.tribuneindia.com/partner-exclusives/dayananda-sagar-university-a-global-education-destination-with-heartfelt-experiences-from-international-students/" TargetMode="External"/><Relationship Id="rId5" Type="http://schemas.openxmlformats.org/officeDocument/2006/relationships/hyperlink" Target="https://edtimes.in/dream-big-travel-far-dayananda-sagar-university-opens-doors-to-the-world-for-every-student/" TargetMode="External"/><Relationship Id="rId6" Type="http://schemas.openxmlformats.org/officeDocument/2006/relationships/hyperlink" Target="https://drive.google.com/open?id=1qbL8pInXNBnCAxBDV_mwrK0feRAFEj8y" TargetMode="External"/><Relationship Id="rId7" Type="http://schemas.openxmlformats.org/officeDocument/2006/relationships/hyperlink" Target="https://theprint.in/ani-press-releases/palace-of-vision-step-inside-dayananda-sagar-university-open-house-2025/2712638/" TargetMode="External"/><Relationship Id="rId8" Type="http://schemas.openxmlformats.org/officeDocument/2006/relationships/hyperlink" Target="https://drive.google.com/open?id=1ePmf87uMnPgJXHWbSFV19T77VUZ3T9tN"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pane xSplit="15.0" ySplit="16.0" topLeftCell="P17" activePane="bottomRight" state="frozen"/>
      <selection activeCell="P1" sqref="P1" pane="topRight"/>
      <selection activeCell="A17" sqref="A17" pane="bottomLeft"/>
      <selection activeCell="P17" sqref="P17" pane="bottomRight"/>
    </sheetView>
  </sheetViews>
  <sheetFormatPr customHeight="1" defaultColWidth="12.63" defaultRowHeight="15.75"/>
  <cols>
    <col customWidth="1" min="1" max="1" width="10.0"/>
    <col customWidth="1" min="2" max="2" width="4.88"/>
    <col customWidth="1" min="7" max="7" width="17.75"/>
    <col customWidth="1" min="10" max="10" width="15.38"/>
    <col customWidth="1" min="14" max="14" width="4.88"/>
  </cols>
  <sheetData>
    <row r="1" ht="146.25" customHeight="1">
      <c r="A1" s="1"/>
      <c r="B1" s="2" t="s">
        <v>0</v>
      </c>
      <c r="O1" s="1"/>
    </row>
    <row r="2" ht="21.75" customHeight="1">
      <c r="B2" s="1"/>
      <c r="C2" s="1"/>
      <c r="D2" s="1"/>
      <c r="E2" s="1"/>
      <c r="F2" s="1"/>
      <c r="G2" s="1"/>
      <c r="H2" s="1"/>
      <c r="I2" s="1"/>
      <c r="J2" s="1"/>
      <c r="K2" s="1"/>
      <c r="L2" s="1"/>
      <c r="M2" s="1"/>
      <c r="N2" s="1"/>
    </row>
    <row r="3">
      <c r="C3" s="3" t="s">
        <v>1</v>
      </c>
      <c r="D3" s="4"/>
      <c r="F3" s="3" t="s">
        <v>2</v>
      </c>
      <c r="G3" s="4"/>
      <c r="I3" s="3" t="s">
        <v>3</v>
      </c>
      <c r="J3" s="4"/>
      <c r="L3" s="3" t="s">
        <v>4</v>
      </c>
      <c r="M3" s="4"/>
    </row>
    <row r="4">
      <c r="C4" s="5"/>
      <c r="D4" s="6"/>
      <c r="F4" s="5"/>
      <c r="G4" s="6"/>
      <c r="I4" s="5"/>
      <c r="J4" s="6"/>
      <c r="L4" s="5"/>
      <c r="M4" s="6"/>
    </row>
    <row r="5">
      <c r="C5" s="1"/>
      <c r="D5" s="1"/>
      <c r="F5" s="1"/>
      <c r="G5" s="1"/>
      <c r="I5" s="1"/>
      <c r="J5" s="1"/>
      <c r="L5" s="1"/>
      <c r="M5" s="1"/>
    </row>
    <row r="6">
      <c r="C6" s="3" t="s">
        <v>5</v>
      </c>
      <c r="D6" s="4"/>
      <c r="F6" s="3" t="s">
        <v>6</v>
      </c>
      <c r="G6" s="4"/>
      <c r="I6" s="3" t="s">
        <v>7</v>
      </c>
      <c r="J6" s="4"/>
      <c r="L6" s="3" t="s">
        <v>8</v>
      </c>
      <c r="M6" s="4"/>
    </row>
    <row r="7">
      <c r="C7" s="5"/>
      <c r="D7" s="6"/>
      <c r="F7" s="5"/>
      <c r="G7" s="6"/>
      <c r="I7" s="5"/>
      <c r="J7" s="6"/>
      <c r="L7" s="5"/>
      <c r="M7" s="6"/>
    </row>
    <row r="8">
      <c r="C8" s="1"/>
      <c r="D8" s="1"/>
      <c r="F8" s="1"/>
      <c r="G8" s="1"/>
      <c r="I8" s="1"/>
      <c r="J8" s="1"/>
      <c r="L8" s="1"/>
    </row>
    <row r="9">
      <c r="C9" s="3" t="s">
        <v>9</v>
      </c>
      <c r="D9" s="4"/>
      <c r="F9" s="3" t="s">
        <v>10</v>
      </c>
      <c r="G9" s="4"/>
      <c r="I9" s="3" t="s">
        <v>11</v>
      </c>
      <c r="J9" s="4"/>
    </row>
    <row r="10">
      <c r="C10" s="5"/>
      <c r="D10" s="6"/>
      <c r="F10" s="5"/>
      <c r="G10" s="6"/>
      <c r="I10" s="5"/>
      <c r="J10" s="6"/>
    </row>
    <row r="11">
      <c r="B11" s="1"/>
      <c r="I11" s="1"/>
    </row>
    <row r="15">
      <c r="B15" s="1"/>
    </row>
  </sheetData>
  <mergeCells count="23">
    <mergeCell ref="E2:E10"/>
    <mergeCell ref="C3:D4"/>
    <mergeCell ref="C6:D7"/>
    <mergeCell ref="C9:D10"/>
    <mergeCell ref="F3:G4"/>
    <mergeCell ref="I3:J4"/>
    <mergeCell ref="H2:H14"/>
    <mergeCell ref="F6:G7"/>
    <mergeCell ref="F9:G10"/>
    <mergeCell ref="I6:J7"/>
    <mergeCell ref="L6:M7"/>
    <mergeCell ref="L8:M10"/>
    <mergeCell ref="I9:J10"/>
    <mergeCell ref="B11:G14"/>
    <mergeCell ref="I11:N14"/>
    <mergeCell ref="A1:A16"/>
    <mergeCell ref="B1:N1"/>
    <mergeCell ref="O1:O16"/>
    <mergeCell ref="B2:B10"/>
    <mergeCell ref="K2:K10"/>
    <mergeCell ref="N2:N10"/>
    <mergeCell ref="L3:M4"/>
    <mergeCell ref="B15:N16"/>
  </mergeCells>
  <hyperlinks>
    <hyperlink display="Campus Visit" location="'Campus Visit'!A1" ref="C3"/>
    <hyperlink display="MoU Signing Ceremony" location="'MoU Signing Ceremony'!A1" ref="F3"/>
    <hyperlink display="Events" location="Events!A1" ref="I3"/>
    <hyperlink display="Conference" location="Conference!A1" ref="L3"/>
    <hyperlink display="Scholar In Residence" location="'Scholars in Residence'!A1" ref="C6"/>
    <hyperlink display="MoU Update" location="'MoU Update'!A1" ref="F6"/>
    <hyperlink display="Immersion Programs" location="'Immersion program'!A1" ref="I6"/>
    <hyperlink display="Student Exchange" location="'Student Exchange'!A1" ref="L6"/>
    <hyperlink display="Master's Abroad" location="'Masters Abroad'!A1" ref="C9"/>
    <hyperlink display="Memberships" location="Memberships!A1" ref="F9"/>
    <hyperlink display="Digital Media" location="'Digital Media'!A1" ref="I9"/>
  </hyperlin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9" width="18.88"/>
    <col customWidth="1" min="10" max="10" width="23.13"/>
    <col customWidth="1" min="11" max="15" width="18.88"/>
    <col customWidth="1" min="16" max="16" width="21.38"/>
    <col customWidth="1" min="17" max="27" width="18.88"/>
    <col customWidth="1" min="28" max="28" width="25.75"/>
    <col customWidth="1" min="29" max="29" width="19.75"/>
    <col customWidth="1" min="30" max="30" width="20.25"/>
    <col customWidth="1" min="31" max="34" width="18.88"/>
    <col customWidth="1" min="35" max="35" width="19.88"/>
    <col customWidth="1" min="36" max="39" width="18.88"/>
    <col customWidth="1" min="40" max="40" width="19.75"/>
    <col customWidth="1" min="41" max="41" width="18.88"/>
    <col customWidth="1" min="42" max="42" width="19.38"/>
    <col customWidth="1" min="43" max="62" width="18.88"/>
    <col customWidth="1" min="63" max="63" width="32.13"/>
    <col customWidth="1" min="64" max="65" width="18.88"/>
    <col customWidth="1" min="66" max="66" width="28.75"/>
    <col customWidth="1" min="67" max="73" width="18.88"/>
    <col customWidth="1" min="74" max="74" width="27.88"/>
    <col customWidth="1" min="75" max="83" width="18.88"/>
    <col customWidth="1" min="84" max="84" width="30.5"/>
    <col customWidth="1" min="85" max="92" width="18.88"/>
    <col customWidth="1" min="93" max="93" width="22.63"/>
    <col customWidth="1" min="94" max="100" width="18.88"/>
    <col customWidth="1" min="101" max="101" width="22.63"/>
    <col customWidth="1" min="102" max="106" width="18.88"/>
    <col customWidth="1" min="107" max="107" width="30.0"/>
    <col customWidth="1" min="108" max="114" width="18.88"/>
  </cols>
  <sheetData>
    <row r="1" ht="22.5" customHeight="1">
      <c r="A1" s="7" t="s">
        <v>12</v>
      </c>
      <c r="B1" s="7" t="s">
        <v>13</v>
      </c>
      <c r="C1" s="7" t="s">
        <v>14</v>
      </c>
      <c r="D1" s="7" t="s">
        <v>15</v>
      </c>
      <c r="E1" s="7" t="s">
        <v>16</v>
      </c>
      <c r="F1" s="7" t="s">
        <v>17</v>
      </c>
      <c r="G1" s="7" t="s">
        <v>18</v>
      </c>
      <c r="H1" s="7" t="s">
        <v>19</v>
      </c>
      <c r="I1" s="7" t="s">
        <v>20</v>
      </c>
      <c r="J1" s="8" t="s">
        <v>21</v>
      </c>
      <c r="K1" s="7" t="s">
        <v>22</v>
      </c>
      <c r="L1" s="7" t="s">
        <v>23</v>
      </c>
      <c r="M1" s="7" t="s">
        <v>24</v>
      </c>
      <c r="N1" s="7" t="s">
        <v>25</v>
      </c>
      <c r="O1" s="7" t="s">
        <v>26</v>
      </c>
      <c r="P1" s="8" t="s">
        <v>27</v>
      </c>
      <c r="Q1" s="7" t="s">
        <v>28</v>
      </c>
      <c r="R1" s="7" t="s">
        <v>29</v>
      </c>
      <c r="S1" s="8" t="s">
        <v>30</v>
      </c>
      <c r="T1" s="7" t="s">
        <v>31</v>
      </c>
      <c r="U1" s="7" t="s">
        <v>32</v>
      </c>
      <c r="V1" s="7" t="s">
        <v>33</v>
      </c>
      <c r="W1" s="7" t="s">
        <v>34</v>
      </c>
      <c r="X1" s="7" t="s">
        <v>35</v>
      </c>
      <c r="Y1" s="7" t="s">
        <v>36</v>
      </c>
      <c r="Z1" s="7" t="s">
        <v>37</v>
      </c>
      <c r="AA1" s="7" t="s">
        <v>38</v>
      </c>
      <c r="AB1" s="7" t="s">
        <v>39</v>
      </c>
      <c r="AC1" s="8" t="s">
        <v>40</v>
      </c>
      <c r="AD1" s="7" t="s">
        <v>41</v>
      </c>
      <c r="AE1" s="7" t="s">
        <v>42</v>
      </c>
      <c r="AF1" s="7" t="s">
        <v>43</v>
      </c>
      <c r="AG1" s="7" t="s">
        <v>44</v>
      </c>
      <c r="AH1" s="7" t="s">
        <v>45</v>
      </c>
      <c r="AI1" s="7" t="s">
        <v>46</v>
      </c>
      <c r="AJ1" s="7" t="s">
        <v>47</v>
      </c>
      <c r="AK1" s="7" t="s">
        <v>48</v>
      </c>
      <c r="AL1" s="7" t="s">
        <v>49</v>
      </c>
      <c r="AM1" s="8" t="s">
        <v>50</v>
      </c>
      <c r="AN1" s="8" t="s">
        <v>51</v>
      </c>
      <c r="AO1" s="7" t="s">
        <v>52</v>
      </c>
      <c r="AP1" s="7" t="s">
        <v>53</v>
      </c>
      <c r="AQ1" s="7" t="s">
        <v>54</v>
      </c>
      <c r="AR1" s="7" t="s">
        <v>55</v>
      </c>
      <c r="AS1" s="7" t="s">
        <v>56</v>
      </c>
      <c r="AT1" s="7" t="s">
        <v>57</v>
      </c>
      <c r="AU1" s="7" t="s">
        <v>58</v>
      </c>
      <c r="AV1" s="7" t="s">
        <v>59</v>
      </c>
      <c r="AW1" s="7" t="s">
        <v>60</v>
      </c>
      <c r="AX1" s="7" t="s">
        <v>61</v>
      </c>
      <c r="AY1" s="8" t="s">
        <v>62</v>
      </c>
      <c r="AZ1" s="7" t="s">
        <v>63</v>
      </c>
      <c r="BA1" s="7" t="s">
        <v>64</v>
      </c>
      <c r="BB1" s="7" t="s">
        <v>65</v>
      </c>
      <c r="BC1" s="7" t="s">
        <v>66</v>
      </c>
      <c r="BD1" s="7" t="s">
        <v>67</v>
      </c>
      <c r="BE1" s="7" t="s">
        <v>68</v>
      </c>
      <c r="BF1" s="7" t="s">
        <v>69</v>
      </c>
      <c r="BG1" s="7" t="s">
        <v>70</v>
      </c>
      <c r="BH1" s="7" t="s">
        <v>71</v>
      </c>
      <c r="BI1" s="7" t="s">
        <v>72</v>
      </c>
      <c r="BJ1" s="7" t="s">
        <v>73</v>
      </c>
      <c r="BK1" s="8" t="s">
        <v>74</v>
      </c>
      <c r="BL1" s="7" t="s">
        <v>75</v>
      </c>
      <c r="BM1" s="7" t="s">
        <v>76</v>
      </c>
      <c r="BN1" s="7" t="s">
        <v>77</v>
      </c>
      <c r="BO1" s="7" t="s">
        <v>78</v>
      </c>
      <c r="BP1" s="7" t="s">
        <v>79</v>
      </c>
      <c r="BQ1" s="7" t="s">
        <v>80</v>
      </c>
      <c r="BR1" s="7" t="s">
        <v>81</v>
      </c>
      <c r="BS1" s="7" t="s">
        <v>82</v>
      </c>
      <c r="BT1" s="7" t="s">
        <v>83</v>
      </c>
      <c r="BU1" s="7" t="s">
        <v>84</v>
      </c>
      <c r="BV1" s="8" t="s">
        <v>85</v>
      </c>
      <c r="BW1" s="7" t="s">
        <v>86</v>
      </c>
      <c r="BX1" s="7" t="s">
        <v>87</v>
      </c>
      <c r="BY1" s="7" t="s">
        <v>88</v>
      </c>
      <c r="BZ1" s="7" t="s">
        <v>89</v>
      </c>
      <c r="CA1" s="7" t="s">
        <v>90</v>
      </c>
      <c r="CB1" s="7" t="s">
        <v>91</v>
      </c>
      <c r="CC1" s="8" t="s">
        <v>92</v>
      </c>
      <c r="CD1" s="7" t="s">
        <v>93</v>
      </c>
      <c r="CE1" s="7" t="s">
        <v>94</v>
      </c>
      <c r="CF1" s="7" t="s">
        <v>95</v>
      </c>
      <c r="CG1" s="7" t="s">
        <v>96</v>
      </c>
      <c r="CH1" s="9" t="s">
        <v>97</v>
      </c>
      <c r="CI1" s="9" t="s">
        <v>98</v>
      </c>
      <c r="CJ1" s="7" t="s">
        <v>99</v>
      </c>
      <c r="CK1" s="7" t="s">
        <v>100</v>
      </c>
      <c r="CL1" s="8" t="s">
        <v>101</v>
      </c>
      <c r="CM1" s="7" t="s">
        <v>102</v>
      </c>
      <c r="CN1" s="7" t="s">
        <v>103</v>
      </c>
      <c r="CO1" s="7" t="s">
        <v>104</v>
      </c>
      <c r="CP1" s="7" t="s">
        <v>105</v>
      </c>
      <c r="CQ1" s="7" t="s">
        <v>106</v>
      </c>
      <c r="CR1" s="7" t="s">
        <v>107</v>
      </c>
      <c r="CS1" s="7" t="s">
        <v>108</v>
      </c>
      <c r="CT1" s="8" t="s">
        <v>109</v>
      </c>
      <c r="CU1" s="7" t="s">
        <v>110</v>
      </c>
      <c r="CV1" s="7" t="s">
        <v>111</v>
      </c>
      <c r="CW1" s="7" t="s">
        <v>112</v>
      </c>
      <c r="CX1" s="7" t="s">
        <v>113</v>
      </c>
      <c r="CY1" s="7" t="s">
        <v>114</v>
      </c>
      <c r="CZ1" s="7" t="s">
        <v>115</v>
      </c>
      <c r="DA1" s="7" t="s">
        <v>116</v>
      </c>
      <c r="DB1" s="7" t="s">
        <v>117</v>
      </c>
      <c r="DC1" s="8" t="s">
        <v>118</v>
      </c>
      <c r="DD1" s="9" t="s">
        <v>119</v>
      </c>
      <c r="DE1" s="1"/>
      <c r="DF1" s="1"/>
      <c r="DG1" s="1"/>
      <c r="DH1" s="1"/>
      <c r="DI1" s="1"/>
      <c r="DJ1" s="1"/>
    </row>
    <row r="2" ht="22.5" customHeight="1">
      <c r="A2" s="10">
        <v>45981.65802949074</v>
      </c>
      <c r="B2" s="11" t="s">
        <v>120</v>
      </c>
      <c r="C2" s="11" t="s">
        <v>121</v>
      </c>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c r="BF2" s="12"/>
      <c r="BG2" s="12"/>
      <c r="BH2" s="12"/>
      <c r="BI2" s="12"/>
      <c r="BJ2" s="12"/>
      <c r="BK2" s="12"/>
      <c r="BL2" s="11" t="s">
        <v>122</v>
      </c>
      <c r="BM2" s="11" t="s">
        <v>123</v>
      </c>
      <c r="BN2" s="11" t="s">
        <v>124</v>
      </c>
      <c r="BO2" s="11" t="s">
        <v>125</v>
      </c>
      <c r="BP2" s="11" t="s">
        <v>126</v>
      </c>
      <c r="BQ2" s="13">
        <v>45145.0</v>
      </c>
      <c r="BR2" s="13">
        <v>45152.0</v>
      </c>
      <c r="BS2" s="14" t="s">
        <v>127</v>
      </c>
      <c r="BT2" s="11" t="s">
        <v>128</v>
      </c>
      <c r="BU2" s="11" t="s">
        <v>129</v>
      </c>
      <c r="BV2" s="15" t="s">
        <v>130</v>
      </c>
      <c r="BW2" s="12"/>
      <c r="BX2" s="12"/>
      <c r="BY2" s="12"/>
      <c r="BZ2" s="12"/>
      <c r="CA2" s="12"/>
      <c r="CB2" s="12"/>
      <c r="CC2" s="12"/>
      <c r="CD2" s="12"/>
      <c r="CE2" s="12"/>
      <c r="CF2" s="12"/>
      <c r="CG2" s="12"/>
      <c r="CH2" s="12"/>
      <c r="CI2" s="12"/>
      <c r="CJ2" s="12"/>
      <c r="CK2" s="12"/>
      <c r="CL2" s="12"/>
      <c r="CM2" s="12"/>
      <c r="CN2" s="12"/>
      <c r="CO2" s="12"/>
      <c r="CP2" s="12"/>
      <c r="CQ2" s="12"/>
      <c r="CR2" s="12"/>
      <c r="CS2" s="12"/>
      <c r="CT2" s="12"/>
      <c r="CU2" s="12"/>
      <c r="CV2" s="12"/>
      <c r="CW2" s="12"/>
      <c r="CX2" s="12"/>
      <c r="CY2" s="12"/>
      <c r="CZ2" s="12"/>
      <c r="DA2" s="12"/>
      <c r="DB2" s="12"/>
      <c r="DC2" s="12"/>
      <c r="DD2" s="12"/>
    </row>
    <row r="3" ht="22.5" customHeight="1">
      <c r="A3" s="10">
        <v>45982.565258877316</v>
      </c>
      <c r="B3" s="11" t="s">
        <v>120</v>
      </c>
      <c r="C3" s="11" t="s">
        <v>131</v>
      </c>
      <c r="D3" s="12"/>
      <c r="E3" s="12"/>
      <c r="F3" s="12"/>
      <c r="G3" s="12"/>
      <c r="H3" s="12"/>
      <c r="I3" s="12"/>
      <c r="J3" s="12"/>
      <c r="K3" s="12"/>
      <c r="L3" s="12"/>
      <c r="M3" s="12"/>
      <c r="N3" s="12"/>
      <c r="O3" s="12"/>
      <c r="P3" s="12"/>
      <c r="Q3" s="12"/>
      <c r="R3" s="12"/>
      <c r="S3" s="12"/>
      <c r="T3" s="12"/>
      <c r="U3" s="12"/>
      <c r="V3" s="12"/>
      <c r="W3" s="12"/>
      <c r="X3" s="12"/>
      <c r="Y3" s="12"/>
      <c r="Z3" s="12"/>
      <c r="AA3" s="12"/>
      <c r="AB3" s="12"/>
      <c r="AC3" s="12"/>
      <c r="AD3" s="12"/>
      <c r="AE3" s="12"/>
      <c r="AF3" s="12"/>
      <c r="AG3" s="12"/>
      <c r="AH3" s="12"/>
      <c r="AI3" s="12"/>
      <c r="AJ3" s="12"/>
      <c r="AK3" s="12"/>
      <c r="AL3" s="12"/>
      <c r="AM3" s="12"/>
      <c r="AN3" s="12"/>
      <c r="AO3" s="11" t="s">
        <v>122</v>
      </c>
      <c r="AP3" s="11" t="s">
        <v>132</v>
      </c>
      <c r="AQ3" s="11" t="s">
        <v>133</v>
      </c>
      <c r="AR3" s="11" t="s">
        <v>134</v>
      </c>
      <c r="AS3" s="11">
        <v>14.0</v>
      </c>
      <c r="AT3" s="11" t="s">
        <v>135</v>
      </c>
      <c r="AU3" s="16">
        <v>45488.0</v>
      </c>
      <c r="AV3" s="16">
        <v>45494.0</v>
      </c>
      <c r="AW3" s="11">
        <v>520.0</v>
      </c>
      <c r="AX3" s="11" t="s">
        <v>136</v>
      </c>
      <c r="AY3" s="15" t="s">
        <v>137</v>
      </c>
      <c r="AZ3" s="12"/>
      <c r="BA3" s="12"/>
      <c r="BB3" s="12"/>
      <c r="BC3" s="12"/>
      <c r="BD3" s="12"/>
      <c r="BE3" s="12"/>
      <c r="BF3" s="12"/>
      <c r="BG3" s="12"/>
      <c r="BH3" s="12"/>
      <c r="BI3" s="12"/>
      <c r="BJ3" s="12"/>
      <c r="BK3" s="12"/>
      <c r="BL3" s="12"/>
      <c r="BM3" s="12"/>
      <c r="BN3" s="12"/>
      <c r="BO3" s="12"/>
      <c r="BP3" s="12"/>
      <c r="BQ3" s="12"/>
      <c r="BR3" s="12"/>
      <c r="BS3" s="12"/>
      <c r="BT3" s="12"/>
      <c r="BU3" s="12"/>
      <c r="BV3" s="12"/>
      <c r="BW3" s="12"/>
      <c r="BX3" s="12"/>
      <c r="BY3" s="12"/>
      <c r="BZ3" s="12"/>
      <c r="CA3" s="12"/>
      <c r="CB3" s="12"/>
      <c r="CC3" s="12"/>
      <c r="CD3" s="12"/>
      <c r="CE3" s="12"/>
      <c r="CF3" s="12"/>
      <c r="CG3" s="12"/>
      <c r="CH3" s="12"/>
      <c r="CI3" s="12"/>
      <c r="CJ3" s="12"/>
      <c r="CK3" s="12"/>
      <c r="CL3" s="12"/>
      <c r="CM3" s="12"/>
      <c r="CN3" s="12"/>
      <c r="CO3" s="12"/>
      <c r="CP3" s="12"/>
      <c r="CQ3" s="12"/>
      <c r="CR3" s="12"/>
      <c r="CS3" s="12"/>
      <c r="CT3" s="12"/>
      <c r="CU3" s="12"/>
      <c r="CV3" s="12"/>
      <c r="CW3" s="12"/>
      <c r="CX3" s="12"/>
      <c r="CY3" s="12"/>
      <c r="CZ3" s="12"/>
      <c r="DA3" s="12"/>
      <c r="DB3" s="12"/>
      <c r="DC3" s="12"/>
      <c r="DD3" s="12"/>
    </row>
    <row r="4" ht="22.5" customHeight="1">
      <c r="A4" s="10">
        <v>45982.56666564815</v>
      </c>
      <c r="B4" s="11" t="s">
        <v>120</v>
      </c>
      <c r="C4" s="11" t="s">
        <v>131</v>
      </c>
      <c r="D4" s="12"/>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1" t="s">
        <v>122</v>
      </c>
      <c r="AP4" s="11" t="s">
        <v>132</v>
      </c>
      <c r="AQ4" s="11" t="s">
        <v>133</v>
      </c>
      <c r="AR4" s="11" t="s">
        <v>138</v>
      </c>
      <c r="AS4" s="11">
        <v>2.0</v>
      </c>
      <c r="AT4" s="11" t="s">
        <v>139</v>
      </c>
      <c r="AU4" s="16">
        <v>45606.0</v>
      </c>
      <c r="AV4" s="16">
        <v>45615.0</v>
      </c>
      <c r="AW4" s="11">
        <v>1000.0</v>
      </c>
      <c r="AX4" s="11" t="s">
        <v>140</v>
      </c>
      <c r="AY4" s="15" t="s">
        <v>141</v>
      </c>
      <c r="AZ4" s="12"/>
      <c r="BA4" s="12"/>
      <c r="BB4" s="12"/>
      <c r="BC4" s="12"/>
      <c r="BD4" s="12"/>
      <c r="BE4" s="12"/>
      <c r="BF4" s="12"/>
      <c r="BG4" s="12"/>
      <c r="BH4" s="12"/>
      <c r="BI4" s="12"/>
      <c r="BJ4" s="12"/>
      <c r="BK4" s="12"/>
      <c r="BL4" s="12"/>
      <c r="BM4" s="12"/>
      <c r="BN4" s="12"/>
      <c r="BO4" s="12"/>
      <c r="BP4" s="12"/>
      <c r="BQ4" s="12"/>
      <c r="BR4" s="12"/>
      <c r="BS4" s="12"/>
      <c r="BT4" s="12"/>
      <c r="BU4" s="12"/>
      <c r="BV4" s="12"/>
      <c r="BW4" s="12"/>
      <c r="BX4" s="12"/>
      <c r="BY4" s="12"/>
      <c r="BZ4" s="12"/>
      <c r="CA4" s="12"/>
      <c r="CB4" s="12"/>
      <c r="CC4" s="12"/>
      <c r="CD4" s="12"/>
      <c r="CE4" s="12"/>
      <c r="CF4" s="12"/>
      <c r="CG4" s="12"/>
      <c r="CH4" s="12"/>
      <c r="CI4" s="12"/>
      <c r="CJ4" s="12"/>
      <c r="CK4" s="12"/>
      <c r="CL4" s="12"/>
      <c r="CM4" s="12"/>
      <c r="CN4" s="12"/>
      <c r="CO4" s="12"/>
      <c r="CP4" s="12"/>
      <c r="CQ4" s="12"/>
      <c r="CR4" s="12"/>
      <c r="CS4" s="12"/>
      <c r="CT4" s="12"/>
      <c r="CU4" s="12"/>
      <c r="CV4" s="12"/>
      <c r="CW4" s="12"/>
      <c r="CX4" s="12"/>
      <c r="CY4" s="12"/>
      <c r="CZ4" s="12"/>
      <c r="DA4" s="12"/>
      <c r="DB4" s="12"/>
      <c r="DC4" s="12"/>
      <c r="DD4" s="12"/>
    </row>
    <row r="5" ht="22.5" customHeight="1">
      <c r="A5" s="10">
        <v>45982.576571087964</v>
      </c>
      <c r="B5" s="11" t="s">
        <v>120</v>
      </c>
      <c r="C5" s="11" t="s">
        <v>131</v>
      </c>
      <c r="D5" s="12"/>
      <c r="E5" s="12"/>
      <c r="F5" s="12"/>
      <c r="G5" s="12"/>
      <c r="H5" s="12"/>
      <c r="I5" s="12"/>
      <c r="J5" s="12"/>
      <c r="K5" s="12"/>
      <c r="L5" s="12"/>
      <c r="M5" s="12"/>
      <c r="N5" s="12"/>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1" t="s">
        <v>122</v>
      </c>
      <c r="AP5" s="11" t="s">
        <v>142</v>
      </c>
      <c r="AQ5" s="11" t="s">
        <v>143</v>
      </c>
      <c r="AR5" s="11" t="s">
        <v>144</v>
      </c>
      <c r="AS5" s="11">
        <v>14.0</v>
      </c>
      <c r="AT5" s="12"/>
      <c r="AU5" s="16">
        <v>45613.0</v>
      </c>
      <c r="AV5" s="16">
        <v>45633.0</v>
      </c>
      <c r="AW5" s="11">
        <v>2800.0</v>
      </c>
      <c r="AX5" s="11" t="s">
        <v>145</v>
      </c>
      <c r="AY5" s="15" t="s">
        <v>146</v>
      </c>
      <c r="AZ5" s="12"/>
      <c r="BA5" s="12"/>
      <c r="BB5" s="12"/>
      <c r="BC5" s="12"/>
      <c r="BD5" s="12"/>
      <c r="BE5" s="12"/>
      <c r="BF5" s="12"/>
      <c r="BG5" s="12"/>
      <c r="BH5" s="12"/>
      <c r="BI5" s="12"/>
      <c r="BJ5" s="12"/>
      <c r="BK5" s="12"/>
      <c r="BL5" s="12"/>
      <c r="BM5" s="12"/>
      <c r="BN5" s="12"/>
      <c r="BO5" s="12"/>
      <c r="BP5" s="12"/>
      <c r="BQ5" s="12"/>
      <c r="BR5" s="12"/>
      <c r="BS5" s="12"/>
      <c r="BT5" s="12"/>
      <c r="BU5" s="12"/>
      <c r="BV5" s="12"/>
      <c r="BW5" s="12"/>
      <c r="BX5" s="12"/>
      <c r="BY5" s="12"/>
      <c r="BZ5" s="12"/>
      <c r="CA5" s="12"/>
      <c r="CB5" s="12"/>
      <c r="CC5" s="12"/>
      <c r="CD5" s="12"/>
      <c r="CE5" s="12"/>
      <c r="CF5" s="12"/>
      <c r="CG5" s="12"/>
      <c r="CH5" s="12"/>
      <c r="CI5" s="12"/>
      <c r="CJ5" s="12"/>
      <c r="CK5" s="12"/>
      <c r="CL5" s="12"/>
      <c r="CM5" s="12"/>
      <c r="CN5" s="12"/>
      <c r="CO5" s="12"/>
      <c r="CP5" s="12"/>
      <c r="CQ5" s="12"/>
      <c r="CR5" s="12"/>
      <c r="CS5" s="12"/>
      <c r="CT5" s="12"/>
      <c r="CU5" s="12"/>
      <c r="CV5" s="12"/>
      <c r="CW5" s="12"/>
      <c r="CX5" s="12"/>
      <c r="CY5" s="12"/>
      <c r="CZ5" s="12"/>
      <c r="DA5" s="12"/>
      <c r="DB5" s="12"/>
      <c r="DC5" s="12"/>
      <c r="DD5" s="12"/>
    </row>
    <row r="6" ht="22.5" customHeight="1">
      <c r="A6" s="10">
        <v>45982.57823261574</v>
      </c>
      <c r="B6" s="11" t="s">
        <v>120</v>
      </c>
      <c r="C6" s="11" t="s">
        <v>131</v>
      </c>
      <c r="D6" s="12"/>
      <c r="E6" s="12"/>
      <c r="F6" s="12"/>
      <c r="G6" s="12"/>
      <c r="H6" s="12"/>
      <c r="I6" s="12"/>
      <c r="J6" s="12"/>
      <c r="K6" s="12"/>
      <c r="L6" s="12"/>
      <c r="M6" s="12"/>
      <c r="N6" s="12"/>
      <c r="O6" s="12"/>
      <c r="P6" s="12"/>
      <c r="Q6" s="12"/>
      <c r="R6" s="12"/>
      <c r="S6" s="12"/>
      <c r="T6" s="12"/>
      <c r="U6" s="12"/>
      <c r="V6" s="12"/>
      <c r="W6" s="12"/>
      <c r="X6" s="12"/>
      <c r="Y6" s="12"/>
      <c r="Z6" s="12"/>
      <c r="AA6" s="12"/>
      <c r="AB6" s="12"/>
      <c r="AC6" s="12"/>
      <c r="AD6" s="12"/>
      <c r="AE6" s="12"/>
      <c r="AF6" s="12"/>
      <c r="AG6" s="12"/>
      <c r="AH6" s="12"/>
      <c r="AI6" s="12"/>
      <c r="AJ6" s="12"/>
      <c r="AK6" s="12"/>
      <c r="AL6" s="12"/>
      <c r="AM6" s="12"/>
      <c r="AN6" s="12"/>
      <c r="AO6" s="11" t="s">
        <v>122</v>
      </c>
      <c r="AP6" s="11" t="s">
        <v>142</v>
      </c>
      <c r="AQ6" s="11" t="s">
        <v>147</v>
      </c>
      <c r="AR6" s="11" t="s">
        <v>148</v>
      </c>
      <c r="AS6" s="11">
        <v>12.0</v>
      </c>
      <c r="AT6" s="12"/>
      <c r="AU6" s="16">
        <v>45710.0</v>
      </c>
      <c r="AV6" s="16">
        <v>45717.0</v>
      </c>
      <c r="AW6" s="11" t="s">
        <v>149</v>
      </c>
      <c r="AX6" s="11" t="s">
        <v>145</v>
      </c>
      <c r="AY6" s="15" t="s">
        <v>150</v>
      </c>
      <c r="AZ6" s="12"/>
      <c r="BA6" s="12"/>
      <c r="BB6" s="12"/>
      <c r="BC6" s="12"/>
      <c r="BD6" s="12"/>
      <c r="BE6" s="12"/>
      <c r="BF6" s="12"/>
      <c r="BG6" s="12"/>
      <c r="BH6" s="12"/>
      <c r="BI6" s="12"/>
      <c r="BJ6" s="12"/>
      <c r="BK6" s="12"/>
      <c r="BL6" s="12"/>
      <c r="BM6" s="12"/>
      <c r="BN6" s="12"/>
      <c r="BO6" s="12"/>
      <c r="BP6" s="12"/>
      <c r="BQ6" s="12"/>
      <c r="BR6" s="12"/>
      <c r="BS6" s="12"/>
      <c r="BT6" s="12"/>
      <c r="BU6" s="12"/>
      <c r="BV6" s="12"/>
      <c r="BW6" s="12"/>
      <c r="BX6" s="12"/>
      <c r="BY6" s="12"/>
      <c r="BZ6" s="12"/>
      <c r="CA6" s="12"/>
      <c r="CB6" s="12"/>
      <c r="CC6" s="12"/>
      <c r="CD6" s="12"/>
      <c r="CE6" s="12"/>
      <c r="CF6" s="12"/>
      <c r="CG6" s="12"/>
      <c r="CH6" s="12"/>
      <c r="CI6" s="12"/>
      <c r="CJ6" s="12"/>
      <c r="CK6" s="12"/>
      <c r="CL6" s="12"/>
      <c r="CM6" s="12"/>
      <c r="CN6" s="12"/>
      <c r="CO6" s="12"/>
      <c r="CP6" s="12"/>
      <c r="CQ6" s="12"/>
      <c r="CR6" s="12"/>
      <c r="CS6" s="12"/>
      <c r="CT6" s="12"/>
      <c r="CU6" s="12"/>
      <c r="CV6" s="12"/>
      <c r="CW6" s="12"/>
      <c r="CX6" s="12"/>
      <c r="CY6" s="12"/>
      <c r="CZ6" s="12"/>
      <c r="DA6" s="12"/>
      <c r="DB6" s="12"/>
      <c r="DC6" s="12"/>
      <c r="DD6" s="12"/>
    </row>
    <row r="7" ht="22.5" customHeight="1">
      <c r="A7" s="10">
        <v>45982.58256800926</v>
      </c>
      <c r="B7" s="11" t="s">
        <v>120</v>
      </c>
      <c r="C7" s="11" t="s">
        <v>131</v>
      </c>
      <c r="D7" s="12"/>
      <c r="E7" s="12"/>
      <c r="F7" s="12"/>
      <c r="G7" s="12"/>
      <c r="H7" s="12"/>
      <c r="I7" s="12"/>
      <c r="J7" s="12"/>
      <c r="K7" s="12"/>
      <c r="L7" s="12"/>
      <c r="M7" s="12"/>
      <c r="N7" s="12"/>
      <c r="O7" s="12"/>
      <c r="P7" s="12"/>
      <c r="Q7" s="12"/>
      <c r="R7" s="12"/>
      <c r="S7" s="12"/>
      <c r="T7" s="12"/>
      <c r="U7" s="12"/>
      <c r="V7" s="12"/>
      <c r="W7" s="12"/>
      <c r="X7" s="12"/>
      <c r="Y7" s="12"/>
      <c r="Z7" s="12"/>
      <c r="AA7" s="12"/>
      <c r="AB7" s="12"/>
      <c r="AC7" s="12"/>
      <c r="AD7" s="12"/>
      <c r="AE7" s="12"/>
      <c r="AF7" s="12"/>
      <c r="AG7" s="12"/>
      <c r="AH7" s="12"/>
      <c r="AI7" s="12"/>
      <c r="AJ7" s="12"/>
      <c r="AK7" s="12"/>
      <c r="AL7" s="12"/>
      <c r="AM7" s="12"/>
      <c r="AN7" s="12"/>
      <c r="AO7" s="11" t="s">
        <v>122</v>
      </c>
      <c r="AP7" s="11" t="s">
        <v>142</v>
      </c>
      <c r="AQ7" s="11" t="s">
        <v>151</v>
      </c>
      <c r="AR7" s="11" t="s">
        <v>152</v>
      </c>
      <c r="AS7" s="11">
        <v>5.0</v>
      </c>
      <c r="AT7" s="11" t="s">
        <v>153</v>
      </c>
      <c r="AU7" s="16">
        <v>45845.0</v>
      </c>
      <c r="AV7" s="16">
        <v>45865.0</v>
      </c>
      <c r="AW7" s="11">
        <v>300.0</v>
      </c>
      <c r="AX7" s="11" t="s">
        <v>154</v>
      </c>
      <c r="AY7" s="15" t="s">
        <v>155</v>
      </c>
      <c r="AZ7" s="12"/>
      <c r="BA7" s="12"/>
      <c r="BB7" s="12"/>
      <c r="BC7" s="12"/>
      <c r="BD7" s="12"/>
      <c r="BE7" s="12"/>
      <c r="BF7" s="12"/>
      <c r="BG7" s="12"/>
      <c r="BH7" s="12"/>
      <c r="BI7" s="12"/>
      <c r="BJ7" s="12"/>
      <c r="BK7" s="12"/>
      <c r="BL7" s="12"/>
      <c r="BM7" s="12"/>
      <c r="BN7" s="12"/>
      <c r="BO7" s="12"/>
      <c r="BP7" s="12"/>
      <c r="BQ7" s="12"/>
      <c r="BR7" s="12"/>
      <c r="BS7" s="12"/>
      <c r="BT7" s="12"/>
      <c r="BU7" s="12"/>
      <c r="BV7" s="12"/>
      <c r="BW7" s="12"/>
      <c r="BX7" s="12"/>
      <c r="BY7" s="12"/>
      <c r="BZ7" s="12"/>
      <c r="CA7" s="12"/>
      <c r="CB7" s="12"/>
      <c r="CC7" s="12"/>
      <c r="CD7" s="12"/>
      <c r="CE7" s="12"/>
      <c r="CF7" s="12"/>
      <c r="CG7" s="12"/>
      <c r="CH7" s="12"/>
      <c r="CI7" s="12"/>
      <c r="CJ7" s="12"/>
      <c r="CK7" s="12"/>
      <c r="CL7" s="12"/>
      <c r="CM7" s="12"/>
      <c r="CN7" s="12"/>
      <c r="CO7" s="12"/>
      <c r="CP7" s="12"/>
      <c r="CQ7" s="12"/>
      <c r="CR7" s="12"/>
      <c r="CS7" s="12"/>
      <c r="CT7" s="12"/>
      <c r="CU7" s="12"/>
      <c r="CV7" s="12"/>
      <c r="CW7" s="12"/>
      <c r="CX7" s="12"/>
      <c r="CY7" s="12"/>
      <c r="CZ7" s="12"/>
      <c r="DA7" s="12"/>
      <c r="DB7" s="12"/>
      <c r="DC7" s="12"/>
      <c r="DD7" s="12"/>
    </row>
    <row r="8" ht="22.5" customHeight="1">
      <c r="A8" s="10">
        <v>45982.5888803125</v>
      </c>
      <c r="B8" s="11" t="s">
        <v>156</v>
      </c>
      <c r="C8" s="11" t="s">
        <v>1</v>
      </c>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c r="BF8" s="12"/>
      <c r="BG8" s="12"/>
      <c r="BH8" s="12"/>
      <c r="BI8" s="12"/>
      <c r="BJ8" s="12"/>
      <c r="BK8" s="12"/>
      <c r="BL8" s="12"/>
      <c r="BM8" s="12"/>
      <c r="BN8" s="12"/>
      <c r="BO8" s="12"/>
      <c r="BP8" s="12"/>
      <c r="BQ8" s="12"/>
      <c r="BR8" s="12"/>
      <c r="BS8" s="12"/>
      <c r="BT8" s="12"/>
      <c r="BU8" s="12"/>
      <c r="BV8" s="12"/>
      <c r="BW8" s="12"/>
      <c r="BX8" s="12"/>
      <c r="BY8" s="12"/>
      <c r="BZ8" s="12"/>
      <c r="CA8" s="12"/>
      <c r="CB8" s="12"/>
      <c r="CC8" s="12"/>
      <c r="CD8" s="12"/>
      <c r="CE8" s="12"/>
      <c r="CF8" s="12"/>
      <c r="CG8" s="12"/>
      <c r="CH8" s="17"/>
      <c r="CI8" s="17"/>
      <c r="CJ8" s="12"/>
      <c r="CK8" s="12"/>
      <c r="CL8" s="12"/>
      <c r="CM8" s="12"/>
      <c r="CN8" s="12"/>
      <c r="CO8" s="12"/>
      <c r="CP8" s="12"/>
      <c r="CQ8" s="12"/>
      <c r="CR8" s="12"/>
      <c r="CS8" s="12"/>
      <c r="CT8" s="12"/>
      <c r="CU8" s="16">
        <v>45982.0</v>
      </c>
      <c r="CV8" s="11" t="s">
        <v>157</v>
      </c>
      <c r="CW8" s="11" t="s">
        <v>158</v>
      </c>
      <c r="CX8" s="11" t="s">
        <v>147</v>
      </c>
      <c r="CY8" s="11" t="s">
        <v>159</v>
      </c>
      <c r="CZ8" s="11" t="s">
        <v>160</v>
      </c>
      <c r="DA8" s="11" t="s">
        <v>161</v>
      </c>
      <c r="DB8" s="11" t="s">
        <v>162</v>
      </c>
      <c r="DC8" s="15" t="s">
        <v>163</v>
      </c>
      <c r="DD8" s="17"/>
    </row>
    <row r="9" ht="22.5" customHeight="1">
      <c r="A9" s="10">
        <v>45982.62799306713</v>
      </c>
      <c r="B9" s="11" t="s">
        <v>164</v>
      </c>
      <c r="C9" s="11" t="s">
        <v>8</v>
      </c>
      <c r="D9" s="12"/>
      <c r="E9" s="12"/>
      <c r="F9" s="12"/>
      <c r="G9" s="12"/>
      <c r="H9" s="12"/>
      <c r="I9" s="12"/>
      <c r="J9" s="12"/>
      <c r="K9" s="12"/>
      <c r="L9" s="12"/>
      <c r="M9" s="12"/>
      <c r="N9" s="12"/>
      <c r="O9" s="12"/>
      <c r="P9" s="12"/>
      <c r="Q9" s="12"/>
      <c r="R9" s="12"/>
      <c r="S9" s="12"/>
      <c r="T9" s="12"/>
      <c r="U9" s="12"/>
      <c r="V9" s="12"/>
      <c r="W9" s="12"/>
      <c r="X9" s="12"/>
      <c r="Y9" s="12"/>
      <c r="Z9" s="12"/>
      <c r="AA9" s="12"/>
      <c r="AB9" s="12"/>
      <c r="AC9" s="12"/>
      <c r="AD9" s="11" t="s">
        <v>142</v>
      </c>
      <c r="AE9" s="11" t="s">
        <v>165</v>
      </c>
      <c r="AF9" s="11" t="s">
        <v>166</v>
      </c>
      <c r="AG9" s="11">
        <v>2024.0</v>
      </c>
      <c r="AH9" s="11" t="s">
        <v>167</v>
      </c>
      <c r="AI9" s="11" t="s">
        <v>168</v>
      </c>
      <c r="AJ9" s="16">
        <v>45301.0</v>
      </c>
      <c r="AK9" s="16">
        <v>45443.0</v>
      </c>
      <c r="AL9" s="11" t="s">
        <v>122</v>
      </c>
      <c r="AM9" s="12"/>
      <c r="AN9" s="15" t="s">
        <v>169</v>
      </c>
      <c r="AO9" s="12"/>
      <c r="AP9" s="12"/>
      <c r="AQ9" s="12"/>
      <c r="AR9" s="12"/>
      <c r="AS9" s="12"/>
      <c r="AT9" s="12"/>
      <c r="AU9" s="12"/>
      <c r="AV9" s="12"/>
      <c r="AW9" s="12"/>
      <c r="AX9" s="12"/>
      <c r="AY9" s="12"/>
      <c r="AZ9" s="12"/>
      <c r="BA9" s="12"/>
      <c r="BB9" s="12"/>
      <c r="BC9" s="12"/>
      <c r="BD9" s="12"/>
      <c r="BE9" s="12"/>
      <c r="BF9" s="12"/>
      <c r="BG9" s="12"/>
      <c r="BH9" s="12"/>
      <c r="BI9" s="12"/>
      <c r="BJ9" s="12"/>
      <c r="BK9" s="12"/>
      <c r="BL9" s="12"/>
      <c r="BM9" s="12"/>
      <c r="BN9" s="12"/>
      <c r="BO9" s="12"/>
      <c r="BP9" s="12"/>
      <c r="BQ9" s="12"/>
      <c r="BR9" s="12"/>
      <c r="BS9" s="12"/>
      <c r="BT9" s="12"/>
      <c r="BU9" s="12"/>
      <c r="BV9" s="12"/>
      <c r="BW9" s="12"/>
      <c r="BX9" s="12"/>
      <c r="BY9" s="12"/>
      <c r="BZ9" s="12"/>
      <c r="CA9" s="12"/>
      <c r="CB9" s="12"/>
      <c r="CC9" s="12"/>
      <c r="CD9" s="12"/>
      <c r="CE9" s="12"/>
      <c r="CF9" s="12"/>
      <c r="CG9" s="12"/>
      <c r="CH9" s="12"/>
      <c r="CI9" s="12"/>
      <c r="CJ9" s="12"/>
      <c r="CK9" s="12"/>
      <c r="CL9" s="12"/>
      <c r="CM9" s="12"/>
      <c r="CN9" s="12"/>
      <c r="CO9" s="12"/>
      <c r="CP9" s="12"/>
      <c r="CQ9" s="12"/>
      <c r="CR9" s="12"/>
      <c r="CS9" s="12"/>
      <c r="CT9" s="12"/>
      <c r="CU9" s="12"/>
      <c r="CV9" s="12"/>
      <c r="CW9" s="12"/>
      <c r="CX9" s="12"/>
      <c r="CY9" s="12"/>
      <c r="CZ9" s="12"/>
      <c r="DA9" s="12"/>
      <c r="DB9" s="12"/>
      <c r="DC9" s="12"/>
      <c r="DD9" s="12"/>
    </row>
    <row r="10" ht="22.5" customHeight="1">
      <c r="A10" s="10">
        <v>45982.63215587963</v>
      </c>
      <c r="B10" s="11" t="s">
        <v>164</v>
      </c>
      <c r="C10" s="11" t="s">
        <v>8</v>
      </c>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1" t="s">
        <v>142</v>
      </c>
      <c r="AE10" s="11" t="s">
        <v>170</v>
      </c>
      <c r="AF10" s="11" t="s">
        <v>166</v>
      </c>
      <c r="AG10" s="11">
        <v>2024.0</v>
      </c>
      <c r="AH10" s="11" t="s">
        <v>167</v>
      </c>
      <c r="AI10" s="11" t="s">
        <v>168</v>
      </c>
      <c r="AJ10" s="16">
        <v>45312.0</v>
      </c>
      <c r="AK10" s="16">
        <v>45443.0</v>
      </c>
      <c r="AL10" s="11" t="s">
        <v>122</v>
      </c>
      <c r="AM10" s="12"/>
      <c r="AN10" s="15" t="s">
        <v>171</v>
      </c>
      <c r="AO10" s="12"/>
      <c r="AP10" s="12"/>
      <c r="AQ10" s="12"/>
      <c r="AR10" s="12"/>
      <c r="AS10" s="12"/>
      <c r="AT10" s="12"/>
      <c r="AU10" s="12"/>
      <c r="AV10" s="12"/>
      <c r="AW10" s="12"/>
      <c r="AX10" s="12"/>
      <c r="AY10" s="12"/>
      <c r="AZ10" s="12"/>
      <c r="BA10" s="12"/>
      <c r="BB10" s="12"/>
      <c r="BC10" s="12"/>
      <c r="BD10" s="12"/>
      <c r="BE10" s="12"/>
      <c r="BF10" s="12"/>
      <c r="BG10" s="12"/>
      <c r="BH10" s="12"/>
      <c r="BI10" s="12"/>
      <c r="BJ10" s="12"/>
      <c r="BK10" s="12"/>
      <c r="BL10" s="12"/>
      <c r="BM10" s="12"/>
      <c r="BN10" s="12"/>
      <c r="BO10" s="12"/>
      <c r="BP10" s="12"/>
      <c r="BQ10" s="12"/>
      <c r="BR10" s="12"/>
      <c r="BS10" s="12"/>
      <c r="BT10" s="12"/>
      <c r="BU10" s="12"/>
      <c r="BV10" s="12"/>
      <c r="BW10" s="12"/>
      <c r="BX10" s="12"/>
      <c r="BY10" s="12"/>
      <c r="BZ10" s="12"/>
      <c r="CA10" s="12"/>
      <c r="CB10" s="12"/>
      <c r="CC10" s="12"/>
      <c r="CD10" s="12"/>
      <c r="CE10" s="12"/>
      <c r="CF10" s="12"/>
      <c r="CG10" s="12"/>
      <c r="CH10" s="12"/>
      <c r="CI10" s="12"/>
      <c r="CJ10" s="12"/>
      <c r="CK10" s="12"/>
      <c r="CL10" s="12"/>
      <c r="CM10" s="12"/>
      <c r="CN10" s="12"/>
      <c r="CO10" s="12"/>
      <c r="CP10" s="12"/>
      <c r="CQ10" s="12"/>
      <c r="CR10" s="12"/>
      <c r="CS10" s="12"/>
      <c r="CT10" s="12"/>
      <c r="CU10" s="12"/>
      <c r="CV10" s="12"/>
      <c r="CW10" s="12"/>
      <c r="CX10" s="12"/>
      <c r="CY10" s="12"/>
      <c r="CZ10" s="12"/>
      <c r="DA10" s="12"/>
      <c r="DB10" s="12"/>
      <c r="DC10" s="12"/>
      <c r="DD10" s="12"/>
    </row>
    <row r="11" ht="22.5" customHeight="1">
      <c r="A11" s="10">
        <v>45982.640318680555</v>
      </c>
      <c r="B11" s="11" t="s">
        <v>164</v>
      </c>
      <c r="C11" s="11" t="s">
        <v>8</v>
      </c>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1" t="s">
        <v>142</v>
      </c>
      <c r="AE11" s="11" t="s">
        <v>172</v>
      </c>
      <c r="AF11" s="11" t="s">
        <v>173</v>
      </c>
      <c r="AG11" s="11">
        <v>2024.0</v>
      </c>
      <c r="AH11" s="11" t="s">
        <v>167</v>
      </c>
      <c r="AI11" s="11" t="s">
        <v>168</v>
      </c>
      <c r="AJ11" s="16">
        <v>45556.0</v>
      </c>
      <c r="AK11" s="16">
        <v>45689.0</v>
      </c>
      <c r="AL11" s="11" t="s">
        <v>122</v>
      </c>
      <c r="AM11" s="12"/>
      <c r="AN11" s="15" t="s">
        <v>174</v>
      </c>
      <c r="AO11" s="12"/>
      <c r="AP11" s="12"/>
      <c r="AQ11" s="12"/>
      <c r="AR11" s="12"/>
      <c r="AS11" s="12"/>
      <c r="AT11" s="12"/>
      <c r="AU11" s="12"/>
      <c r="AV11" s="12"/>
      <c r="AW11" s="12"/>
      <c r="AX11" s="12"/>
      <c r="AY11" s="12"/>
      <c r="AZ11" s="12"/>
      <c r="BA11" s="12"/>
      <c r="BB11" s="12"/>
      <c r="BC11" s="12"/>
      <c r="BD11" s="12"/>
      <c r="BE11" s="12"/>
      <c r="BF11" s="12"/>
      <c r="BG11" s="12"/>
      <c r="BH11" s="12"/>
      <c r="BI11" s="12"/>
      <c r="BJ11" s="12"/>
      <c r="BK11" s="12"/>
      <c r="BL11" s="12"/>
      <c r="BM11" s="12"/>
      <c r="BN11" s="12"/>
      <c r="BO11" s="12"/>
      <c r="BP11" s="12"/>
      <c r="BQ11" s="12"/>
      <c r="BR11" s="12"/>
      <c r="BS11" s="12"/>
      <c r="BT11" s="12"/>
      <c r="BU11" s="12"/>
      <c r="BV11" s="12"/>
      <c r="BW11" s="12"/>
      <c r="BX11" s="12"/>
      <c r="BY11" s="12"/>
      <c r="BZ11" s="12"/>
      <c r="CA11" s="12"/>
      <c r="CB11" s="12"/>
      <c r="CC11" s="12"/>
      <c r="CD11" s="12"/>
      <c r="CE11" s="12"/>
      <c r="CF11" s="12"/>
      <c r="CG11" s="12"/>
      <c r="CH11" s="12"/>
      <c r="CI11" s="12"/>
      <c r="CJ11" s="12"/>
      <c r="CK11" s="12"/>
      <c r="CL11" s="12"/>
      <c r="CM11" s="12"/>
      <c r="CN11" s="12"/>
      <c r="CO11" s="12"/>
      <c r="CP11" s="12"/>
      <c r="CQ11" s="12"/>
      <c r="CR11" s="12"/>
      <c r="CS11" s="12"/>
      <c r="CT11" s="12"/>
      <c r="CU11" s="12"/>
      <c r="CV11" s="12"/>
      <c r="CW11" s="12"/>
      <c r="CX11" s="12"/>
      <c r="CY11" s="12"/>
      <c r="CZ11" s="12"/>
      <c r="DA11" s="12"/>
      <c r="DB11" s="12"/>
      <c r="DC11" s="12"/>
      <c r="DD11" s="12"/>
    </row>
    <row r="12" ht="22.5" customHeight="1">
      <c r="A12" s="10">
        <v>45982.64143289352</v>
      </c>
      <c r="B12" s="11" t="s">
        <v>164</v>
      </c>
      <c r="C12" s="11" t="s">
        <v>8</v>
      </c>
      <c r="D12" s="12"/>
      <c r="E12" s="12"/>
      <c r="F12" s="12"/>
      <c r="G12" s="12"/>
      <c r="H12" s="12"/>
      <c r="I12" s="12"/>
      <c r="J12" s="12"/>
      <c r="K12" s="12"/>
      <c r="L12" s="12"/>
      <c r="M12" s="12"/>
      <c r="N12" s="12"/>
      <c r="O12" s="12"/>
      <c r="P12" s="12"/>
      <c r="Q12" s="12"/>
      <c r="R12" s="12"/>
      <c r="S12" s="12"/>
      <c r="T12" s="12"/>
      <c r="U12" s="12"/>
      <c r="V12" s="12"/>
      <c r="W12" s="12"/>
      <c r="X12" s="12"/>
      <c r="Y12" s="12"/>
      <c r="Z12" s="12"/>
      <c r="AA12" s="12"/>
      <c r="AB12" s="12"/>
      <c r="AC12" s="12"/>
      <c r="AD12" s="11" t="s">
        <v>142</v>
      </c>
      <c r="AE12" s="11" t="s">
        <v>175</v>
      </c>
      <c r="AF12" s="11" t="s">
        <v>173</v>
      </c>
      <c r="AG12" s="11">
        <v>2024.0</v>
      </c>
      <c r="AH12" s="11" t="s">
        <v>167</v>
      </c>
      <c r="AI12" s="11" t="s">
        <v>168</v>
      </c>
      <c r="AJ12" s="16">
        <v>45331.0</v>
      </c>
      <c r="AK12" s="16">
        <v>45659.0</v>
      </c>
      <c r="AL12" s="11" t="s">
        <v>122</v>
      </c>
      <c r="AM12" s="12"/>
      <c r="AN12" s="15" t="s">
        <v>176</v>
      </c>
      <c r="AO12" s="12"/>
      <c r="AP12" s="12"/>
      <c r="AQ12" s="12"/>
      <c r="AR12" s="12"/>
      <c r="AS12" s="12"/>
      <c r="AT12" s="12"/>
      <c r="AU12" s="12"/>
      <c r="AV12" s="12"/>
      <c r="AW12" s="12"/>
      <c r="AX12" s="12"/>
      <c r="AY12" s="12"/>
      <c r="AZ12" s="12"/>
      <c r="BA12" s="12"/>
      <c r="BB12" s="12"/>
      <c r="BC12" s="12"/>
      <c r="BD12" s="12"/>
      <c r="BE12" s="12"/>
      <c r="BF12" s="12"/>
      <c r="BG12" s="12"/>
      <c r="BH12" s="12"/>
      <c r="BI12" s="12"/>
      <c r="BJ12" s="12"/>
      <c r="BK12" s="12"/>
      <c r="BL12" s="12"/>
      <c r="BM12" s="12"/>
      <c r="BN12" s="12"/>
      <c r="BO12" s="12"/>
      <c r="BP12" s="12"/>
      <c r="BQ12" s="12"/>
      <c r="BR12" s="12"/>
      <c r="BS12" s="12"/>
      <c r="BT12" s="12"/>
      <c r="BU12" s="12"/>
      <c r="BV12" s="12"/>
      <c r="BW12" s="12"/>
      <c r="BX12" s="12"/>
      <c r="BY12" s="12"/>
      <c r="BZ12" s="12"/>
      <c r="CA12" s="12"/>
      <c r="CB12" s="12"/>
      <c r="CC12" s="12"/>
      <c r="CD12" s="12"/>
      <c r="CE12" s="12"/>
      <c r="CF12" s="12"/>
      <c r="CG12" s="12"/>
      <c r="CH12" s="12"/>
      <c r="CI12" s="12"/>
      <c r="CJ12" s="12"/>
      <c r="CK12" s="12"/>
      <c r="CL12" s="12"/>
      <c r="CM12" s="12"/>
      <c r="CN12" s="12"/>
      <c r="CO12" s="12"/>
      <c r="CP12" s="12"/>
      <c r="CQ12" s="12"/>
      <c r="CR12" s="12"/>
      <c r="CS12" s="12"/>
      <c r="CT12" s="12"/>
      <c r="CU12" s="12"/>
      <c r="CV12" s="12"/>
      <c r="CW12" s="12"/>
      <c r="CX12" s="12"/>
      <c r="CY12" s="12"/>
      <c r="CZ12" s="12"/>
      <c r="DA12" s="12"/>
      <c r="DB12" s="12"/>
      <c r="DC12" s="12"/>
      <c r="DD12" s="12"/>
    </row>
    <row r="13" ht="22.5" customHeight="1">
      <c r="A13" s="10">
        <v>45982.64258402778</v>
      </c>
      <c r="B13" s="11" t="s">
        <v>164</v>
      </c>
      <c r="C13" s="11" t="s">
        <v>8</v>
      </c>
      <c r="D13" s="12"/>
      <c r="E13" s="12"/>
      <c r="F13" s="12"/>
      <c r="G13" s="12"/>
      <c r="H13" s="12"/>
      <c r="I13" s="12"/>
      <c r="J13" s="12"/>
      <c r="K13" s="12"/>
      <c r="L13" s="12"/>
      <c r="M13" s="12"/>
      <c r="N13" s="12"/>
      <c r="O13" s="12"/>
      <c r="P13" s="12"/>
      <c r="Q13" s="12"/>
      <c r="R13" s="12"/>
      <c r="S13" s="12"/>
      <c r="T13" s="12"/>
      <c r="U13" s="12"/>
      <c r="V13" s="12"/>
      <c r="W13" s="12"/>
      <c r="X13" s="12"/>
      <c r="Y13" s="12"/>
      <c r="Z13" s="12"/>
      <c r="AA13" s="12"/>
      <c r="AB13" s="12"/>
      <c r="AC13" s="12"/>
      <c r="AD13" s="11" t="s">
        <v>142</v>
      </c>
      <c r="AE13" s="11" t="s">
        <v>177</v>
      </c>
      <c r="AF13" s="11" t="s">
        <v>173</v>
      </c>
      <c r="AG13" s="11">
        <v>2024.0</v>
      </c>
      <c r="AH13" s="11" t="s">
        <v>167</v>
      </c>
      <c r="AI13" s="11" t="s">
        <v>168</v>
      </c>
      <c r="AJ13" s="16">
        <v>45331.0</v>
      </c>
      <c r="AK13" s="16">
        <v>45659.0</v>
      </c>
      <c r="AL13" s="11" t="s">
        <v>122</v>
      </c>
      <c r="AM13" s="12"/>
      <c r="AN13" s="15" t="s">
        <v>178</v>
      </c>
      <c r="AO13" s="12"/>
      <c r="AP13" s="12"/>
      <c r="AQ13" s="12"/>
      <c r="AR13" s="12"/>
      <c r="AS13" s="12"/>
      <c r="AT13" s="12"/>
      <c r="AU13" s="12"/>
      <c r="AV13" s="12"/>
      <c r="AW13" s="12"/>
      <c r="AX13" s="12"/>
      <c r="AY13" s="12"/>
      <c r="AZ13" s="12"/>
      <c r="BA13" s="12"/>
      <c r="BB13" s="12"/>
      <c r="BC13" s="12"/>
      <c r="BD13" s="12"/>
      <c r="BE13" s="12"/>
      <c r="BF13" s="12"/>
      <c r="BG13" s="12"/>
      <c r="BH13" s="12"/>
      <c r="BI13" s="12"/>
      <c r="BJ13" s="12"/>
      <c r="BK13" s="12"/>
      <c r="BL13" s="12"/>
      <c r="BM13" s="12"/>
      <c r="BN13" s="12"/>
      <c r="BO13" s="12"/>
      <c r="BP13" s="12"/>
      <c r="BQ13" s="12"/>
      <c r="BR13" s="12"/>
      <c r="BS13" s="12"/>
      <c r="BT13" s="12"/>
      <c r="BU13" s="12"/>
      <c r="BV13" s="12"/>
      <c r="BW13" s="12"/>
      <c r="BX13" s="12"/>
      <c r="BY13" s="12"/>
      <c r="BZ13" s="12"/>
      <c r="CA13" s="12"/>
      <c r="CB13" s="12"/>
      <c r="CC13" s="12"/>
      <c r="CD13" s="12"/>
      <c r="CE13" s="12"/>
      <c r="CF13" s="12"/>
      <c r="CG13" s="12"/>
      <c r="CH13" s="12"/>
      <c r="CI13" s="12"/>
      <c r="CJ13" s="12"/>
      <c r="CK13" s="12"/>
      <c r="CL13" s="12"/>
      <c r="CM13" s="12"/>
      <c r="CN13" s="12"/>
      <c r="CO13" s="12"/>
      <c r="CP13" s="12"/>
      <c r="CQ13" s="12"/>
      <c r="CR13" s="12"/>
      <c r="CS13" s="12"/>
      <c r="CT13" s="12"/>
      <c r="CU13" s="12"/>
      <c r="CV13" s="12"/>
      <c r="CW13" s="12"/>
      <c r="CX13" s="12"/>
      <c r="CY13" s="12"/>
      <c r="CZ13" s="12"/>
      <c r="DA13" s="12"/>
      <c r="DB13" s="12"/>
      <c r="DC13" s="12"/>
      <c r="DD13" s="12"/>
    </row>
    <row r="14" ht="22.5" customHeight="1">
      <c r="A14" s="10">
        <v>45982.647474502315</v>
      </c>
      <c r="B14" s="11" t="s">
        <v>164</v>
      </c>
      <c r="C14" s="11" t="s">
        <v>8</v>
      </c>
      <c r="D14" s="12"/>
      <c r="E14" s="12"/>
      <c r="F14" s="12"/>
      <c r="G14" s="12"/>
      <c r="H14" s="12"/>
      <c r="I14" s="12"/>
      <c r="J14" s="12"/>
      <c r="K14" s="12"/>
      <c r="L14" s="12"/>
      <c r="M14" s="12"/>
      <c r="N14" s="12"/>
      <c r="O14" s="12"/>
      <c r="P14" s="12"/>
      <c r="Q14" s="12"/>
      <c r="R14" s="12"/>
      <c r="S14" s="12"/>
      <c r="T14" s="12"/>
      <c r="U14" s="12"/>
      <c r="V14" s="12"/>
      <c r="W14" s="12"/>
      <c r="X14" s="12"/>
      <c r="Y14" s="12"/>
      <c r="Z14" s="12"/>
      <c r="AA14" s="12"/>
      <c r="AB14" s="12"/>
      <c r="AC14" s="12"/>
      <c r="AD14" s="11" t="s">
        <v>142</v>
      </c>
      <c r="AE14" s="11" t="s">
        <v>179</v>
      </c>
      <c r="AF14" s="11" t="s">
        <v>180</v>
      </c>
      <c r="AG14" s="11">
        <v>2025.0</v>
      </c>
      <c r="AH14" s="11" t="s">
        <v>167</v>
      </c>
      <c r="AI14" s="11" t="s">
        <v>181</v>
      </c>
      <c r="AJ14" s="16">
        <v>45992.0</v>
      </c>
      <c r="AK14" s="16">
        <v>45721.0</v>
      </c>
      <c r="AL14" s="11" t="s">
        <v>122</v>
      </c>
      <c r="AM14" s="12"/>
      <c r="AN14" s="15" t="s">
        <v>182</v>
      </c>
      <c r="AO14" s="12"/>
      <c r="AP14" s="12"/>
      <c r="AQ14" s="12"/>
      <c r="AR14" s="12"/>
      <c r="AS14" s="12"/>
      <c r="AT14" s="12"/>
      <c r="AU14" s="12"/>
      <c r="AV14" s="12"/>
      <c r="AW14" s="12"/>
      <c r="AX14" s="12"/>
      <c r="AY14" s="12"/>
      <c r="AZ14" s="12"/>
      <c r="BA14" s="12"/>
      <c r="BB14" s="12"/>
      <c r="BC14" s="12"/>
      <c r="BD14" s="12"/>
      <c r="BE14" s="12"/>
      <c r="BF14" s="12"/>
      <c r="BG14" s="12"/>
      <c r="BH14" s="12"/>
      <c r="BI14" s="12"/>
      <c r="BJ14" s="12"/>
      <c r="BK14" s="12"/>
      <c r="BL14" s="12"/>
      <c r="BM14" s="12"/>
      <c r="BN14" s="12"/>
      <c r="BO14" s="12"/>
      <c r="BP14" s="12"/>
      <c r="BQ14" s="12"/>
      <c r="BR14" s="12"/>
      <c r="BS14" s="12"/>
      <c r="BT14" s="12"/>
      <c r="BU14" s="12"/>
      <c r="BV14" s="12"/>
      <c r="BW14" s="12"/>
      <c r="BX14" s="12"/>
      <c r="BY14" s="12"/>
      <c r="BZ14" s="12"/>
      <c r="CA14" s="12"/>
      <c r="CB14" s="12"/>
      <c r="CC14" s="12"/>
      <c r="CD14" s="12"/>
      <c r="CE14" s="12"/>
      <c r="CF14" s="12"/>
      <c r="CG14" s="12"/>
      <c r="CH14" s="12"/>
      <c r="CI14" s="12"/>
      <c r="CJ14" s="12"/>
      <c r="CK14" s="12"/>
      <c r="CL14" s="12"/>
      <c r="CM14" s="12"/>
      <c r="CN14" s="12"/>
      <c r="CO14" s="12"/>
      <c r="CP14" s="12"/>
      <c r="CQ14" s="12"/>
      <c r="CR14" s="12"/>
      <c r="CS14" s="12"/>
      <c r="CT14" s="12"/>
      <c r="CU14" s="12"/>
      <c r="CV14" s="12"/>
      <c r="CW14" s="12"/>
      <c r="CX14" s="12"/>
      <c r="CY14" s="12"/>
      <c r="CZ14" s="12"/>
      <c r="DA14" s="12"/>
      <c r="DB14" s="12"/>
      <c r="DC14" s="12"/>
      <c r="DD14" s="12"/>
    </row>
    <row r="15" ht="22.5" customHeight="1">
      <c r="A15" s="10">
        <v>45982.64880177083</v>
      </c>
      <c r="B15" s="11" t="s">
        <v>164</v>
      </c>
      <c r="C15" s="11" t="s">
        <v>8</v>
      </c>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1" t="s">
        <v>142</v>
      </c>
      <c r="AE15" s="11" t="s">
        <v>183</v>
      </c>
      <c r="AF15" s="11" t="s">
        <v>184</v>
      </c>
      <c r="AG15" s="11">
        <v>2025.0</v>
      </c>
      <c r="AH15" s="11" t="s">
        <v>167</v>
      </c>
      <c r="AI15" s="11" t="s">
        <v>181</v>
      </c>
      <c r="AJ15" s="16">
        <v>45689.0</v>
      </c>
      <c r="AK15" s="16">
        <v>45721.0</v>
      </c>
      <c r="AL15" s="11" t="s">
        <v>122</v>
      </c>
      <c r="AM15" s="12"/>
      <c r="AN15" s="15" t="s">
        <v>185</v>
      </c>
      <c r="AO15" s="12"/>
      <c r="AP15" s="12"/>
      <c r="AQ15" s="12"/>
      <c r="AR15" s="12"/>
      <c r="AS15" s="12"/>
      <c r="AT15" s="12"/>
      <c r="AU15" s="12"/>
      <c r="AV15" s="12"/>
      <c r="AW15" s="12"/>
      <c r="AX15" s="12"/>
      <c r="AY15" s="12"/>
      <c r="AZ15" s="12"/>
      <c r="BA15" s="12"/>
      <c r="BB15" s="12"/>
      <c r="BC15" s="12"/>
      <c r="BD15" s="12"/>
      <c r="BE15" s="12"/>
      <c r="BF15" s="12"/>
      <c r="BG15" s="12"/>
      <c r="BH15" s="12"/>
      <c r="BI15" s="12"/>
      <c r="BJ15" s="12"/>
      <c r="BK15" s="12"/>
      <c r="BL15" s="12"/>
      <c r="BM15" s="12"/>
      <c r="BN15" s="12"/>
      <c r="BO15" s="12"/>
      <c r="BP15" s="12"/>
      <c r="BQ15" s="12"/>
      <c r="BR15" s="12"/>
      <c r="BS15" s="12"/>
      <c r="BT15" s="12"/>
      <c r="BU15" s="12"/>
      <c r="BV15" s="12"/>
      <c r="BW15" s="12"/>
      <c r="BX15" s="12"/>
      <c r="BY15" s="12"/>
      <c r="BZ15" s="12"/>
      <c r="CA15" s="12"/>
      <c r="CB15" s="12"/>
      <c r="CC15" s="12"/>
      <c r="CD15" s="12"/>
      <c r="CE15" s="12"/>
      <c r="CF15" s="12"/>
      <c r="CG15" s="12"/>
      <c r="CH15" s="12"/>
      <c r="CI15" s="12"/>
      <c r="CJ15" s="12"/>
      <c r="CK15" s="12"/>
      <c r="CL15" s="12"/>
      <c r="CM15" s="12"/>
      <c r="CN15" s="12"/>
      <c r="CO15" s="12"/>
      <c r="CP15" s="12"/>
      <c r="CQ15" s="12"/>
      <c r="CR15" s="12"/>
      <c r="CS15" s="12"/>
      <c r="CT15" s="12"/>
      <c r="CU15" s="12"/>
      <c r="CV15" s="12"/>
      <c r="CW15" s="12"/>
      <c r="CX15" s="12"/>
      <c r="CY15" s="12"/>
      <c r="CZ15" s="12"/>
      <c r="DA15" s="12"/>
      <c r="DB15" s="12"/>
      <c r="DC15" s="12"/>
      <c r="DD15" s="12"/>
    </row>
    <row r="16" ht="22.5" customHeight="1">
      <c r="A16" s="10">
        <v>45982.65682434027</v>
      </c>
      <c r="B16" s="11" t="s">
        <v>164</v>
      </c>
      <c r="C16" s="11" t="s">
        <v>8</v>
      </c>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1" t="s">
        <v>132</v>
      </c>
      <c r="AE16" s="11" t="s">
        <v>186</v>
      </c>
      <c r="AF16" s="11" t="s">
        <v>187</v>
      </c>
      <c r="AG16" s="11">
        <v>2024.0</v>
      </c>
      <c r="AH16" s="11" t="s">
        <v>188</v>
      </c>
      <c r="AI16" s="11" t="s">
        <v>189</v>
      </c>
      <c r="AJ16" s="16">
        <v>45292.0</v>
      </c>
      <c r="AK16" s="16">
        <v>45443.0</v>
      </c>
      <c r="AL16" s="11" t="s">
        <v>122</v>
      </c>
      <c r="AM16" s="12"/>
      <c r="AN16" s="15" t="s">
        <v>190</v>
      </c>
      <c r="AO16" s="12"/>
      <c r="AP16" s="12"/>
      <c r="AQ16" s="12"/>
      <c r="AR16" s="12"/>
      <c r="AS16" s="12"/>
      <c r="AT16" s="12"/>
      <c r="AU16" s="12"/>
      <c r="AV16" s="12"/>
      <c r="AW16" s="12"/>
      <c r="AX16" s="12"/>
      <c r="AY16" s="12"/>
      <c r="AZ16" s="12"/>
      <c r="BA16" s="12"/>
      <c r="BB16" s="12"/>
      <c r="BC16" s="12"/>
      <c r="BD16" s="12"/>
      <c r="BE16" s="12"/>
      <c r="BF16" s="12"/>
      <c r="BG16" s="12"/>
      <c r="BH16" s="12"/>
      <c r="BI16" s="12"/>
      <c r="BJ16" s="12"/>
      <c r="BK16" s="12"/>
      <c r="BL16" s="12"/>
      <c r="BM16" s="12"/>
      <c r="BN16" s="12"/>
      <c r="BO16" s="12"/>
      <c r="BP16" s="12"/>
      <c r="BQ16" s="12"/>
      <c r="BR16" s="12"/>
      <c r="BS16" s="12"/>
      <c r="BT16" s="12"/>
      <c r="BU16" s="12"/>
      <c r="BV16" s="12"/>
      <c r="BW16" s="12"/>
      <c r="BX16" s="12"/>
      <c r="BY16" s="12"/>
      <c r="BZ16" s="12"/>
      <c r="CA16" s="12"/>
      <c r="CB16" s="12"/>
      <c r="CC16" s="12"/>
      <c r="CD16" s="12"/>
      <c r="CE16" s="12"/>
      <c r="CF16" s="12"/>
      <c r="CG16" s="12"/>
      <c r="CH16" s="12"/>
      <c r="CI16" s="12"/>
      <c r="CJ16" s="12"/>
      <c r="CK16" s="12"/>
      <c r="CL16" s="12"/>
      <c r="CM16" s="12"/>
      <c r="CN16" s="12"/>
      <c r="CO16" s="12"/>
      <c r="CP16" s="12"/>
      <c r="CQ16" s="12"/>
      <c r="CR16" s="12"/>
      <c r="CS16" s="12"/>
      <c r="CT16" s="12"/>
      <c r="CU16" s="12"/>
      <c r="CV16" s="12"/>
      <c r="CW16" s="12"/>
      <c r="CX16" s="12"/>
      <c r="CY16" s="12"/>
      <c r="CZ16" s="12"/>
      <c r="DA16" s="12"/>
      <c r="DB16" s="12"/>
      <c r="DC16" s="12"/>
      <c r="DD16" s="12"/>
    </row>
    <row r="17" ht="22.5" customHeight="1">
      <c r="A17" s="10">
        <v>45982.65844366898</v>
      </c>
      <c r="B17" s="11" t="s">
        <v>164</v>
      </c>
      <c r="C17" s="11" t="s">
        <v>8</v>
      </c>
      <c r="D17" s="12"/>
      <c r="E17" s="12"/>
      <c r="F17" s="12"/>
      <c r="G17" s="12"/>
      <c r="H17" s="12"/>
      <c r="I17" s="12"/>
      <c r="J17" s="12"/>
      <c r="K17" s="12"/>
      <c r="L17" s="12"/>
      <c r="M17" s="12"/>
      <c r="N17" s="12"/>
      <c r="O17" s="12"/>
      <c r="P17" s="12"/>
      <c r="Q17" s="12"/>
      <c r="R17" s="12"/>
      <c r="S17" s="12"/>
      <c r="T17" s="12"/>
      <c r="U17" s="12"/>
      <c r="V17" s="12"/>
      <c r="W17" s="12"/>
      <c r="X17" s="12"/>
      <c r="Y17" s="12"/>
      <c r="Z17" s="12"/>
      <c r="AA17" s="12"/>
      <c r="AB17" s="12"/>
      <c r="AC17" s="12"/>
      <c r="AD17" s="11" t="s">
        <v>132</v>
      </c>
      <c r="AE17" s="11" t="s">
        <v>191</v>
      </c>
      <c r="AF17" s="11" t="s">
        <v>192</v>
      </c>
      <c r="AG17" s="11">
        <v>2024.0</v>
      </c>
      <c r="AH17" s="11" t="s">
        <v>193</v>
      </c>
      <c r="AI17" s="11" t="s">
        <v>189</v>
      </c>
      <c r="AJ17" s="16">
        <v>45330.0</v>
      </c>
      <c r="AK17" s="16">
        <v>45658.0</v>
      </c>
      <c r="AL17" s="11" t="s">
        <v>122</v>
      </c>
      <c r="AM17" s="12"/>
      <c r="AN17" s="15" t="s">
        <v>194</v>
      </c>
      <c r="AO17" s="12"/>
      <c r="AP17" s="12"/>
      <c r="AQ17" s="12"/>
      <c r="AR17" s="12"/>
      <c r="AS17" s="12"/>
      <c r="AT17" s="12"/>
      <c r="AU17" s="12"/>
      <c r="AV17" s="12"/>
      <c r="AW17" s="12"/>
      <c r="AX17" s="12"/>
      <c r="AY17" s="12"/>
      <c r="AZ17" s="12"/>
      <c r="BA17" s="12"/>
      <c r="BB17" s="12"/>
      <c r="BC17" s="12"/>
      <c r="BD17" s="12"/>
      <c r="BE17" s="12"/>
      <c r="BF17" s="12"/>
      <c r="BG17" s="12"/>
      <c r="BH17" s="12"/>
      <c r="BI17" s="12"/>
      <c r="BJ17" s="12"/>
      <c r="BK17" s="12"/>
      <c r="BL17" s="12"/>
      <c r="BM17" s="12"/>
      <c r="BN17" s="12"/>
      <c r="BO17" s="12"/>
      <c r="BP17" s="12"/>
      <c r="BQ17" s="12"/>
      <c r="BR17" s="12"/>
      <c r="BS17" s="12"/>
      <c r="BT17" s="12"/>
      <c r="BU17" s="12"/>
      <c r="BV17" s="12"/>
      <c r="BW17" s="12"/>
      <c r="BX17" s="12"/>
      <c r="BY17" s="12"/>
      <c r="BZ17" s="12"/>
      <c r="CA17" s="12"/>
      <c r="CB17" s="12"/>
      <c r="CC17" s="12"/>
      <c r="CD17" s="12"/>
      <c r="CE17" s="12"/>
      <c r="CF17" s="12"/>
      <c r="CG17" s="12"/>
      <c r="CH17" s="12"/>
      <c r="CI17" s="12"/>
      <c r="CJ17" s="12"/>
      <c r="CK17" s="12"/>
      <c r="CL17" s="12"/>
      <c r="CM17" s="12"/>
      <c r="CN17" s="12"/>
      <c r="CO17" s="12"/>
      <c r="CP17" s="12"/>
      <c r="CQ17" s="12"/>
      <c r="CR17" s="12"/>
      <c r="CS17" s="12"/>
      <c r="CT17" s="12"/>
      <c r="CU17" s="12"/>
      <c r="CV17" s="12"/>
      <c r="CW17" s="12"/>
      <c r="CX17" s="12"/>
      <c r="CY17" s="12"/>
      <c r="CZ17" s="12"/>
      <c r="DA17" s="12"/>
      <c r="DB17" s="12"/>
      <c r="DC17" s="12"/>
      <c r="DD17" s="12"/>
    </row>
    <row r="18" ht="22.5" customHeight="1">
      <c r="A18" s="10">
        <v>45982.659873321754</v>
      </c>
      <c r="B18" s="11" t="s">
        <v>164</v>
      </c>
      <c r="C18" s="11" t="s">
        <v>8</v>
      </c>
      <c r="D18" s="12"/>
      <c r="E18" s="12"/>
      <c r="F18" s="12"/>
      <c r="G18" s="12"/>
      <c r="H18" s="12"/>
      <c r="I18" s="12"/>
      <c r="J18" s="12"/>
      <c r="K18" s="12"/>
      <c r="L18" s="12"/>
      <c r="M18" s="12"/>
      <c r="N18" s="12"/>
      <c r="O18" s="12"/>
      <c r="P18" s="12"/>
      <c r="Q18" s="12"/>
      <c r="R18" s="12"/>
      <c r="S18" s="12"/>
      <c r="T18" s="12"/>
      <c r="U18" s="12"/>
      <c r="V18" s="12"/>
      <c r="W18" s="12"/>
      <c r="X18" s="12"/>
      <c r="Y18" s="12"/>
      <c r="Z18" s="12"/>
      <c r="AA18" s="12"/>
      <c r="AB18" s="12"/>
      <c r="AC18" s="12"/>
      <c r="AD18" s="11" t="s">
        <v>132</v>
      </c>
      <c r="AE18" s="11" t="s">
        <v>195</v>
      </c>
      <c r="AF18" s="11" t="s">
        <v>196</v>
      </c>
      <c r="AG18" s="11">
        <v>2024.0</v>
      </c>
      <c r="AH18" s="11" t="s">
        <v>197</v>
      </c>
      <c r="AI18" s="11" t="s">
        <v>198</v>
      </c>
      <c r="AJ18" s="16">
        <v>45332.0</v>
      </c>
      <c r="AK18" s="16">
        <v>45691.0</v>
      </c>
      <c r="AL18" s="11" t="s">
        <v>122</v>
      </c>
      <c r="AM18" s="12"/>
      <c r="AN18" s="15" t="s">
        <v>199</v>
      </c>
      <c r="AO18" s="12"/>
      <c r="AP18" s="12"/>
      <c r="AQ18" s="12"/>
      <c r="AR18" s="12"/>
      <c r="AS18" s="12"/>
      <c r="AT18" s="12"/>
      <c r="AU18" s="12"/>
      <c r="AV18" s="12"/>
      <c r="AW18" s="12"/>
      <c r="AX18" s="12"/>
      <c r="AY18" s="12"/>
      <c r="AZ18" s="12"/>
      <c r="BA18" s="12"/>
      <c r="BB18" s="12"/>
      <c r="BC18" s="12"/>
      <c r="BD18" s="12"/>
      <c r="BE18" s="12"/>
      <c r="BF18" s="12"/>
      <c r="BG18" s="12"/>
      <c r="BH18" s="12"/>
      <c r="BI18" s="12"/>
      <c r="BJ18" s="12"/>
      <c r="BK18" s="12"/>
      <c r="BL18" s="12"/>
      <c r="BM18" s="12"/>
      <c r="BN18" s="12"/>
      <c r="BO18" s="12"/>
      <c r="BP18" s="12"/>
      <c r="BQ18" s="12"/>
      <c r="BR18" s="12"/>
      <c r="BS18" s="12"/>
      <c r="BT18" s="12"/>
      <c r="BU18" s="12"/>
      <c r="BV18" s="12"/>
      <c r="BW18" s="12"/>
      <c r="BX18" s="12"/>
      <c r="BY18" s="12"/>
      <c r="BZ18" s="12"/>
      <c r="CA18" s="12"/>
      <c r="CB18" s="12"/>
      <c r="CC18" s="12"/>
      <c r="CD18" s="12"/>
      <c r="CE18" s="12"/>
      <c r="CF18" s="12"/>
      <c r="CG18" s="12"/>
      <c r="CH18" s="12"/>
      <c r="CI18" s="12"/>
      <c r="CJ18" s="12"/>
      <c r="CK18" s="12"/>
      <c r="CL18" s="12"/>
      <c r="CM18" s="12"/>
      <c r="CN18" s="12"/>
      <c r="CO18" s="12"/>
      <c r="CP18" s="12"/>
      <c r="CQ18" s="12"/>
      <c r="CR18" s="12"/>
      <c r="CS18" s="12"/>
      <c r="CT18" s="12"/>
      <c r="CU18" s="12"/>
      <c r="CV18" s="12"/>
      <c r="CW18" s="12"/>
      <c r="CX18" s="12"/>
      <c r="CY18" s="12"/>
      <c r="CZ18" s="12"/>
      <c r="DA18" s="12"/>
      <c r="DB18" s="12"/>
      <c r="DC18" s="12"/>
      <c r="DD18" s="12"/>
    </row>
    <row r="19" ht="22.5" customHeight="1">
      <c r="A19" s="10">
        <v>45982.66104511574</v>
      </c>
      <c r="B19" s="11" t="s">
        <v>164</v>
      </c>
      <c r="C19" s="11" t="s">
        <v>8</v>
      </c>
      <c r="D19" s="12"/>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1" t="s">
        <v>132</v>
      </c>
      <c r="AE19" s="11" t="s">
        <v>200</v>
      </c>
      <c r="AF19" s="11" t="s">
        <v>201</v>
      </c>
      <c r="AG19" s="11">
        <v>2025.0</v>
      </c>
      <c r="AH19" s="11" t="s">
        <v>202</v>
      </c>
      <c r="AI19" s="11" t="s">
        <v>203</v>
      </c>
      <c r="AJ19" s="16">
        <v>45689.0</v>
      </c>
      <c r="AK19" s="16">
        <v>45721.0</v>
      </c>
      <c r="AL19" s="11" t="s">
        <v>122</v>
      </c>
      <c r="AM19" s="12"/>
      <c r="AN19" s="15" t="s">
        <v>204</v>
      </c>
      <c r="AO19" s="12"/>
      <c r="AP19" s="12"/>
      <c r="AQ19" s="12"/>
      <c r="AR19" s="12"/>
      <c r="AS19" s="12"/>
      <c r="AT19" s="12"/>
      <c r="AU19" s="12"/>
      <c r="AV19" s="12"/>
      <c r="AW19" s="12"/>
      <c r="AX19" s="12"/>
      <c r="AY19" s="12"/>
      <c r="AZ19" s="12"/>
      <c r="BA19" s="12"/>
      <c r="BB19" s="12"/>
      <c r="BC19" s="12"/>
      <c r="BD19" s="12"/>
      <c r="BE19" s="12"/>
      <c r="BF19" s="12"/>
      <c r="BG19" s="12"/>
      <c r="BH19" s="12"/>
      <c r="BI19" s="12"/>
      <c r="BJ19" s="12"/>
      <c r="BK19" s="12"/>
      <c r="BL19" s="12"/>
      <c r="BM19" s="12"/>
      <c r="BN19" s="12"/>
      <c r="BO19" s="12"/>
      <c r="BP19" s="12"/>
      <c r="BQ19" s="12"/>
      <c r="BR19" s="12"/>
      <c r="BS19" s="12"/>
      <c r="BT19" s="12"/>
      <c r="BU19" s="12"/>
      <c r="BV19" s="12"/>
      <c r="BW19" s="12"/>
      <c r="BX19" s="12"/>
      <c r="BY19" s="12"/>
      <c r="BZ19" s="12"/>
      <c r="CA19" s="12"/>
      <c r="CB19" s="12"/>
      <c r="CC19" s="12"/>
      <c r="CD19" s="12"/>
      <c r="CE19" s="12"/>
      <c r="CF19" s="12"/>
      <c r="CG19" s="12"/>
      <c r="CH19" s="12"/>
      <c r="CI19" s="12"/>
      <c r="CJ19" s="12"/>
      <c r="CK19" s="12"/>
      <c r="CL19" s="12"/>
      <c r="CM19" s="12"/>
      <c r="CN19" s="12"/>
      <c r="CO19" s="12"/>
      <c r="CP19" s="12"/>
      <c r="CQ19" s="12"/>
      <c r="CR19" s="12"/>
      <c r="CS19" s="12"/>
      <c r="CT19" s="12"/>
      <c r="CU19" s="12"/>
      <c r="CV19" s="12"/>
      <c r="CW19" s="12"/>
      <c r="CX19" s="12"/>
      <c r="CY19" s="12"/>
      <c r="CZ19" s="12"/>
      <c r="DA19" s="12"/>
      <c r="DB19" s="12"/>
      <c r="DC19" s="12"/>
      <c r="DD19" s="12"/>
    </row>
    <row r="20" ht="22.5" customHeight="1">
      <c r="A20" s="10">
        <v>45982.66221207176</v>
      </c>
      <c r="B20" s="11" t="s">
        <v>164</v>
      </c>
      <c r="C20" s="11" t="s">
        <v>8</v>
      </c>
      <c r="D20" s="12"/>
      <c r="E20" s="12"/>
      <c r="F20" s="12"/>
      <c r="G20" s="12"/>
      <c r="H20" s="12"/>
      <c r="I20" s="12"/>
      <c r="J20" s="12"/>
      <c r="K20" s="12"/>
      <c r="L20" s="12"/>
      <c r="M20" s="12"/>
      <c r="N20" s="12"/>
      <c r="O20" s="12"/>
      <c r="P20" s="12"/>
      <c r="Q20" s="12"/>
      <c r="R20" s="12"/>
      <c r="S20" s="12"/>
      <c r="T20" s="12"/>
      <c r="U20" s="12"/>
      <c r="V20" s="12"/>
      <c r="W20" s="12"/>
      <c r="X20" s="12"/>
      <c r="Y20" s="12"/>
      <c r="Z20" s="12"/>
      <c r="AA20" s="12"/>
      <c r="AB20" s="12"/>
      <c r="AC20" s="12"/>
      <c r="AD20" s="11" t="s">
        <v>132</v>
      </c>
      <c r="AE20" s="11" t="s">
        <v>203</v>
      </c>
      <c r="AF20" s="11" t="s">
        <v>201</v>
      </c>
      <c r="AG20" s="11">
        <v>2025.0</v>
      </c>
      <c r="AH20" s="11" t="s">
        <v>205</v>
      </c>
      <c r="AI20" s="11" t="s">
        <v>203</v>
      </c>
      <c r="AJ20" s="16">
        <v>45658.0</v>
      </c>
      <c r="AK20" s="16">
        <v>45721.0</v>
      </c>
      <c r="AL20" s="11" t="s">
        <v>122</v>
      </c>
      <c r="AM20" s="12"/>
      <c r="AN20" s="15" t="s">
        <v>206</v>
      </c>
      <c r="AO20" s="12"/>
      <c r="AP20" s="12"/>
      <c r="AQ20" s="12"/>
      <c r="AR20" s="12"/>
      <c r="AS20" s="12"/>
      <c r="AT20" s="12"/>
      <c r="AU20" s="12"/>
      <c r="AV20" s="12"/>
      <c r="AW20" s="12"/>
      <c r="AX20" s="12"/>
      <c r="AY20" s="12"/>
      <c r="AZ20" s="12"/>
      <c r="BA20" s="12"/>
      <c r="BB20" s="12"/>
      <c r="BC20" s="12"/>
      <c r="BD20" s="12"/>
      <c r="BE20" s="12"/>
      <c r="BF20" s="12"/>
      <c r="BG20" s="12"/>
      <c r="BH20" s="12"/>
      <c r="BI20" s="12"/>
      <c r="BJ20" s="12"/>
      <c r="BK20" s="12"/>
      <c r="BL20" s="12"/>
      <c r="BM20" s="12"/>
      <c r="BN20" s="12"/>
      <c r="BO20" s="12"/>
      <c r="BP20" s="12"/>
      <c r="BQ20" s="12"/>
      <c r="BR20" s="12"/>
      <c r="BS20" s="12"/>
      <c r="BT20" s="12"/>
      <c r="BU20" s="12"/>
      <c r="BV20" s="12"/>
      <c r="BW20" s="12"/>
      <c r="BX20" s="12"/>
      <c r="BY20" s="12"/>
      <c r="BZ20" s="12"/>
      <c r="CA20" s="12"/>
      <c r="CB20" s="12"/>
      <c r="CC20" s="12"/>
      <c r="CD20" s="12"/>
      <c r="CE20" s="12"/>
      <c r="CF20" s="12"/>
      <c r="CG20" s="12"/>
      <c r="CH20" s="12"/>
      <c r="CI20" s="12"/>
      <c r="CJ20" s="12"/>
      <c r="CK20" s="12"/>
      <c r="CL20" s="12"/>
      <c r="CM20" s="12"/>
      <c r="CN20" s="12"/>
      <c r="CO20" s="12"/>
      <c r="CP20" s="12"/>
      <c r="CQ20" s="12"/>
      <c r="CR20" s="12"/>
      <c r="CS20" s="12"/>
      <c r="CT20" s="12"/>
      <c r="CU20" s="12"/>
      <c r="CV20" s="12"/>
      <c r="CW20" s="12"/>
      <c r="CX20" s="12"/>
      <c r="CY20" s="12"/>
      <c r="CZ20" s="12"/>
      <c r="DA20" s="12"/>
      <c r="DB20" s="12"/>
      <c r="DC20" s="12"/>
      <c r="DD20" s="12"/>
    </row>
    <row r="21" ht="22.5" customHeight="1">
      <c r="A21" s="10">
        <v>45982.91308565972</v>
      </c>
      <c r="B21" s="11" t="s">
        <v>207</v>
      </c>
      <c r="C21" s="11" t="s">
        <v>6</v>
      </c>
      <c r="D21" s="12"/>
      <c r="E21" s="12"/>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c r="AE21" s="12"/>
      <c r="AF21" s="12"/>
      <c r="AG21" s="12"/>
      <c r="AH21" s="12"/>
      <c r="AI21" s="12"/>
      <c r="AJ21" s="12"/>
      <c r="AK21" s="12"/>
      <c r="AL21" s="12"/>
      <c r="AM21" s="12"/>
      <c r="AN21" s="12"/>
      <c r="AO21" s="12"/>
      <c r="AP21" s="12"/>
      <c r="AQ21" s="12"/>
      <c r="AR21" s="12"/>
      <c r="AS21" s="12"/>
      <c r="AT21" s="12"/>
      <c r="AU21" s="12"/>
      <c r="AV21" s="12"/>
      <c r="AW21" s="12"/>
      <c r="AX21" s="12"/>
      <c r="AY21" s="12"/>
      <c r="AZ21" s="16">
        <v>45685.0</v>
      </c>
      <c r="BA21" s="11" t="s">
        <v>151</v>
      </c>
      <c r="BB21" s="11" t="s">
        <v>208</v>
      </c>
      <c r="BC21" s="11" t="s">
        <v>209</v>
      </c>
      <c r="BD21" s="16">
        <v>46414.0</v>
      </c>
      <c r="BE21" s="11" t="s">
        <v>122</v>
      </c>
      <c r="BF21" s="11" t="s">
        <v>210</v>
      </c>
      <c r="BG21" s="11" t="s">
        <v>211</v>
      </c>
      <c r="BH21" s="11" t="s">
        <v>212</v>
      </c>
      <c r="BI21" s="11" t="s">
        <v>213</v>
      </c>
      <c r="BJ21" s="11" t="s">
        <v>214</v>
      </c>
      <c r="BK21" s="15" t="s">
        <v>215</v>
      </c>
      <c r="BL21" s="12"/>
      <c r="BM21" s="12"/>
      <c r="BN21" s="12"/>
      <c r="BO21" s="12"/>
      <c r="BP21" s="12"/>
      <c r="BQ21" s="12"/>
      <c r="BR21" s="12"/>
      <c r="BS21" s="12"/>
      <c r="BT21" s="12"/>
      <c r="BU21" s="12"/>
      <c r="BV21" s="12"/>
      <c r="BW21" s="12"/>
      <c r="BX21" s="12"/>
      <c r="BY21" s="12"/>
      <c r="BZ21" s="12"/>
      <c r="CA21" s="12"/>
      <c r="CB21" s="12"/>
      <c r="CC21" s="12"/>
      <c r="CD21" s="12"/>
      <c r="CE21" s="12"/>
      <c r="CF21" s="12"/>
      <c r="CG21" s="12"/>
      <c r="CH21" s="12"/>
      <c r="CI21" s="12"/>
      <c r="CJ21" s="12"/>
      <c r="CK21" s="12"/>
      <c r="CL21" s="12"/>
      <c r="CM21" s="12"/>
      <c r="CN21" s="12"/>
      <c r="CO21" s="12"/>
      <c r="CP21" s="12"/>
      <c r="CQ21" s="12"/>
      <c r="CR21" s="12"/>
      <c r="CS21" s="12"/>
      <c r="CT21" s="12"/>
      <c r="CU21" s="12"/>
      <c r="CV21" s="12"/>
      <c r="CW21" s="12"/>
      <c r="CX21" s="12"/>
      <c r="CY21" s="12"/>
      <c r="CZ21" s="12"/>
      <c r="DA21" s="12"/>
      <c r="DB21" s="12"/>
      <c r="DC21" s="12"/>
      <c r="DD21" s="12"/>
    </row>
    <row r="22" ht="22.5" customHeight="1">
      <c r="A22" s="10">
        <v>45982.91841063657</v>
      </c>
      <c r="B22" s="11" t="s">
        <v>207</v>
      </c>
      <c r="C22" s="11" t="s">
        <v>6</v>
      </c>
      <c r="D22" s="12"/>
      <c r="E22" s="12"/>
      <c r="F22" s="12"/>
      <c r="G22" s="12"/>
      <c r="H22" s="12"/>
      <c r="I22" s="12"/>
      <c r="J22" s="12"/>
      <c r="K22" s="12"/>
      <c r="L22" s="12"/>
      <c r="M22" s="12"/>
      <c r="N22" s="12"/>
      <c r="O22" s="12"/>
      <c r="P22" s="12"/>
      <c r="Q22" s="12"/>
      <c r="R22" s="12"/>
      <c r="S22" s="12"/>
      <c r="T22" s="12"/>
      <c r="U22" s="12"/>
      <c r="V22" s="12"/>
      <c r="W22" s="12"/>
      <c r="X22" s="12"/>
      <c r="Y22" s="12"/>
      <c r="Z22" s="12"/>
      <c r="AA22" s="12"/>
      <c r="AB22" s="12"/>
      <c r="AC22" s="12"/>
      <c r="AD22" s="12"/>
      <c r="AE22" s="12"/>
      <c r="AF22" s="12"/>
      <c r="AG22" s="12"/>
      <c r="AH22" s="12"/>
      <c r="AI22" s="12"/>
      <c r="AJ22" s="12"/>
      <c r="AK22" s="12"/>
      <c r="AL22" s="12"/>
      <c r="AM22" s="12"/>
      <c r="AN22" s="12"/>
      <c r="AO22" s="12"/>
      <c r="AP22" s="12"/>
      <c r="AQ22" s="12"/>
      <c r="AR22" s="12"/>
      <c r="AS22" s="12"/>
      <c r="AT22" s="12"/>
      <c r="AU22" s="12"/>
      <c r="AV22" s="12"/>
      <c r="AW22" s="12"/>
      <c r="AX22" s="12"/>
      <c r="AY22" s="12"/>
      <c r="AZ22" s="16">
        <v>45778.0</v>
      </c>
      <c r="BA22" s="11" t="s">
        <v>151</v>
      </c>
      <c r="BB22" s="11" t="s">
        <v>216</v>
      </c>
      <c r="BC22" s="11" t="s">
        <v>217</v>
      </c>
      <c r="BD22" s="16">
        <v>45769.0</v>
      </c>
      <c r="BE22" s="11" t="s">
        <v>122</v>
      </c>
      <c r="BF22" s="11" t="s">
        <v>218</v>
      </c>
      <c r="BG22" s="11" t="s">
        <v>219</v>
      </c>
      <c r="BH22" s="11" t="s">
        <v>212</v>
      </c>
      <c r="BI22" s="11" t="s">
        <v>220</v>
      </c>
      <c r="BJ22" s="11" t="s">
        <v>214</v>
      </c>
      <c r="BK22" s="15" t="s">
        <v>221</v>
      </c>
      <c r="BL22" s="12"/>
      <c r="BM22" s="12"/>
      <c r="BN22" s="12"/>
      <c r="BO22" s="12"/>
      <c r="BP22" s="12"/>
      <c r="BQ22" s="12"/>
      <c r="BR22" s="12"/>
      <c r="BS22" s="12"/>
      <c r="BT22" s="12"/>
      <c r="BU22" s="12"/>
      <c r="BV22" s="12"/>
      <c r="BW22" s="12"/>
      <c r="BX22" s="12"/>
      <c r="BY22" s="12"/>
      <c r="BZ22" s="12"/>
      <c r="CA22" s="12"/>
      <c r="CB22" s="12"/>
      <c r="CC22" s="12"/>
      <c r="CD22" s="12"/>
      <c r="CE22" s="12"/>
      <c r="CF22" s="12"/>
      <c r="CG22" s="12"/>
      <c r="CH22" s="12"/>
      <c r="CI22" s="12"/>
      <c r="CJ22" s="12"/>
      <c r="CK22" s="12"/>
      <c r="CL22" s="12"/>
      <c r="CM22" s="12"/>
      <c r="CN22" s="12"/>
      <c r="CO22" s="12"/>
      <c r="CP22" s="12"/>
      <c r="CQ22" s="12"/>
      <c r="CR22" s="12"/>
      <c r="CS22" s="12"/>
      <c r="CT22" s="12"/>
      <c r="CU22" s="12"/>
      <c r="CV22" s="12"/>
      <c r="CW22" s="12"/>
      <c r="CX22" s="12"/>
      <c r="CY22" s="12"/>
      <c r="CZ22" s="12"/>
      <c r="DA22" s="12"/>
      <c r="DB22" s="12"/>
      <c r="DC22" s="12"/>
      <c r="DD22" s="12"/>
    </row>
    <row r="23" ht="22.5" customHeight="1">
      <c r="A23" s="10">
        <v>45982.931338599534</v>
      </c>
      <c r="B23" s="11" t="s">
        <v>207</v>
      </c>
      <c r="C23" s="11" t="s">
        <v>6</v>
      </c>
      <c r="D23" s="12"/>
      <c r="E23" s="12"/>
      <c r="F23" s="12"/>
      <c r="G23" s="12"/>
      <c r="H23" s="12"/>
      <c r="I23" s="12"/>
      <c r="J23" s="12"/>
      <c r="K23" s="12"/>
      <c r="L23" s="12"/>
      <c r="M23" s="12"/>
      <c r="N23" s="12"/>
      <c r="O23" s="12"/>
      <c r="P23" s="12"/>
      <c r="Q23" s="12"/>
      <c r="R23" s="12"/>
      <c r="S23" s="12"/>
      <c r="T23" s="12"/>
      <c r="U23" s="12"/>
      <c r="V23" s="12"/>
      <c r="W23" s="12"/>
      <c r="X23" s="12"/>
      <c r="Y23" s="12"/>
      <c r="Z23" s="12"/>
      <c r="AA23" s="12"/>
      <c r="AB23" s="12"/>
      <c r="AC23" s="12"/>
      <c r="AD23" s="12"/>
      <c r="AE23" s="12"/>
      <c r="AF23" s="12"/>
      <c r="AG23" s="12"/>
      <c r="AH23" s="12"/>
      <c r="AI23" s="12"/>
      <c r="AJ23" s="12"/>
      <c r="AK23" s="12"/>
      <c r="AL23" s="12"/>
      <c r="AM23" s="12"/>
      <c r="AN23" s="12"/>
      <c r="AO23" s="12"/>
      <c r="AP23" s="12"/>
      <c r="AQ23" s="12"/>
      <c r="AR23" s="12"/>
      <c r="AS23" s="12"/>
      <c r="AT23" s="12"/>
      <c r="AU23" s="12"/>
      <c r="AV23" s="12"/>
      <c r="AW23" s="12"/>
      <c r="AX23" s="12"/>
      <c r="AY23" s="12"/>
      <c r="AZ23" s="16">
        <v>45756.0</v>
      </c>
      <c r="BA23" s="11" t="s">
        <v>151</v>
      </c>
      <c r="BB23" s="11" t="s">
        <v>222</v>
      </c>
      <c r="BC23" s="11" t="s">
        <v>217</v>
      </c>
      <c r="BD23" s="16">
        <v>45904.0</v>
      </c>
      <c r="BE23" s="11" t="s">
        <v>223</v>
      </c>
      <c r="BF23" s="11" t="s">
        <v>224</v>
      </c>
      <c r="BG23" s="11" t="s">
        <v>225</v>
      </c>
      <c r="BH23" s="11" t="s">
        <v>212</v>
      </c>
      <c r="BI23" s="11" t="s">
        <v>226</v>
      </c>
      <c r="BJ23" s="11" t="s">
        <v>227</v>
      </c>
      <c r="BK23" s="15" t="s">
        <v>228</v>
      </c>
      <c r="BL23" s="12"/>
      <c r="BM23" s="12"/>
      <c r="BN23" s="12"/>
      <c r="BO23" s="12"/>
      <c r="BP23" s="12"/>
      <c r="BQ23" s="12"/>
      <c r="BR23" s="12"/>
      <c r="BS23" s="12"/>
      <c r="BT23" s="12"/>
      <c r="BU23" s="12"/>
      <c r="BV23" s="12"/>
      <c r="BW23" s="12"/>
      <c r="BX23" s="12"/>
      <c r="BY23" s="12"/>
      <c r="BZ23" s="12"/>
      <c r="CA23" s="12"/>
      <c r="CB23" s="12"/>
      <c r="CC23" s="12"/>
      <c r="CD23" s="12"/>
      <c r="CE23" s="12"/>
      <c r="CF23" s="12"/>
      <c r="CG23" s="12"/>
      <c r="CH23" s="12"/>
      <c r="CI23" s="12"/>
      <c r="CJ23" s="12"/>
      <c r="CK23" s="12"/>
      <c r="CL23" s="12"/>
      <c r="CM23" s="12"/>
      <c r="CN23" s="12"/>
      <c r="CO23" s="12"/>
      <c r="CP23" s="12"/>
      <c r="CQ23" s="12"/>
      <c r="CR23" s="12"/>
      <c r="CS23" s="12"/>
      <c r="CT23" s="12"/>
      <c r="CU23" s="12"/>
      <c r="CV23" s="12"/>
      <c r="CW23" s="12"/>
      <c r="CX23" s="12"/>
      <c r="CY23" s="12"/>
      <c r="CZ23" s="12"/>
      <c r="DA23" s="12"/>
      <c r="DB23" s="12"/>
      <c r="DC23" s="12"/>
      <c r="DD23" s="12"/>
    </row>
    <row r="24" ht="22.5" customHeight="1">
      <c r="A24" s="10">
        <v>45982.937915891205</v>
      </c>
      <c r="B24" s="11" t="s">
        <v>207</v>
      </c>
      <c r="C24" s="11" t="s">
        <v>6</v>
      </c>
      <c r="D24" s="12"/>
      <c r="E24" s="12"/>
      <c r="F24" s="12"/>
      <c r="G24" s="12"/>
      <c r="H24" s="12"/>
      <c r="I24" s="12"/>
      <c r="J24" s="12"/>
      <c r="K24" s="12"/>
      <c r="L24" s="12"/>
      <c r="M24" s="12"/>
      <c r="N24" s="12"/>
      <c r="O24" s="12"/>
      <c r="P24" s="12"/>
      <c r="Q24" s="12"/>
      <c r="R24" s="12"/>
      <c r="S24" s="12"/>
      <c r="T24" s="12"/>
      <c r="U24" s="12"/>
      <c r="V24" s="12"/>
      <c r="W24" s="12"/>
      <c r="X24" s="12"/>
      <c r="Y24" s="12"/>
      <c r="Z24" s="12"/>
      <c r="AA24" s="12"/>
      <c r="AB24" s="12"/>
      <c r="AC24" s="12"/>
      <c r="AD24" s="12"/>
      <c r="AE24" s="12"/>
      <c r="AF24" s="12"/>
      <c r="AG24" s="12"/>
      <c r="AH24" s="12"/>
      <c r="AI24" s="12"/>
      <c r="AJ24" s="12"/>
      <c r="AK24" s="12"/>
      <c r="AL24" s="12"/>
      <c r="AM24" s="12"/>
      <c r="AN24" s="12"/>
      <c r="AO24" s="12"/>
      <c r="AP24" s="12"/>
      <c r="AQ24" s="12"/>
      <c r="AR24" s="12"/>
      <c r="AS24" s="12"/>
      <c r="AT24" s="12"/>
      <c r="AU24" s="12"/>
      <c r="AV24" s="12"/>
      <c r="AW24" s="12"/>
      <c r="AX24" s="12"/>
      <c r="AY24" s="12"/>
      <c r="AZ24" s="16">
        <v>45819.0</v>
      </c>
      <c r="BA24" s="11" t="s">
        <v>151</v>
      </c>
      <c r="BB24" s="11" t="s">
        <v>229</v>
      </c>
      <c r="BC24" s="11" t="s">
        <v>230</v>
      </c>
      <c r="BD24" s="16">
        <v>45769.0</v>
      </c>
      <c r="BE24" s="11" t="s">
        <v>223</v>
      </c>
      <c r="BF24" s="11" t="s">
        <v>231</v>
      </c>
      <c r="BG24" s="11" t="s">
        <v>232</v>
      </c>
      <c r="BH24" s="11" t="s">
        <v>212</v>
      </c>
      <c r="BI24" s="11" t="s">
        <v>233</v>
      </c>
      <c r="BJ24" s="11" t="s">
        <v>214</v>
      </c>
      <c r="BK24" s="15" t="s">
        <v>234</v>
      </c>
      <c r="BL24" s="12"/>
      <c r="BM24" s="12"/>
      <c r="BN24" s="12"/>
      <c r="BO24" s="12"/>
      <c r="BP24" s="12"/>
      <c r="BQ24" s="12"/>
      <c r="BR24" s="12"/>
      <c r="BS24" s="12"/>
      <c r="BT24" s="12"/>
      <c r="BU24" s="12"/>
      <c r="BV24" s="12"/>
      <c r="BW24" s="12"/>
      <c r="BX24" s="12"/>
      <c r="BY24" s="12"/>
      <c r="BZ24" s="12"/>
      <c r="CA24" s="12"/>
      <c r="CB24" s="12"/>
      <c r="CC24" s="12"/>
      <c r="CD24" s="12"/>
      <c r="CE24" s="12"/>
      <c r="CF24" s="12"/>
      <c r="CG24" s="12"/>
      <c r="CH24" s="12"/>
      <c r="CI24" s="12"/>
      <c r="CJ24" s="12"/>
      <c r="CK24" s="12"/>
      <c r="CL24" s="12"/>
      <c r="CM24" s="12"/>
      <c r="CN24" s="12"/>
      <c r="CO24" s="12"/>
      <c r="CP24" s="12"/>
      <c r="CQ24" s="12"/>
      <c r="CR24" s="12"/>
      <c r="CS24" s="12"/>
      <c r="CT24" s="12"/>
      <c r="CU24" s="12"/>
      <c r="CV24" s="12"/>
      <c r="CW24" s="12"/>
      <c r="CX24" s="12"/>
      <c r="CY24" s="12"/>
      <c r="CZ24" s="12"/>
      <c r="DA24" s="12"/>
      <c r="DB24" s="12"/>
      <c r="DC24" s="12"/>
      <c r="DD24" s="12"/>
    </row>
    <row r="25" ht="22.5" customHeight="1">
      <c r="A25" s="10">
        <v>45982.94225862269</v>
      </c>
      <c r="B25" s="11" t="s">
        <v>207</v>
      </c>
      <c r="C25" s="11" t="s">
        <v>6</v>
      </c>
      <c r="D25" s="12"/>
      <c r="E25" s="12"/>
      <c r="F25" s="12"/>
      <c r="G25" s="12"/>
      <c r="H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c r="AH25" s="12"/>
      <c r="AI25" s="12"/>
      <c r="AJ25" s="12"/>
      <c r="AK25" s="12"/>
      <c r="AL25" s="12"/>
      <c r="AM25" s="12"/>
      <c r="AN25" s="12"/>
      <c r="AO25" s="12"/>
      <c r="AP25" s="12"/>
      <c r="AQ25" s="12"/>
      <c r="AR25" s="12"/>
      <c r="AS25" s="12"/>
      <c r="AT25" s="12"/>
      <c r="AU25" s="12"/>
      <c r="AV25" s="12"/>
      <c r="AW25" s="12"/>
      <c r="AX25" s="12"/>
      <c r="AY25" s="12"/>
      <c r="AZ25" s="16">
        <v>45903.0</v>
      </c>
      <c r="BA25" s="11" t="s">
        <v>151</v>
      </c>
      <c r="BB25" s="11" t="s">
        <v>235</v>
      </c>
      <c r="BC25" s="11" t="s">
        <v>217</v>
      </c>
      <c r="BD25" s="16">
        <v>45904.0</v>
      </c>
      <c r="BE25" s="11" t="s">
        <v>223</v>
      </c>
      <c r="BF25" s="11" t="s">
        <v>236</v>
      </c>
      <c r="BG25" s="15" t="s">
        <v>237</v>
      </c>
      <c r="BH25" s="11" t="s">
        <v>212</v>
      </c>
      <c r="BI25" s="11" t="s">
        <v>233</v>
      </c>
      <c r="BJ25" s="11" t="s">
        <v>214</v>
      </c>
      <c r="BK25" s="15" t="s">
        <v>238</v>
      </c>
      <c r="BL25" s="12"/>
      <c r="BM25" s="12"/>
      <c r="BN25" s="12"/>
      <c r="BO25" s="12"/>
      <c r="BP25" s="12"/>
      <c r="BQ25" s="12"/>
      <c r="BR25" s="12"/>
      <c r="BS25" s="12"/>
      <c r="BT25" s="12"/>
      <c r="BU25" s="12"/>
      <c r="BV25" s="12"/>
      <c r="BW25" s="12"/>
      <c r="BX25" s="12"/>
      <c r="BY25" s="12"/>
      <c r="BZ25" s="12"/>
      <c r="CA25" s="12"/>
      <c r="CB25" s="12"/>
      <c r="CC25" s="12"/>
      <c r="CD25" s="12"/>
      <c r="CE25" s="12"/>
      <c r="CF25" s="12"/>
      <c r="CG25" s="12"/>
      <c r="CH25" s="12"/>
      <c r="CI25" s="12"/>
      <c r="CJ25" s="12"/>
      <c r="CK25" s="12"/>
      <c r="CL25" s="12"/>
      <c r="CM25" s="12"/>
      <c r="CN25" s="12"/>
      <c r="CO25" s="12"/>
      <c r="CP25" s="12"/>
      <c r="CQ25" s="12"/>
      <c r="CR25" s="12"/>
      <c r="CS25" s="12"/>
      <c r="CT25" s="12"/>
      <c r="CU25" s="12"/>
      <c r="CV25" s="12"/>
      <c r="CW25" s="12"/>
      <c r="CX25" s="12"/>
      <c r="CY25" s="12"/>
      <c r="CZ25" s="12"/>
      <c r="DA25" s="12"/>
      <c r="DB25" s="12"/>
      <c r="DC25" s="12"/>
      <c r="DD25" s="12"/>
    </row>
    <row r="26" ht="22.5" customHeight="1">
      <c r="A26" s="10">
        <v>45982.9500753125</v>
      </c>
      <c r="B26" s="11" t="s">
        <v>207</v>
      </c>
      <c r="C26" s="11" t="s">
        <v>6</v>
      </c>
      <c r="D26" s="12"/>
      <c r="E26" s="12"/>
      <c r="F26" s="12"/>
      <c r="G26" s="12"/>
      <c r="H26" s="12"/>
      <c r="I26" s="12"/>
      <c r="J26" s="12"/>
      <c r="K26" s="12"/>
      <c r="L26" s="12"/>
      <c r="M26" s="12"/>
      <c r="N26" s="12"/>
      <c r="O26" s="12"/>
      <c r="P26" s="12"/>
      <c r="Q26" s="12"/>
      <c r="R26" s="12"/>
      <c r="S26" s="12"/>
      <c r="T26" s="12"/>
      <c r="U26" s="12"/>
      <c r="V26" s="12"/>
      <c r="W26" s="12"/>
      <c r="X26" s="12"/>
      <c r="Y26" s="12"/>
      <c r="Z26" s="12"/>
      <c r="AA26" s="12"/>
      <c r="AB26" s="12"/>
      <c r="AC26" s="12"/>
      <c r="AD26" s="12"/>
      <c r="AE26" s="12"/>
      <c r="AF26" s="12"/>
      <c r="AG26" s="12"/>
      <c r="AH26" s="12"/>
      <c r="AI26" s="12"/>
      <c r="AJ26" s="12"/>
      <c r="AK26" s="12"/>
      <c r="AL26" s="12"/>
      <c r="AM26" s="12"/>
      <c r="AN26" s="12"/>
      <c r="AO26" s="12"/>
      <c r="AP26" s="12"/>
      <c r="AQ26" s="12"/>
      <c r="AR26" s="12"/>
      <c r="AS26" s="12"/>
      <c r="AT26" s="12"/>
      <c r="AU26" s="12"/>
      <c r="AV26" s="12"/>
      <c r="AW26" s="12"/>
      <c r="AX26" s="12"/>
      <c r="AY26" s="12"/>
      <c r="AZ26" s="16">
        <v>45306.0</v>
      </c>
      <c r="BA26" s="11" t="s">
        <v>151</v>
      </c>
      <c r="BB26" s="11" t="s">
        <v>239</v>
      </c>
      <c r="BC26" s="11" t="s">
        <v>217</v>
      </c>
      <c r="BD26" s="16">
        <v>45314.0</v>
      </c>
      <c r="BE26" s="11" t="s">
        <v>122</v>
      </c>
      <c r="BF26" s="11" t="s">
        <v>240</v>
      </c>
      <c r="BG26" s="11" t="s">
        <v>241</v>
      </c>
      <c r="BH26" s="11" t="s">
        <v>212</v>
      </c>
      <c r="BI26" s="11" t="s">
        <v>233</v>
      </c>
      <c r="BJ26" s="11" t="s">
        <v>214</v>
      </c>
      <c r="BK26" s="15" t="s">
        <v>242</v>
      </c>
      <c r="BL26" s="12"/>
      <c r="BM26" s="12"/>
      <c r="BN26" s="12"/>
      <c r="BO26" s="12"/>
      <c r="BP26" s="12"/>
      <c r="BQ26" s="12"/>
      <c r="BR26" s="12"/>
      <c r="BS26" s="12"/>
      <c r="BT26" s="12"/>
      <c r="BU26" s="12"/>
      <c r="BV26" s="12"/>
      <c r="BW26" s="12"/>
      <c r="BX26" s="12"/>
      <c r="BY26" s="12"/>
      <c r="BZ26" s="12"/>
      <c r="CA26" s="12"/>
      <c r="CB26" s="12"/>
      <c r="CC26" s="12"/>
      <c r="CD26" s="12"/>
      <c r="CE26" s="12"/>
      <c r="CF26" s="12"/>
      <c r="CG26" s="12"/>
      <c r="CH26" s="12"/>
      <c r="CI26" s="12"/>
      <c r="CJ26" s="12"/>
      <c r="CK26" s="12"/>
      <c r="CL26" s="12"/>
      <c r="CM26" s="12"/>
      <c r="CN26" s="12"/>
      <c r="CO26" s="12"/>
      <c r="CP26" s="12"/>
      <c r="CQ26" s="12"/>
      <c r="CR26" s="12"/>
      <c r="CS26" s="12"/>
      <c r="CT26" s="12"/>
      <c r="CU26" s="12"/>
      <c r="CV26" s="12"/>
      <c r="CW26" s="12"/>
      <c r="CX26" s="12"/>
      <c r="CY26" s="12"/>
      <c r="CZ26" s="12"/>
      <c r="DA26" s="12"/>
      <c r="DB26" s="12"/>
      <c r="DC26" s="12"/>
      <c r="DD26" s="12"/>
    </row>
    <row r="27" ht="22.5" customHeight="1">
      <c r="A27" s="10">
        <v>45982.95344541667</v>
      </c>
      <c r="B27" s="11" t="s">
        <v>207</v>
      </c>
      <c r="C27" s="11" t="s">
        <v>6</v>
      </c>
      <c r="D27" s="12"/>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c r="AG27" s="12"/>
      <c r="AH27" s="12"/>
      <c r="AI27" s="12"/>
      <c r="AJ27" s="12"/>
      <c r="AK27" s="12"/>
      <c r="AL27" s="12"/>
      <c r="AM27" s="12"/>
      <c r="AN27" s="12"/>
      <c r="AO27" s="12"/>
      <c r="AP27" s="12"/>
      <c r="AQ27" s="12"/>
      <c r="AR27" s="12"/>
      <c r="AS27" s="12"/>
      <c r="AT27" s="12"/>
      <c r="AU27" s="12"/>
      <c r="AV27" s="12"/>
      <c r="AW27" s="12"/>
      <c r="AX27" s="12"/>
      <c r="AY27" s="12"/>
      <c r="AZ27" s="16">
        <v>45329.0</v>
      </c>
      <c r="BA27" s="11" t="s">
        <v>151</v>
      </c>
      <c r="BB27" s="11" t="s">
        <v>243</v>
      </c>
      <c r="BC27" s="11" t="s">
        <v>217</v>
      </c>
      <c r="BD27" s="16">
        <v>45552.0</v>
      </c>
      <c r="BE27" s="11" t="s">
        <v>122</v>
      </c>
      <c r="BF27" s="11" t="s">
        <v>244</v>
      </c>
      <c r="BG27" s="11" t="s">
        <v>245</v>
      </c>
      <c r="BH27" s="11" t="s">
        <v>212</v>
      </c>
      <c r="BI27" s="11" t="s">
        <v>246</v>
      </c>
      <c r="BJ27" s="11" t="s">
        <v>214</v>
      </c>
      <c r="BK27" s="15" t="s">
        <v>247</v>
      </c>
      <c r="BL27" s="12"/>
      <c r="BM27" s="12"/>
      <c r="BN27" s="12"/>
      <c r="BO27" s="12"/>
      <c r="BP27" s="12"/>
      <c r="BQ27" s="12"/>
      <c r="BR27" s="12"/>
      <c r="BS27" s="12"/>
      <c r="BT27" s="12"/>
      <c r="BU27" s="12"/>
      <c r="BV27" s="12"/>
      <c r="BW27" s="12"/>
      <c r="BX27" s="12"/>
      <c r="BY27" s="12"/>
      <c r="BZ27" s="12"/>
      <c r="CA27" s="12"/>
      <c r="CB27" s="12"/>
      <c r="CC27" s="12"/>
      <c r="CD27" s="12"/>
      <c r="CE27" s="12"/>
      <c r="CF27" s="12"/>
      <c r="CG27" s="12"/>
      <c r="CH27" s="12"/>
      <c r="CI27" s="12"/>
      <c r="CJ27" s="12"/>
      <c r="CK27" s="12"/>
      <c r="CL27" s="12"/>
      <c r="CM27" s="12"/>
      <c r="CN27" s="12"/>
      <c r="CO27" s="12"/>
      <c r="CP27" s="12"/>
      <c r="CQ27" s="12"/>
      <c r="CR27" s="12"/>
      <c r="CS27" s="12"/>
      <c r="CT27" s="12"/>
      <c r="CU27" s="12"/>
      <c r="CV27" s="12"/>
      <c r="CW27" s="12"/>
      <c r="CX27" s="12"/>
      <c r="CY27" s="12"/>
      <c r="CZ27" s="12"/>
      <c r="DA27" s="12"/>
      <c r="DB27" s="12"/>
      <c r="DC27" s="12"/>
      <c r="DD27" s="12"/>
    </row>
    <row r="28" ht="22.5" customHeight="1">
      <c r="A28" s="10">
        <v>45982.95971134259</v>
      </c>
      <c r="B28" s="11" t="s">
        <v>207</v>
      </c>
      <c r="C28" s="11" t="s">
        <v>6</v>
      </c>
      <c r="D28" s="12"/>
      <c r="E28" s="12"/>
      <c r="F28" s="12"/>
      <c r="G28" s="12"/>
      <c r="H28" s="12"/>
      <c r="I28" s="12"/>
      <c r="J28" s="12"/>
      <c r="K28" s="12"/>
      <c r="L28" s="12"/>
      <c r="M28" s="12"/>
      <c r="N28" s="12"/>
      <c r="O28" s="12"/>
      <c r="P28" s="12"/>
      <c r="Q28" s="12"/>
      <c r="R28" s="12"/>
      <c r="S28" s="12"/>
      <c r="T28" s="12"/>
      <c r="U28" s="12"/>
      <c r="V28" s="12"/>
      <c r="W28" s="12"/>
      <c r="X28" s="12"/>
      <c r="Y28" s="12"/>
      <c r="Z28" s="12"/>
      <c r="AA28" s="12"/>
      <c r="AB28" s="12"/>
      <c r="AC28" s="12"/>
      <c r="AD28" s="12"/>
      <c r="AE28" s="12"/>
      <c r="AF28" s="12"/>
      <c r="AG28" s="12"/>
      <c r="AH28" s="12"/>
      <c r="AI28" s="12"/>
      <c r="AJ28" s="12"/>
      <c r="AK28" s="12"/>
      <c r="AL28" s="12"/>
      <c r="AM28" s="12"/>
      <c r="AN28" s="12"/>
      <c r="AO28" s="12"/>
      <c r="AP28" s="12"/>
      <c r="AQ28" s="12"/>
      <c r="AR28" s="12"/>
      <c r="AS28" s="12"/>
      <c r="AT28" s="12"/>
      <c r="AU28" s="12"/>
      <c r="AV28" s="12"/>
      <c r="AW28" s="12"/>
      <c r="AX28" s="12"/>
      <c r="AY28" s="12"/>
      <c r="AZ28" s="16">
        <v>45342.0</v>
      </c>
      <c r="BA28" s="11" t="s">
        <v>151</v>
      </c>
      <c r="BB28" s="11" t="s">
        <v>248</v>
      </c>
      <c r="BC28" s="11" t="s">
        <v>249</v>
      </c>
      <c r="BD28" s="16">
        <v>45355.0</v>
      </c>
      <c r="BE28" s="11" t="s">
        <v>122</v>
      </c>
      <c r="BF28" s="11" t="s">
        <v>250</v>
      </c>
      <c r="BG28" s="11" t="s">
        <v>251</v>
      </c>
      <c r="BH28" s="11" t="s">
        <v>212</v>
      </c>
      <c r="BI28" s="11" t="s">
        <v>220</v>
      </c>
      <c r="BJ28" s="11" t="s">
        <v>214</v>
      </c>
      <c r="BK28" s="15" t="s">
        <v>252</v>
      </c>
      <c r="BL28" s="12"/>
      <c r="BM28" s="12"/>
      <c r="BN28" s="12"/>
      <c r="BO28" s="12"/>
      <c r="BP28" s="12"/>
      <c r="BQ28" s="12"/>
      <c r="BR28" s="12"/>
      <c r="BS28" s="12"/>
      <c r="BT28" s="12"/>
      <c r="BU28" s="12"/>
      <c r="BV28" s="12"/>
      <c r="BW28" s="12"/>
      <c r="BX28" s="12"/>
      <c r="BY28" s="12"/>
      <c r="BZ28" s="12"/>
      <c r="CA28" s="12"/>
      <c r="CB28" s="12"/>
      <c r="CC28" s="12"/>
      <c r="CD28" s="12"/>
      <c r="CE28" s="12"/>
      <c r="CF28" s="12"/>
      <c r="CG28" s="12"/>
      <c r="CH28" s="12"/>
      <c r="CI28" s="12"/>
      <c r="CJ28" s="12"/>
      <c r="CK28" s="12"/>
      <c r="CL28" s="12"/>
      <c r="CM28" s="12"/>
      <c r="CN28" s="12"/>
      <c r="CO28" s="12"/>
      <c r="CP28" s="12"/>
      <c r="CQ28" s="12"/>
      <c r="CR28" s="12"/>
      <c r="CS28" s="12"/>
      <c r="CT28" s="12"/>
      <c r="CU28" s="12"/>
      <c r="CV28" s="12"/>
      <c r="CW28" s="12"/>
      <c r="CX28" s="12"/>
      <c r="CY28" s="12"/>
      <c r="CZ28" s="12"/>
      <c r="DA28" s="12"/>
      <c r="DB28" s="12"/>
      <c r="DC28" s="12"/>
      <c r="DD28" s="12"/>
    </row>
    <row r="29" ht="22.5" customHeight="1">
      <c r="A29" s="10">
        <v>45982.963487939815</v>
      </c>
      <c r="B29" s="11" t="s">
        <v>207</v>
      </c>
      <c r="C29" s="11" t="s">
        <v>6</v>
      </c>
      <c r="D29" s="12"/>
      <c r="E29" s="12"/>
      <c r="F29" s="12"/>
      <c r="G29" s="12"/>
      <c r="H29" s="12"/>
      <c r="I29" s="12"/>
      <c r="J29" s="12"/>
      <c r="K29" s="12"/>
      <c r="L29" s="12"/>
      <c r="M29" s="12"/>
      <c r="N29" s="12"/>
      <c r="O29" s="12"/>
      <c r="P29" s="12"/>
      <c r="Q29" s="12"/>
      <c r="R29" s="12"/>
      <c r="S29" s="12"/>
      <c r="T29" s="12"/>
      <c r="U29" s="12"/>
      <c r="V29" s="12"/>
      <c r="W29" s="12"/>
      <c r="X29" s="12"/>
      <c r="Y29" s="12"/>
      <c r="Z29" s="12"/>
      <c r="AA29" s="12"/>
      <c r="AB29" s="12"/>
      <c r="AC29" s="12"/>
      <c r="AD29" s="12"/>
      <c r="AE29" s="12"/>
      <c r="AF29" s="12"/>
      <c r="AG29" s="12"/>
      <c r="AH29" s="12"/>
      <c r="AI29" s="12"/>
      <c r="AJ29" s="12"/>
      <c r="AK29" s="12"/>
      <c r="AL29" s="12"/>
      <c r="AM29" s="12"/>
      <c r="AN29" s="12"/>
      <c r="AO29" s="12"/>
      <c r="AP29" s="12"/>
      <c r="AQ29" s="12"/>
      <c r="AR29" s="12"/>
      <c r="AS29" s="12"/>
      <c r="AT29" s="12"/>
      <c r="AU29" s="12"/>
      <c r="AV29" s="12"/>
      <c r="AW29" s="12"/>
      <c r="AX29" s="12"/>
      <c r="AY29" s="12"/>
      <c r="AZ29" s="16">
        <v>45479.0</v>
      </c>
      <c r="BA29" s="11" t="s">
        <v>151</v>
      </c>
      <c r="BB29" s="11" t="s">
        <v>253</v>
      </c>
      <c r="BC29" s="11" t="s">
        <v>254</v>
      </c>
      <c r="BD29" s="16">
        <v>45534.0</v>
      </c>
      <c r="BE29" s="11" t="s">
        <v>122</v>
      </c>
      <c r="BF29" s="11" t="s">
        <v>255</v>
      </c>
      <c r="BG29" s="11" t="s">
        <v>251</v>
      </c>
      <c r="BH29" s="11" t="s">
        <v>212</v>
      </c>
      <c r="BI29" s="11" t="s">
        <v>233</v>
      </c>
      <c r="BJ29" s="11" t="s">
        <v>214</v>
      </c>
      <c r="BK29" s="15" t="s">
        <v>256</v>
      </c>
      <c r="BL29" s="12"/>
      <c r="BM29" s="12"/>
      <c r="BN29" s="12"/>
      <c r="BO29" s="12"/>
      <c r="BP29" s="12"/>
      <c r="BQ29" s="12"/>
      <c r="BR29" s="12"/>
      <c r="BS29" s="12"/>
      <c r="BT29" s="12"/>
      <c r="BU29" s="12"/>
      <c r="BV29" s="12"/>
      <c r="BW29" s="12"/>
      <c r="BX29" s="12"/>
      <c r="BY29" s="12"/>
      <c r="BZ29" s="12"/>
      <c r="CA29" s="12"/>
      <c r="CB29" s="12"/>
      <c r="CC29" s="12"/>
      <c r="CD29" s="12"/>
      <c r="CE29" s="12"/>
      <c r="CF29" s="12"/>
      <c r="CG29" s="12"/>
      <c r="CH29" s="12"/>
      <c r="CI29" s="12"/>
      <c r="CJ29" s="12"/>
      <c r="CK29" s="12"/>
      <c r="CL29" s="12"/>
      <c r="CM29" s="12"/>
      <c r="CN29" s="12"/>
      <c r="CO29" s="12"/>
      <c r="CP29" s="12"/>
      <c r="CQ29" s="12"/>
      <c r="CR29" s="12"/>
      <c r="CS29" s="12"/>
      <c r="CT29" s="12"/>
      <c r="CU29" s="12"/>
      <c r="CV29" s="12"/>
      <c r="CW29" s="12"/>
      <c r="CX29" s="12"/>
      <c r="CY29" s="12"/>
      <c r="CZ29" s="12"/>
      <c r="DA29" s="12"/>
      <c r="DB29" s="12"/>
      <c r="DC29" s="12"/>
      <c r="DD29" s="12"/>
    </row>
    <row r="30" ht="22.5" customHeight="1">
      <c r="A30" s="10">
        <v>45982.96505642361</v>
      </c>
      <c r="B30" s="11" t="s">
        <v>207</v>
      </c>
      <c r="C30" s="11" t="s">
        <v>6</v>
      </c>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2"/>
      <c r="AH30" s="12"/>
      <c r="AI30" s="12"/>
      <c r="AJ30" s="12"/>
      <c r="AK30" s="12"/>
      <c r="AL30" s="12"/>
      <c r="AM30" s="12"/>
      <c r="AN30" s="12"/>
      <c r="AO30" s="12"/>
      <c r="AP30" s="12"/>
      <c r="AQ30" s="12"/>
      <c r="AR30" s="12"/>
      <c r="AS30" s="12"/>
      <c r="AT30" s="12"/>
      <c r="AU30" s="12"/>
      <c r="AV30" s="12"/>
      <c r="AW30" s="12"/>
      <c r="AX30" s="12"/>
      <c r="AY30" s="12"/>
      <c r="AZ30" s="16">
        <v>45479.0</v>
      </c>
      <c r="BA30" s="11" t="s">
        <v>151</v>
      </c>
      <c r="BB30" s="11" t="s">
        <v>253</v>
      </c>
      <c r="BC30" s="11" t="s">
        <v>254</v>
      </c>
      <c r="BD30" s="16">
        <v>45534.0</v>
      </c>
      <c r="BE30" s="11" t="s">
        <v>122</v>
      </c>
      <c r="BF30" s="11" t="s">
        <v>255</v>
      </c>
      <c r="BG30" s="11" t="s">
        <v>257</v>
      </c>
      <c r="BH30" s="11" t="s">
        <v>8</v>
      </c>
      <c r="BI30" s="11" t="s">
        <v>233</v>
      </c>
      <c r="BJ30" s="11" t="s">
        <v>214</v>
      </c>
      <c r="BK30" s="15" t="s">
        <v>258</v>
      </c>
      <c r="BL30" s="12"/>
      <c r="BM30" s="12"/>
      <c r="BN30" s="12"/>
      <c r="BO30" s="12"/>
      <c r="BP30" s="12"/>
      <c r="BQ30" s="12"/>
      <c r="BR30" s="12"/>
      <c r="BS30" s="12"/>
      <c r="BT30" s="12"/>
      <c r="BU30" s="12"/>
      <c r="BV30" s="12"/>
      <c r="BW30" s="12"/>
      <c r="BX30" s="12"/>
      <c r="BY30" s="12"/>
      <c r="BZ30" s="12"/>
      <c r="CA30" s="12"/>
      <c r="CB30" s="12"/>
      <c r="CC30" s="12"/>
      <c r="CD30" s="12"/>
      <c r="CE30" s="12"/>
      <c r="CF30" s="12"/>
      <c r="CG30" s="12"/>
      <c r="CH30" s="12"/>
      <c r="CI30" s="12"/>
      <c r="CJ30" s="12"/>
      <c r="CK30" s="12"/>
      <c r="CL30" s="12"/>
      <c r="CM30" s="12"/>
      <c r="CN30" s="12"/>
      <c r="CO30" s="12"/>
      <c r="CP30" s="12"/>
      <c r="CQ30" s="12"/>
      <c r="CR30" s="12"/>
      <c r="CS30" s="12"/>
      <c r="CT30" s="12"/>
      <c r="CU30" s="12"/>
      <c r="CV30" s="12"/>
      <c r="CW30" s="12"/>
      <c r="CX30" s="12"/>
      <c r="CY30" s="12"/>
      <c r="CZ30" s="12"/>
      <c r="DA30" s="12"/>
      <c r="DB30" s="12"/>
      <c r="DC30" s="12"/>
      <c r="DD30" s="12"/>
    </row>
    <row r="31" ht="22.5" customHeight="1">
      <c r="A31" s="10">
        <v>45982.96803204861</v>
      </c>
      <c r="B31" s="11" t="s">
        <v>207</v>
      </c>
      <c r="C31" s="11" t="s">
        <v>6</v>
      </c>
      <c r="D31" s="12"/>
      <c r="E31" s="12"/>
      <c r="F31" s="12"/>
      <c r="G31" s="12"/>
      <c r="H31" s="12"/>
      <c r="I31" s="12"/>
      <c r="J31" s="12"/>
      <c r="K31" s="12"/>
      <c r="L31" s="12"/>
      <c r="M31" s="12"/>
      <c r="N31" s="12"/>
      <c r="O31" s="12"/>
      <c r="P31" s="12"/>
      <c r="Q31" s="12"/>
      <c r="R31" s="12"/>
      <c r="S31" s="12"/>
      <c r="T31" s="12"/>
      <c r="U31" s="12"/>
      <c r="V31" s="12"/>
      <c r="W31" s="12"/>
      <c r="X31" s="12"/>
      <c r="Y31" s="12"/>
      <c r="Z31" s="12"/>
      <c r="AA31" s="12"/>
      <c r="AB31" s="12"/>
      <c r="AC31" s="12"/>
      <c r="AD31" s="12"/>
      <c r="AE31" s="12"/>
      <c r="AF31" s="12"/>
      <c r="AG31" s="12"/>
      <c r="AH31" s="12"/>
      <c r="AI31" s="12"/>
      <c r="AJ31" s="12"/>
      <c r="AK31" s="12"/>
      <c r="AL31" s="12"/>
      <c r="AM31" s="12"/>
      <c r="AN31" s="12"/>
      <c r="AO31" s="12"/>
      <c r="AP31" s="12"/>
      <c r="AQ31" s="12"/>
      <c r="AR31" s="12"/>
      <c r="AS31" s="12"/>
      <c r="AT31" s="12"/>
      <c r="AU31" s="12"/>
      <c r="AV31" s="12"/>
      <c r="AW31" s="12"/>
      <c r="AX31" s="12"/>
      <c r="AY31" s="12"/>
      <c r="AZ31" s="16">
        <v>45567.0</v>
      </c>
      <c r="BA31" s="11" t="s">
        <v>151</v>
      </c>
      <c r="BB31" s="11" t="s">
        <v>259</v>
      </c>
      <c r="BC31" s="11" t="s">
        <v>217</v>
      </c>
      <c r="BD31" s="16">
        <v>45572.0</v>
      </c>
      <c r="BE31" s="11" t="s">
        <v>122</v>
      </c>
      <c r="BF31" s="11" t="s">
        <v>260</v>
      </c>
      <c r="BG31" s="11" t="s">
        <v>261</v>
      </c>
      <c r="BH31" s="11" t="s">
        <v>8</v>
      </c>
      <c r="BI31" s="11" t="s">
        <v>233</v>
      </c>
      <c r="BJ31" s="11" t="s">
        <v>214</v>
      </c>
      <c r="BK31" s="15" t="s">
        <v>262</v>
      </c>
      <c r="BL31" s="12"/>
      <c r="BM31" s="12"/>
      <c r="BN31" s="12"/>
      <c r="BO31" s="12"/>
      <c r="BP31" s="12"/>
      <c r="BQ31" s="12"/>
      <c r="BR31" s="12"/>
      <c r="BS31" s="12"/>
      <c r="BT31" s="12"/>
      <c r="BU31" s="12"/>
      <c r="BV31" s="12"/>
      <c r="BW31" s="12"/>
      <c r="BX31" s="12"/>
      <c r="BY31" s="12"/>
      <c r="BZ31" s="12"/>
      <c r="CA31" s="12"/>
      <c r="CB31" s="12"/>
      <c r="CC31" s="12"/>
      <c r="CD31" s="12"/>
      <c r="CE31" s="12"/>
      <c r="CF31" s="12"/>
      <c r="CG31" s="12"/>
      <c r="CH31" s="12"/>
      <c r="CI31" s="12"/>
      <c r="CJ31" s="12"/>
      <c r="CK31" s="12"/>
      <c r="CL31" s="12"/>
      <c r="CM31" s="12"/>
      <c r="CN31" s="12"/>
      <c r="CO31" s="12"/>
      <c r="CP31" s="12"/>
      <c r="CQ31" s="12"/>
      <c r="CR31" s="12"/>
      <c r="CS31" s="12"/>
      <c r="CT31" s="12"/>
      <c r="CU31" s="12"/>
      <c r="CV31" s="12"/>
      <c r="CW31" s="12"/>
      <c r="CX31" s="12"/>
      <c r="CY31" s="12"/>
      <c r="CZ31" s="12"/>
      <c r="DA31" s="12"/>
      <c r="DB31" s="12"/>
      <c r="DC31" s="12"/>
      <c r="DD31" s="12"/>
    </row>
    <row r="32" ht="22.5" customHeight="1">
      <c r="A32" s="10">
        <v>45983.52564439815</v>
      </c>
      <c r="B32" s="11" t="s">
        <v>164</v>
      </c>
      <c r="C32" s="11" t="s">
        <v>1</v>
      </c>
      <c r="D32" s="12"/>
      <c r="E32" s="12"/>
      <c r="F32" s="12"/>
      <c r="G32" s="12"/>
      <c r="H32" s="12"/>
      <c r="I32" s="12"/>
      <c r="J32" s="12"/>
      <c r="K32" s="12"/>
      <c r="L32" s="12"/>
      <c r="M32" s="12"/>
      <c r="N32" s="12"/>
      <c r="O32" s="12"/>
      <c r="P32" s="12"/>
      <c r="Q32" s="12"/>
      <c r="R32" s="12"/>
      <c r="S32" s="12"/>
      <c r="T32" s="12"/>
      <c r="U32" s="12"/>
      <c r="V32" s="12"/>
      <c r="W32" s="12"/>
      <c r="X32" s="12"/>
      <c r="Y32" s="12"/>
      <c r="Z32" s="12"/>
      <c r="AA32" s="12"/>
      <c r="AB32" s="12"/>
      <c r="AC32" s="12"/>
      <c r="AD32" s="12"/>
      <c r="AE32" s="12"/>
      <c r="AF32" s="12"/>
      <c r="AG32" s="12"/>
      <c r="AH32" s="12"/>
      <c r="AI32" s="12"/>
      <c r="AJ32" s="12"/>
      <c r="AK32" s="12"/>
      <c r="AL32" s="12"/>
      <c r="AM32" s="12"/>
      <c r="AN32" s="12"/>
      <c r="AO32" s="12"/>
      <c r="AP32" s="12"/>
      <c r="AQ32" s="12"/>
      <c r="AR32" s="12"/>
      <c r="AS32" s="12"/>
      <c r="AT32" s="12"/>
      <c r="AU32" s="12"/>
      <c r="AV32" s="12"/>
      <c r="AW32" s="12"/>
      <c r="AX32" s="12"/>
      <c r="AY32" s="12"/>
      <c r="AZ32" s="12"/>
      <c r="BA32" s="12"/>
      <c r="BB32" s="12"/>
      <c r="BC32" s="12"/>
      <c r="BD32" s="12"/>
      <c r="BE32" s="12"/>
      <c r="BF32" s="12"/>
      <c r="BG32" s="12"/>
      <c r="BH32" s="12"/>
      <c r="BI32" s="12"/>
      <c r="BJ32" s="12"/>
      <c r="BK32" s="12"/>
      <c r="BL32" s="12"/>
      <c r="BM32" s="12"/>
      <c r="BN32" s="12"/>
      <c r="BO32" s="12"/>
      <c r="BP32" s="12"/>
      <c r="BQ32" s="12"/>
      <c r="BR32" s="12"/>
      <c r="BS32" s="12"/>
      <c r="BT32" s="12"/>
      <c r="BU32" s="12"/>
      <c r="BV32" s="12"/>
      <c r="BW32" s="12"/>
      <c r="BX32" s="12"/>
      <c r="BY32" s="12"/>
      <c r="BZ32" s="12"/>
      <c r="CA32" s="12"/>
      <c r="CB32" s="12"/>
      <c r="CC32" s="12"/>
      <c r="CD32" s="12"/>
      <c r="CE32" s="12"/>
      <c r="CF32" s="12"/>
      <c r="CG32" s="12"/>
      <c r="CH32" s="17"/>
      <c r="CI32" s="17"/>
      <c r="CJ32" s="12"/>
      <c r="CK32" s="12"/>
      <c r="CL32" s="12"/>
      <c r="CM32" s="12"/>
      <c r="CN32" s="12"/>
      <c r="CO32" s="12"/>
      <c r="CP32" s="12"/>
      <c r="CQ32" s="12"/>
      <c r="CR32" s="12"/>
      <c r="CS32" s="12"/>
      <c r="CT32" s="12"/>
      <c r="CU32" s="16">
        <v>45566.0</v>
      </c>
      <c r="CV32" s="11" t="s">
        <v>157</v>
      </c>
      <c r="CW32" s="11" t="s">
        <v>263</v>
      </c>
      <c r="CX32" s="11" t="s">
        <v>151</v>
      </c>
      <c r="CY32" s="11" t="s">
        <v>264</v>
      </c>
      <c r="CZ32" s="11" t="s">
        <v>265</v>
      </c>
      <c r="DA32" s="11" t="s">
        <v>266</v>
      </c>
      <c r="DB32" s="11" t="s">
        <v>267</v>
      </c>
      <c r="DC32" s="15" t="s">
        <v>268</v>
      </c>
      <c r="DD32" s="17"/>
    </row>
    <row r="33" ht="22.5" customHeight="1">
      <c r="A33" s="10">
        <v>45983.58828074074</v>
      </c>
      <c r="B33" s="11" t="s">
        <v>120</v>
      </c>
      <c r="C33" s="11" t="s">
        <v>10</v>
      </c>
      <c r="D33" s="12"/>
      <c r="E33" s="12"/>
      <c r="F33" s="12"/>
      <c r="G33" s="12"/>
      <c r="H33" s="12"/>
      <c r="I33" s="12"/>
      <c r="J33" s="12"/>
      <c r="K33" s="16">
        <v>45117.0</v>
      </c>
      <c r="L33" s="11" t="s">
        <v>122</v>
      </c>
      <c r="M33" s="11" t="s">
        <v>269</v>
      </c>
      <c r="N33" s="15" t="s">
        <v>270</v>
      </c>
      <c r="O33" s="11" t="s">
        <v>147</v>
      </c>
      <c r="P33" s="11" t="s">
        <v>246</v>
      </c>
      <c r="Q33" s="16">
        <v>45117.0</v>
      </c>
      <c r="R33" s="16">
        <v>45482.0</v>
      </c>
      <c r="S33" s="15" t="s">
        <v>271</v>
      </c>
      <c r="T33" s="12"/>
      <c r="U33" s="12"/>
      <c r="V33" s="12"/>
      <c r="W33" s="12"/>
      <c r="X33" s="12"/>
      <c r="Y33" s="12"/>
      <c r="Z33" s="12"/>
      <c r="AA33" s="12"/>
      <c r="AB33" s="12"/>
      <c r="AC33" s="12"/>
      <c r="AD33" s="12"/>
      <c r="AE33" s="12"/>
      <c r="AF33" s="12"/>
      <c r="AG33" s="12"/>
      <c r="AH33" s="12"/>
      <c r="AI33" s="12"/>
      <c r="AJ33" s="12"/>
      <c r="AK33" s="12"/>
      <c r="AL33" s="12"/>
      <c r="AM33" s="12"/>
      <c r="AN33" s="12"/>
      <c r="AO33" s="12"/>
      <c r="AP33" s="12"/>
      <c r="AQ33" s="12"/>
      <c r="AR33" s="12"/>
      <c r="AS33" s="12"/>
      <c r="AT33" s="12"/>
      <c r="AU33" s="12"/>
      <c r="AV33" s="12"/>
      <c r="AW33" s="12"/>
      <c r="AX33" s="12"/>
      <c r="AY33" s="12"/>
      <c r="AZ33" s="12"/>
      <c r="BA33" s="12"/>
      <c r="BB33" s="12"/>
      <c r="BC33" s="12"/>
      <c r="BD33" s="12"/>
      <c r="BE33" s="12"/>
      <c r="BF33" s="12"/>
      <c r="BG33" s="12"/>
      <c r="BH33" s="12"/>
      <c r="BI33" s="12"/>
      <c r="BJ33" s="12"/>
      <c r="BK33" s="12"/>
      <c r="BL33" s="12"/>
      <c r="BM33" s="12"/>
      <c r="BN33" s="12"/>
      <c r="BO33" s="12"/>
      <c r="BP33" s="12"/>
      <c r="BQ33" s="12"/>
      <c r="BR33" s="12"/>
      <c r="BS33" s="12"/>
      <c r="BT33" s="12"/>
      <c r="BU33" s="12"/>
      <c r="BV33" s="12"/>
      <c r="BW33" s="12"/>
      <c r="BX33" s="12"/>
      <c r="BY33" s="12"/>
      <c r="BZ33" s="12"/>
      <c r="CA33" s="12"/>
      <c r="CB33" s="12"/>
      <c r="CC33" s="12"/>
      <c r="CD33" s="12"/>
      <c r="CE33" s="12"/>
      <c r="CF33" s="12"/>
      <c r="CG33" s="12"/>
      <c r="CH33" s="12"/>
      <c r="CI33" s="12"/>
      <c r="CJ33" s="12"/>
      <c r="CK33" s="12"/>
      <c r="CL33" s="12"/>
      <c r="CM33" s="12"/>
      <c r="CN33" s="12"/>
      <c r="CO33" s="12"/>
      <c r="CP33" s="12"/>
      <c r="CQ33" s="12"/>
      <c r="CR33" s="12"/>
      <c r="CS33" s="12"/>
      <c r="CT33" s="12"/>
      <c r="CU33" s="12"/>
      <c r="CV33" s="12"/>
      <c r="CW33" s="12"/>
      <c r="CX33" s="12"/>
      <c r="CY33" s="12"/>
      <c r="CZ33" s="12"/>
      <c r="DA33" s="12"/>
      <c r="DB33" s="12"/>
      <c r="DC33" s="12"/>
      <c r="DD33" s="12"/>
    </row>
    <row r="34" ht="22.5" customHeight="1">
      <c r="A34" s="10">
        <v>45983.60033452546</v>
      </c>
      <c r="B34" s="11" t="s">
        <v>120</v>
      </c>
      <c r="C34" s="11" t="s">
        <v>10</v>
      </c>
      <c r="D34" s="12"/>
      <c r="E34" s="12"/>
      <c r="F34" s="12"/>
      <c r="G34" s="12"/>
      <c r="H34" s="12"/>
      <c r="I34" s="12"/>
      <c r="J34" s="12"/>
      <c r="K34" s="16">
        <v>45353.0</v>
      </c>
      <c r="L34" s="11" t="s">
        <v>122</v>
      </c>
      <c r="M34" s="11" t="s">
        <v>272</v>
      </c>
      <c r="N34" s="15" t="s">
        <v>273</v>
      </c>
      <c r="O34" s="11" t="s">
        <v>274</v>
      </c>
      <c r="P34" s="11">
        <v>5.0</v>
      </c>
      <c r="Q34" s="16">
        <v>45353.0</v>
      </c>
      <c r="R34" s="16">
        <v>47178.0</v>
      </c>
      <c r="S34" s="15" t="s">
        <v>275</v>
      </c>
      <c r="T34" s="12"/>
      <c r="U34" s="12"/>
      <c r="V34" s="12"/>
      <c r="W34" s="12"/>
      <c r="X34" s="12"/>
      <c r="Y34" s="12"/>
      <c r="Z34" s="12"/>
      <c r="AA34" s="12"/>
      <c r="AB34" s="12"/>
      <c r="AC34" s="12"/>
      <c r="AD34" s="12"/>
      <c r="AE34" s="12"/>
      <c r="AF34" s="12"/>
      <c r="AG34" s="12"/>
      <c r="AH34" s="12"/>
      <c r="AI34" s="12"/>
      <c r="AJ34" s="12"/>
      <c r="AK34" s="12"/>
      <c r="AL34" s="12"/>
      <c r="AM34" s="12"/>
      <c r="AN34" s="12"/>
      <c r="AO34" s="12"/>
      <c r="AP34" s="12"/>
      <c r="AQ34" s="12"/>
      <c r="AR34" s="12"/>
      <c r="AS34" s="12"/>
      <c r="AT34" s="12"/>
      <c r="AU34" s="12"/>
      <c r="AV34" s="12"/>
      <c r="AW34" s="12"/>
      <c r="AX34" s="12"/>
      <c r="AY34" s="12"/>
      <c r="AZ34" s="12"/>
      <c r="BA34" s="12"/>
      <c r="BB34" s="12"/>
      <c r="BC34" s="12"/>
      <c r="BD34" s="12"/>
      <c r="BE34" s="12"/>
      <c r="BF34" s="12"/>
      <c r="BG34" s="12"/>
      <c r="BH34" s="12"/>
      <c r="BI34" s="12"/>
      <c r="BJ34" s="12"/>
      <c r="BK34" s="12"/>
      <c r="BL34" s="12"/>
      <c r="BM34" s="12"/>
      <c r="BN34" s="12"/>
      <c r="BO34" s="12"/>
      <c r="BP34" s="12"/>
      <c r="BQ34" s="12"/>
      <c r="BR34" s="12"/>
      <c r="BS34" s="12"/>
      <c r="BT34" s="12"/>
      <c r="BU34" s="12"/>
      <c r="BV34" s="12"/>
      <c r="BW34" s="12"/>
      <c r="BX34" s="12"/>
      <c r="BY34" s="12"/>
      <c r="BZ34" s="12"/>
      <c r="CA34" s="12"/>
      <c r="CB34" s="12"/>
      <c r="CC34" s="12"/>
      <c r="CD34" s="12"/>
      <c r="CE34" s="12"/>
      <c r="CF34" s="12"/>
      <c r="CG34" s="12"/>
      <c r="CH34" s="12"/>
      <c r="CI34" s="12"/>
      <c r="CJ34" s="12"/>
      <c r="CK34" s="12"/>
      <c r="CL34" s="12"/>
      <c r="CM34" s="12"/>
      <c r="CN34" s="12"/>
      <c r="CO34" s="12"/>
      <c r="CP34" s="12"/>
      <c r="CQ34" s="12"/>
      <c r="CR34" s="12"/>
      <c r="CS34" s="12"/>
      <c r="CT34" s="12"/>
      <c r="CU34" s="12"/>
      <c r="CV34" s="12"/>
      <c r="CW34" s="12"/>
      <c r="CX34" s="12"/>
      <c r="CY34" s="12"/>
      <c r="CZ34" s="12"/>
      <c r="DA34" s="12"/>
      <c r="DB34" s="12"/>
      <c r="DC34" s="12"/>
      <c r="DD34" s="12"/>
    </row>
    <row r="35" ht="22.5" customHeight="1">
      <c r="A35" s="10">
        <v>45983.600893344905</v>
      </c>
      <c r="B35" s="11" t="s">
        <v>207</v>
      </c>
      <c r="C35" s="11" t="s">
        <v>6</v>
      </c>
      <c r="D35" s="12"/>
      <c r="E35" s="12"/>
      <c r="F35" s="12"/>
      <c r="G35" s="12"/>
      <c r="H35" s="12"/>
      <c r="I35" s="12"/>
      <c r="J35" s="12"/>
      <c r="K35" s="12"/>
      <c r="L35" s="12"/>
      <c r="M35" s="12"/>
      <c r="N35" s="12"/>
      <c r="O35" s="12"/>
      <c r="P35" s="12"/>
      <c r="Q35" s="12"/>
      <c r="R35" s="12"/>
      <c r="S35" s="12"/>
      <c r="T35" s="12"/>
      <c r="U35" s="12"/>
      <c r="V35" s="12"/>
      <c r="W35" s="12"/>
      <c r="X35" s="12"/>
      <c r="Y35" s="12"/>
      <c r="Z35" s="12"/>
      <c r="AA35" s="12"/>
      <c r="AB35" s="12"/>
      <c r="AC35" s="12"/>
      <c r="AD35" s="12"/>
      <c r="AE35" s="12"/>
      <c r="AF35" s="12"/>
      <c r="AG35" s="12"/>
      <c r="AH35" s="12"/>
      <c r="AI35" s="12"/>
      <c r="AJ35" s="12"/>
      <c r="AK35" s="12"/>
      <c r="AL35" s="12"/>
      <c r="AM35" s="12"/>
      <c r="AN35" s="12"/>
      <c r="AO35" s="12"/>
      <c r="AP35" s="12"/>
      <c r="AQ35" s="12"/>
      <c r="AR35" s="12"/>
      <c r="AS35" s="12"/>
      <c r="AT35" s="12"/>
      <c r="AU35" s="12"/>
      <c r="AV35" s="12"/>
      <c r="AW35" s="12"/>
      <c r="AX35" s="12"/>
      <c r="AY35" s="12"/>
      <c r="AZ35" s="16">
        <v>45526.0</v>
      </c>
      <c r="BA35" s="11" t="s">
        <v>147</v>
      </c>
      <c r="BB35" s="11" t="s">
        <v>276</v>
      </c>
      <c r="BC35" s="11" t="s">
        <v>217</v>
      </c>
      <c r="BD35" s="16">
        <v>45546.0</v>
      </c>
      <c r="BE35" s="11" t="s">
        <v>122</v>
      </c>
      <c r="BF35" s="11" t="s">
        <v>277</v>
      </c>
      <c r="BG35" s="11" t="s">
        <v>278</v>
      </c>
      <c r="BH35" s="11" t="s">
        <v>212</v>
      </c>
      <c r="BI35" s="11" t="s">
        <v>233</v>
      </c>
      <c r="BJ35" s="11" t="s">
        <v>214</v>
      </c>
      <c r="BK35" s="15" t="s">
        <v>279</v>
      </c>
      <c r="BL35" s="12"/>
      <c r="BM35" s="12"/>
      <c r="BN35" s="12"/>
      <c r="BO35" s="12"/>
      <c r="BP35" s="12"/>
      <c r="BQ35" s="12"/>
      <c r="BR35" s="12"/>
      <c r="BS35" s="12"/>
      <c r="BT35" s="12"/>
      <c r="BU35" s="12"/>
      <c r="BV35" s="12"/>
      <c r="BW35" s="12"/>
      <c r="BX35" s="12"/>
      <c r="BY35" s="12"/>
      <c r="BZ35" s="12"/>
      <c r="CA35" s="12"/>
      <c r="CB35" s="12"/>
      <c r="CC35" s="12"/>
      <c r="CD35" s="12"/>
      <c r="CE35" s="12"/>
      <c r="CF35" s="12"/>
      <c r="CG35" s="12"/>
      <c r="CH35" s="12"/>
      <c r="CI35" s="12"/>
      <c r="CJ35" s="12"/>
      <c r="CK35" s="12"/>
      <c r="CL35" s="12"/>
      <c r="CM35" s="12"/>
      <c r="CN35" s="12"/>
      <c r="CO35" s="12"/>
      <c r="CP35" s="12"/>
      <c r="CQ35" s="12"/>
      <c r="CR35" s="12"/>
      <c r="CS35" s="12"/>
      <c r="CT35" s="12"/>
      <c r="CU35" s="12"/>
      <c r="CV35" s="12"/>
      <c r="CW35" s="12"/>
      <c r="CX35" s="12"/>
      <c r="CY35" s="12"/>
      <c r="CZ35" s="12"/>
      <c r="DA35" s="12"/>
      <c r="DB35" s="12"/>
      <c r="DC35" s="12"/>
      <c r="DD35" s="12"/>
    </row>
    <row r="36" ht="22.5" customHeight="1">
      <c r="A36" s="10">
        <v>45983.605572650464</v>
      </c>
      <c r="B36" s="11" t="s">
        <v>207</v>
      </c>
      <c r="C36" s="11" t="s">
        <v>6</v>
      </c>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c r="AF36" s="12"/>
      <c r="AG36" s="12"/>
      <c r="AH36" s="12"/>
      <c r="AI36" s="12"/>
      <c r="AJ36" s="12"/>
      <c r="AK36" s="12"/>
      <c r="AL36" s="12"/>
      <c r="AM36" s="12"/>
      <c r="AN36" s="12"/>
      <c r="AO36" s="12"/>
      <c r="AP36" s="12"/>
      <c r="AQ36" s="12"/>
      <c r="AR36" s="12"/>
      <c r="AS36" s="12"/>
      <c r="AT36" s="12"/>
      <c r="AU36" s="12"/>
      <c r="AV36" s="12"/>
      <c r="AW36" s="12"/>
      <c r="AX36" s="12"/>
      <c r="AY36" s="12"/>
      <c r="AZ36" s="16">
        <v>45604.0</v>
      </c>
      <c r="BA36" s="11" t="s">
        <v>147</v>
      </c>
      <c r="BB36" s="11" t="s">
        <v>280</v>
      </c>
      <c r="BC36" s="11" t="s">
        <v>209</v>
      </c>
      <c r="BD36" s="16">
        <v>45638.0</v>
      </c>
      <c r="BE36" s="11" t="s">
        <v>122</v>
      </c>
      <c r="BF36" s="11" t="s">
        <v>281</v>
      </c>
      <c r="BG36" s="11" t="s">
        <v>282</v>
      </c>
      <c r="BH36" s="11" t="s">
        <v>212</v>
      </c>
      <c r="BI36" s="11" t="s">
        <v>283</v>
      </c>
      <c r="BJ36" s="11" t="s">
        <v>214</v>
      </c>
      <c r="BK36" s="15" t="s">
        <v>284</v>
      </c>
      <c r="BL36" s="12"/>
      <c r="BM36" s="12"/>
      <c r="BN36" s="12"/>
      <c r="BO36" s="12"/>
      <c r="BP36" s="12"/>
      <c r="BQ36" s="12"/>
      <c r="BR36" s="12"/>
      <c r="BS36" s="12"/>
      <c r="BT36" s="12"/>
      <c r="BU36" s="12"/>
      <c r="BV36" s="12"/>
      <c r="BW36" s="12"/>
      <c r="BX36" s="12"/>
      <c r="BY36" s="12"/>
      <c r="BZ36" s="12"/>
      <c r="CA36" s="12"/>
      <c r="CB36" s="12"/>
      <c r="CC36" s="12"/>
      <c r="CD36" s="12"/>
      <c r="CE36" s="12"/>
      <c r="CF36" s="12"/>
      <c r="CG36" s="12"/>
      <c r="CH36" s="12"/>
      <c r="CI36" s="12"/>
      <c r="CJ36" s="12"/>
      <c r="CK36" s="12"/>
      <c r="CL36" s="12"/>
      <c r="CM36" s="12"/>
      <c r="CN36" s="12"/>
      <c r="CO36" s="12"/>
      <c r="CP36" s="12"/>
      <c r="CQ36" s="12"/>
      <c r="CR36" s="12"/>
      <c r="CS36" s="12"/>
      <c r="CT36" s="12"/>
      <c r="CU36" s="12"/>
      <c r="CV36" s="12"/>
      <c r="CW36" s="12"/>
      <c r="CX36" s="12"/>
      <c r="CY36" s="12"/>
      <c r="CZ36" s="12"/>
      <c r="DA36" s="12"/>
      <c r="DB36" s="12"/>
      <c r="DC36" s="12"/>
      <c r="DD36" s="12"/>
    </row>
    <row r="37" ht="22.5" customHeight="1">
      <c r="A37" s="10">
        <v>45983.60864543982</v>
      </c>
      <c r="B37" s="11" t="s">
        <v>164</v>
      </c>
      <c r="C37" s="11" t="s">
        <v>1</v>
      </c>
      <c r="D37" s="12"/>
      <c r="E37" s="12"/>
      <c r="F37" s="12"/>
      <c r="G37" s="12"/>
      <c r="H37" s="12"/>
      <c r="I37" s="12"/>
      <c r="J37" s="12"/>
      <c r="K37" s="12"/>
      <c r="L37" s="12"/>
      <c r="M37" s="12"/>
      <c r="N37" s="12"/>
      <c r="O37" s="12"/>
      <c r="P37" s="12"/>
      <c r="Q37" s="12"/>
      <c r="R37" s="12"/>
      <c r="S37" s="12"/>
      <c r="T37" s="12"/>
      <c r="U37" s="12"/>
      <c r="V37" s="12"/>
      <c r="W37" s="12"/>
      <c r="X37" s="12"/>
      <c r="Y37" s="12"/>
      <c r="Z37" s="12"/>
      <c r="AA37" s="12"/>
      <c r="AB37" s="12"/>
      <c r="AC37" s="12"/>
      <c r="AD37" s="12"/>
      <c r="AE37" s="12"/>
      <c r="AF37" s="12"/>
      <c r="AG37" s="12"/>
      <c r="AH37" s="12"/>
      <c r="AI37" s="12"/>
      <c r="AJ37" s="12"/>
      <c r="AK37" s="12"/>
      <c r="AL37" s="12"/>
      <c r="AM37" s="12"/>
      <c r="AN37" s="12"/>
      <c r="AO37" s="12"/>
      <c r="AP37" s="12"/>
      <c r="AQ37" s="12"/>
      <c r="AR37" s="12"/>
      <c r="AS37" s="12"/>
      <c r="AT37" s="12"/>
      <c r="AU37" s="12"/>
      <c r="AV37" s="12"/>
      <c r="AW37" s="12"/>
      <c r="AX37" s="12"/>
      <c r="AY37" s="12"/>
      <c r="AZ37" s="12"/>
      <c r="BA37" s="12"/>
      <c r="BB37" s="12"/>
      <c r="BC37" s="12"/>
      <c r="BD37" s="12"/>
      <c r="BE37" s="12"/>
      <c r="BF37" s="12"/>
      <c r="BG37" s="12"/>
      <c r="BH37" s="12"/>
      <c r="BI37" s="12"/>
      <c r="BJ37" s="12"/>
      <c r="BK37" s="12"/>
      <c r="BL37" s="12"/>
      <c r="BM37" s="12"/>
      <c r="BN37" s="12"/>
      <c r="BO37" s="12"/>
      <c r="BP37" s="12"/>
      <c r="BQ37" s="12"/>
      <c r="BR37" s="12"/>
      <c r="BS37" s="12"/>
      <c r="BT37" s="12"/>
      <c r="BU37" s="12"/>
      <c r="BV37" s="12"/>
      <c r="BW37" s="12"/>
      <c r="BX37" s="12"/>
      <c r="BY37" s="12"/>
      <c r="BZ37" s="12"/>
      <c r="CA37" s="12"/>
      <c r="CB37" s="12"/>
      <c r="CC37" s="12"/>
      <c r="CD37" s="12"/>
      <c r="CE37" s="12"/>
      <c r="CF37" s="12"/>
      <c r="CG37" s="12"/>
      <c r="CH37" s="17"/>
      <c r="CI37" s="17"/>
      <c r="CJ37" s="12"/>
      <c r="CK37" s="12"/>
      <c r="CL37" s="12"/>
      <c r="CM37" s="12"/>
      <c r="CN37" s="12"/>
      <c r="CO37" s="12"/>
      <c r="CP37" s="12"/>
      <c r="CQ37" s="12"/>
      <c r="CR37" s="12"/>
      <c r="CS37" s="12"/>
      <c r="CT37" s="12"/>
      <c r="CU37" s="16">
        <v>45306.0</v>
      </c>
      <c r="CV37" s="11" t="s">
        <v>157</v>
      </c>
      <c r="CW37" s="11" t="s">
        <v>285</v>
      </c>
      <c r="CX37" s="11" t="s">
        <v>286</v>
      </c>
      <c r="CY37" s="11" t="s">
        <v>287</v>
      </c>
      <c r="CZ37" s="11" t="s">
        <v>288</v>
      </c>
      <c r="DA37" s="11" t="s">
        <v>266</v>
      </c>
      <c r="DB37" s="11" t="s">
        <v>267</v>
      </c>
      <c r="DC37" s="15" t="s">
        <v>289</v>
      </c>
      <c r="DD37" s="17"/>
    </row>
    <row r="38" ht="22.5" customHeight="1">
      <c r="A38" s="10">
        <v>45983.6087475463</v>
      </c>
      <c r="B38" s="11" t="s">
        <v>207</v>
      </c>
      <c r="C38" s="11" t="s">
        <v>6</v>
      </c>
      <c r="D38" s="12"/>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c r="AH38" s="12"/>
      <c r="AI38" s="12"/>
      <c r="AJ38" s="12"/>
      <c r="AK38" s="12"/>
      <c r="AL38" s="12"/>
      <c r="AM38" s="12"/>
      <c r="AN38" s="12"/>
      <c r="AO38" s="12"/>
      <c r="AP38" s="12"/>
      <c r="AQ38" s="12"/>
      <c r="AR38" s="12"/>
      <c r="AS38" s="12"/>
      <c r="AT38" s="12"/>
      <c r="AU38" s="12"/>
      <c r="AV38" s="12"/>
      <c r="AW38" s="12"/>
      <c r="AX38" s="12"/>
      <c r="AY38" s="12"/>
      <c r="AZ38" s="16">
        <v>45676.0</v>
      </c>
      <c r="BA38" s="11" t="s">
        <v>290</v>
      </c>
      <c r="BB38" s="11" t="s">
        <v>291</v>
      </c>
      <c r="BC38" s="11" t="s">
        <v>217</v>
      </c>
      <c r="BD38" s="16">
        <v>45698.0</v>
      </c>
      <c r="BE38" s="11" t="s">
        <v>122</v>
      </c>
      <c r="BF38" s="11" t="s">
        <v>292</v>
      </c>
      <c r="BG38" s="11" t="s">
        <v>293</v>
      </c>
      <c r="BH38" s="11" t="s">
        <v>212</v>
      </c>
      <c r="BI38" s="11" t="s">
        <v>294</v>
      </c>
      <c r="BJ38" s="11" t="s">
        <v>214</v>
      </c>
      <c r="BK38" s="15" t="s">
        <v>295</v>
      </c>
      <c r="BL38" s="12"/>
      <c r="BM38" s="12"/>
      <c r="BN38" s="12"/>
      <c r="BO38" s="12"/>
      <c r="BP38" s="12"/>
      <c r="BQ38" s="12"/>
      <c r="BR38" s="12"/>
      <c r="BS38" s="12"/>
      <c r="BT38" s="12"/>
      <c r="BU38" s="12"/>
      <c r="BV38" s="12"/>
      <c r="BW38" s="12"/>
      <c r="BX38" s="12"/>
      <c r="BY38" s="12"/>
      <c r="BZ38" s="12"/>
      <c r="CA38" s="12"/>
      <c r="CB38" s="12"/>
      <c r="CC38" s="12"/>
      <c r="CD38" s="12"/>
      <c r="CE38" s="12"/>
      <c r="CF38" s="12"/>
      <c r="CG38" s="12"/>
      <c r="CH38" s="12"/>
      <c r="CI38" s="12"/>
      <c r="CJ38" s="12"/>
      <c r="CK38" s="12"/>
      <c r="CL38" s="12"/>
      <c r="CM38" s="12"/>
      <c r="CN38" s="12"/>
      <c r="CO38" s="12"/>
      <c r="CP38" s="12"/>
      <c r="CQ38" s="12"/>
      <c r="CR38" s="12"/>
      <c r="CS38" s="12"/>
      <c r="CT38" s="12"/>
      <c r="CU38" s="12"/>
      <c r="CV38" s="12"/>
      <c r="CW38" s="12"/>
      <c r="CX38" s="12"/>
      <c r="CY38" s="12"/>
      <c r="CZ38" s="12"/>
      <c r="DA38" s="12"/>
      <c r="DB38" s="12"/>
      <c r="DC38" s="12"/>
      <c r="DD38" s="12"/>
    </row>
    <row r="39" ht="22.5" customHeight="1">
      <c r="A39" s="10">
        <v>45983.61087152778</v>
      </c>
      <c r="B39" s="11" t="s">
        <v>120</v>
      </c>
      <c r="C39" s="11" t="s">
        <v>10</v>
      </c>
      <c r="D39" s="12"/>
      <c r="E39" s="12"/>
      <c r="F39" s="12"/>
      <c r="G39" s="12"/>
      <c r="H39" s="12"/>
      <c r="I39" s="12"/>
      <c r="J39" s="12"/>
      <c r="K39" s="16">
        <v>45356.0</v>
      </c>
      <c r="L39" s="11" t="s">
        <v>122</v>
      </c>
      <c r="M39" s="11" t="s">
        <v>296</v>
      </c>
      <c r="N39" s="11" t="s">
        <v>297</v>
      </c>
      <c r="O39" s="11" t="s">
        <v>274</v>
      </c>
      <c r="P39" s="11">
        <v>10.0</v>
      </c>
      <c r="Q39" s="16">
        <v>45356.0</v>
      </c>
      <c r="R39" s="16">
        <v>49008.0</v>
      </c>
      <c r="S39" s="15" t="s">
        <v>298</v>
      </c>
      <c r="T39" s="12"/>
      <c r="U39" s="12"/>
      <c r="V39" s="12"/>
      <c r="W39" s="12"/>
      <c r="X39" s="12"/>
      <c r="Y39" s="12"/>
      <c r="Z39" s="12"/>
      <c r="AA39" s="12"/>
      <c r="AB39" s="12"/>
      <c r="AC39" s="12"/>
      <c r="AD39" s="12"/>
      <c r="AE39" s="12"/>
      <c r="AF39" s="12"/>
      <c r="AG39" s="12"/>
      <c r="AH39" s="12"/>
      <c r="AI39" s="12"/>
      <c r="AJ39" s="12"/>
      <c r="AK39" s="12"/>
      <c r="AL39" s="12"/>
      <c r="AM39" s="12"/>
      <c r="AN39" s="12"/>
      <c r="AO39" s="12"/>
      <c r="AP39" s="12"/>
      <c r="AQ39" s="12"/>
      <c r="AR39" s="12"/>
      <c r="AS39" s="12"/>
      <c r="AT39" s="12"/>
      <c r="AU39" s="12"/>
      <c r="AV39" s="12"/>
      <c r="AW39" s="12"/>
      <c r="AX39" s="12"/>
      <c r="AY39" s="12"/>
      <c r="AZ39" s="12"/>
      <c r="BA39" s="12"/>
      <c r="BB39" s="12"/>
      <c r="BC39" s="12"/>
      <c r="BD39" s="12"/>
      <c r="BE39" s="12"/>
      <c r="BF39" s="12"/>
      <c r="BG39" s="12"/>
      <c r="BH39" s="12"/>
      <c r="BI39" s="12"/>
      <c r="BJ39" s="12"/>
      <c r="BK39" s="12"/>
      <c r="BL39" s="12"/>
      <c r="BM39" s="12"/>
      <c r="BN39" s="12"/>
      <c r="BO39" s="12"/>
      <c r="BP39" s="12"/>
      <c r="BQ39" s="12"/>
      <c r="BR39" s="12"/>
      <c r="BS39" s="12"/>
      <c r="BT39" s="12"/>
      <c r="BU39" s="12"/>
      <c r="BV39" s="12"/>
      <c r="BW39" s="12"/>
      <c r="BX39" s="12"/>
      <c r="BY39" s="12"/>
      <c r="BZ39" s="12"/>
      <c r="CA39" s="12"/>
      <c r="CB39" s="12"/>
      <c r="CC39" s="12"/>
      <c r="CD39" s="12"/>
      <c r="CE39" s="12"/>
      <c r="CF39" s="12"/>
      <c r="CG39" s="12"/>
      <c r="CH39" s="12"/>
      <c r="CI39" s="12"/>
      <c r="CJ39" s="12"/>
      <c r="CK39" s="12"/>
      <c r="CL39" s="12"/>
      <c r="CM39" s="12"/>
      <c r="CN39" s="12"/>
      <c r="CO39" s="12"/>
      <c r="CP39" s="12"/>
      <c r="CQ39" s="12"/>
      <c r="CR39" s="12"/>
      <c r="CS39" s="12"/>
      <c r="CT39" s="12"/>
      <c r="CU39" s="12"/>
      <c r="CV39" s="12"/>
      <c r="CW39" s="12"/>
      <c r="CX39" s="12"/>
      <c r="CY39" s="12"/>
      <c r="CZ39" s="12"/>
      <c r="DA39" s="12"/>
      <c r="DB39" s="12"/>
      <c r="DC39" s="12"/>
      <c r="DD39" s="12"/>
    </row>
    <row r="40" ht="22.5" customHeight="1">
      <c r="A40" s="10">
        <v>45983.61103033565</v>
      </c>
      <c r="B40" s="11" t="s">
        <v>207</v>
      </c>
      <c r="C40" s="11" t="s">
        <v>6</v>
      </c>
      <c r="D40" s="12"/>
      <c r="E40" s="12"/>
      <c r="F40" s="12"/>
      <c r="G40" s="12"/>
      <c r="H40" s="12"/>
      <c r="I40" s="12"/>
      <c r="J40" s="12"/>
      <c r="K40" s="12"/>
      <c r="L40" s="12"/>
      <c r="M40" s="12"/>
      <c r="N40" s="12"/>
      <c r="O40" s="12"/>
      <c r="P40" s="12"/>
      <c r="Q40" s="12"/>
      <c r="R40" s="12"/>
      <c r="S40" s="12"/>
      <c r="T40" s="12"/>
      <c r="U40" s="12"/>
      <c r="V40" s="12"/>
      <c r="W40" s="12"/>
      <c r="X40" s="12"/>
      <c r="Y40" s="12"/>
      <c r="Z40" s="12"/>
      <c r="AA40" s="12"/>
      <c r="AB40" s="12"/>
      <c r="AC40" s="12"/>
      <c r="AD40" s="12"/>
      <c r="AE40" s="12"/>
      <c r="AF40" s="12"/>
      <c r="AG40" s="12"/>
      <c r="AH40" s="12"/>
      <c r="AI40" s="12"/>
      <c r="AJ40" s="12"/>
      <c r="AK40" s="12"/>
      <c r="AL40" s="12"/>
      <c r="AM40" s="12"/>
      <c r="AN40" s="12"/>
      <c r="AO40" s="12"/>
      <c r="AP40" s="12"/>
      <c r="AQ40" s="12"/>
      <c r="AR40" s="12"/>
      <c r="AS40" s="12"/>
      <c r="AT40" s="12"/>
      <c r="AU40" s="12"/>
      <c r="AV40" s="12"/>
      <c r="AW40" s="12"/>
      <c r="AX40" s="12"/>
      <c r="AY40" s="12"/>
      <c r="AZ40" s="16">
        <v>45707.0</v>
      </c>
      <c r="BA40" s="11" t="s">
        <v>290</v>
      </c>
      <c r="BB40" s="11" t="s">
        <v>291</v>
      </c>
      <c r="BC40" s="11" t="s">
        <v>217</v>
      </c>
      <c r="BD40" s="16">
        <v>45698.0</v>
      </c>
      <c r="BE40" s="11" t="s">
        <v>122</v>
      </c>
      <c r="BF40" s="11" t="s">
        <v>292</v>
      </c>
      <c r="BG40" s="11" t="s">
        <v>293</v>
      </c>
      <c r="BH40" s="11" t="s">
        <v>8</v>
      </c>
      <c r="BI40" s="11" t="s">
        <v>299</v>
      </c>
      <c r="BJ40" s="11" t="s">
        <v>214</v>
      </c>
      <c r="BK40" s="15" t="s">
        <v>300</v>
      </c>
      <c r="BL40" s="12"/>
      <c r="BM40" s="12"/>
      <c r="BN40" s="12"/>
      <c r="BO40" s="12"/>
      <c r="BP40" s="12"/>
      <c r="BQ40" s="12"/>
      <c r="BR40" s="12"/>
      <c r="BS40" s="12"/>
      <c r="BT40" s="12"/>
      <c r="BU40" s="12"/>
      <c r="BV40" s="12"/>
      <c r="BW40" s="12"/>
      <c r="BX40" s="12"/>
      <c r="BY40" s="12"/>
      <c r="BZ40" s="12"/>
      <c r="CA40" s="12"/>
      <c r="CB40" s="12"/>
      <c r="CC40" s="12"/>
      <c r="CD40" s="12"/>
      <c r="CE40" s="12"/>
      <c r="CF40" s="12"/>
      <c r="CG40" s="12"/>
      <c r="CH40" s="12"/>
      <c r="CI40" s="12"/>
      <c r="CJ40" s="12"/>
      <c r="CK40" s="12"/>
      <c r="CL40" s="12"/>
      <c r="CM40" s="12"/>
      <c r="CN40" s="12"/>
      <c r="CO40" s="12"/>
      <c r="CP40" s="12"/>
      <c r="CQ40" s="12"/>
      <c r="CR40" s="12"/>
      <c r="CS40" s="12"/>
      <c r="CT40" s="12"/>
      <c r="CU40" s="12"/>
      <c r="CV40" s="12"/>
      <c r="CW40" s="12"/>
      <c r="CX40" s="12"/>
      <c r="CY40" s="12"/>
      <c r="CZ40" s="12"/>
      <c r="DA40" s="12"/>
      <c r="DB40" s="12"/>
      <c r="DC40" s="12"/>
      <c r="DD40" s="12"/>
    </row>
    <row r="41" ht="22.5" customHeight="1">
      <c r="A41" s="10">
        <v>45983.61378133102</v>
      </c>
      <c r="B41" s="11" t="s">
        <v>120</v>
      </c>
      <c r="C41" s="11" t="s">
        <v>10</v>
      </c>
      <c r="D41" s="12"/>
      <c r="E41" s="12"/>
      <c r="F41" s="12"/>
      <c r="G41" s="12"/>
      <c r="H41" s="12"/>
      <c r="I41" s="12"/>
      <c r="J41" s="12"/>
      <c r="K41" s="16">
        <v>45940.0</v>
      </c>
      <c r="L41" s="11" t="s">
        <v>122</v>
      </c>
      <c r="M41" s="11" t="s">
        <v>301</v>
      </c>
      <c r="N41" s="11" t="s">
        <v>302</v>
      </c>
      <c r="O41" s="11" t="s">
        <v>151</v>
      </c>
      <c r="P41" s="11">
        <v>1.0</v>
      </c>
      <c r="Q41" s="16">
        <v>45940.0</v>
      </c>
      <c r="R41" s="16">
        <v>46305.0</v>
      </c>
      <c r="S41" s="15" t="s">
        <v>303</v>
      </c>
      <c r="T41" s="12"/>
      <c r="U41" s="12"/>
      <c r="V41" s="12"/>
      <c r="W41" s="12"/>
      <c r="X41" s="12"/>
      <c r="Y41" s="12"/>
      <c r="Z41" s="12"/>
      <c r="AA41" s="12"/>
      <c r="AB41" s="12"/>
      <c r="AC41" s="12"/>
      <c r="AD41" s="12"/>
      <c r="AE41" s="12"/>
      <c r="AF41" s="12"/>
      <c r="AG41" s="12"/>
      <c r="AH41" s="12"/>
      <c r="AI41" s="12"/>
      <c r="AJ41" s="12"/>
      <c r="AK41" s="12"/>
      <c r="AL41" s="12"/>
      <c r="AM41" s="12"/>
      <c r="AN41" s="12"/>
      <c r="AO41" s="12"/>
      <c r="AP41" s="12"/>
      <c r="AQ41" s="12"/>
      <c r="AR41" s="12"/>
      <c r="AS41" s="12"/>
      <c r="AT41" s="12"/>
      <c r="AU41" s="12"/>
      <c r="AV41" s="12"/>
      <c r="AW41" s="12"/>
      <c r="AX41" s="12"/>
      <c r="AY41" s="12"/>
      <c r="AZ41" s="12"/>
      <c r="BA41" s="12"/>
      <c r="BB41" s="12"/>
      <c r="BC41" s="12"/>
      <c r="BD41" s="12"/>
      <c r="BE41" s="12"/>
      <c r="BF41" s="12"/>
      <c r="BG41" s="12"/>
      <c r="BH41" s="12"/>
      <c r="BI41" s="12"/>
      <c r="BJ41" s="12"/>
      <c r="BK41" s="12"/>
      <c r="BL41" s="12"/>
      <c r="BM41" s="12"/>
      <c r="BN41" s="12"/>
      <c r="BO41" s="12"/>
      <c r="BP41" s="12"/>
      <c r="BQ41" s="12"/>
      <c r="BR41" s="12"/>
      <c r="BS41" s="12"/>
      <c r="BT41" s="12"/>
      <c r="BU41" s="12"/>
      <c r="BV41" s="12"/>
      <c r="BW41" s="12"/>
      <c r="BX41" s="12"/>
      <c r="BY41" s="12"/>
      <c r="BZ41" s="12"/>
      <c r="CA41" s="12"/>
      <c r="CB41" s="12"/>
      <c r="CC41" s="12"/>
      <c r="CD41" s="12"/>
      <c r="CE41" s="12"/>
      <c r="CF41" s="12"/>
      <c r="CG41" s="12"/>
      <c r="CH41" s="12"/>
      <c r="CI41" s="12"/>
      <c r="CJ41" s="12"/>
      <c r="CK41" s="12"/>
      <c r="CL41" s="12"/>
      <c r="CM41" s="12"/>
      <c r="CN41" s="12"/>
      <c r="CO41" s="12"/>
      <c r="CP41" s="12"/>
      <c r="CQ41" s="12"/>
      <c r="CR41" s="12"/>
      <c r="CS41" s="12"/>
      <c r="CT41" s="12"/>
      <c r="CU41" s="12"/>
      <c r="CV41" s="12"/>
      <c r="CW41" s="12"/>
      <c r="CX41" s="12"/>
      <c r="CY41" s="12"/>
      <c r="CZ41" s="12"/>
      <c r="DA41" s="12"/>
      <c r="DB41" s="12"/>
      <c r="DC41" s="12"/>
      <c r="DD41" s="12"/>
    </row>
    <row r="42" ht="22.5" customHeight="1">
      <c r="A42" s="10">
        <v>45983.61405309028</v>
      </c>
      <c r="B42" s="11" t="s">
        <v>207</v>
      </c>
      <c r="C42" s="11" t="s">
        <v>6</v>
      </c>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c r="AH42" s="12"/>
      <c r="AI42" s="12"/>
      <c r="AJ42" s="12"/>
      <c r="AK42" s="12"/>
      <c r="AL42" s="12"/>
      <c r="AM42" s="12"/>
      <c r="AN42" s="12"/>
      <c r="AO42" s="12"/>
      <c r="AP42" s="12"/>
      <c r="AQ42" s="12"/>
      <c r="AR42" s="12"/>
      <c r="AS42" s="12"/>
      <c r="AT42" s="12"/>
      <c r="AU42" s="12"/>
      <c r="AV42" s="12"/>
      <c r="AW42" s="12"/>
      <c r="AX42" s="12"/>
      <c r="AY42" s="12"/>
      <c r="AZ42" s="16">
        <v>45756.0</v>
      </c>
      <c r="BA42" s="11" t="s">
        <v>290</v>
      </c>
      <c r="BB42" s="11" t="s">
        <v>304</v>
      </c>
      <c r="BC42" s="11" t="s">
        <v>305</v>
      </c>
      <c r="BD42" s="16">
        <v>45800.0</v>
      </c>
      <c r="BE42" s="11" t="s">
        <v>122</v>
      </c>
      <c r="BF42" s="11" t="s">
        <v>306</v>
      </c>
      <c r="BG42" s="11" t="s">
        <v>307</v>
      </c>
      <c r="BH42" s="11" t="s">
        <v>212</v>
      </c>
      <c r="BI42" s="11" t="s">
        <v>294</v>
      </c>
      <c r="BJ42" s="11" t="s">
        <v>214</v>
      </c>
      <c r="BK42" s="15" t="s">
        <v>308</v>
      </c>
      <c r="BL42" s="12"/>
      <c r="BM42" s="12"/>
      <c r="BN42" s="12"/>
      <c r="BO42" s="12"/>
      <c r="BP42" s="12"/>
      <c r="BQ42" s="12"/>
      <c r="BR42" s="12"/>
      <c r="BS42" s="12"/>
      <c r="BT42" s="12"/>
      <c r="BU42" s="12"/>
      <c r="BV42" s="12"/>
      <c r="BW42" s="12"/>
      <c r="BX42" s="12"/>
      <c r="BY42" s="12"/>
      <c r="BZ42" s="12"/>
      <c r="CA42" s="12"/>
      <c r="CB42" s="12"/>
      <c r="CC42" s="12"/>
      <c r="CD42" s="12"/>
      <c r="CE42" s="12"/>
      <c r="CF42" s="12"/>
      <c r="CG42" s="12"/>
      <c r="CH42" s="12"/>
      <c r="CI42" s="12"/>
      <c r="CJ42" s="12"/>
      <c r="CK42" s="12"/>
      <c r="CL42" s="12"/>
      <c r="CM42" s="12"/>
      <c r="CN42" s="12"/>
      <c r="CO42" s="12"/>
      <c r="CP42" s="12"/>
      <c r="CQ42" s="12"/>
      <c r="CR42" s="12"/>
      <c r="CS42" s="12"/>
      <c r="CT42" s="12"/>
      <c r="CU42" s="12"/>
      <c r="CV42" s="12"/>
      <c r="CW42" s="12"/>
      <c r="CX42" s="12"/>
      <c r="CY42" s="12"/>
      <c r="CZ42" s="12"/>
      <c r="DA42" s="12"/>
      <c r="DB42" s="12"/>
      <c r="DC42" s="12"/>
      <c r="DD42" s="12"/>
    </row>
    <row r="43" ht="22.5" customHeight="1">
      <c r="A43" s="10">
        <v>45983.617856875004</v>
      </c>
      <c r="B43" s="11" t="s">
        <v>207</v>
      </c>
      <c r="C43" s="11" t="s">
        <v>6</v>
      </c>
      <c r="D43" s="12"/>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c r="AE43" s="12"/>
      <c r="AF43" s="12"/>
      <c r="AG43" s="12"/>
      <c r="AH43" s="12"/>
      <c r="AI43" s="12"/>
      <c r="AJ43" s="12"/>
      <c r="AK43" s="12"/>
      <c r="AL43" s="12"/>
      <c r="AM43" s="12"/>
      <c r="AN43" s="12"/>
      <c r="AO43" s="12"/>
      <c r="AP43" s="12"/>
      <c r="AQ43" s="12"/>
      <c r="AR43" s="12"/>
      <c r="AS43" s="12"/>
      <c r="AT43" s="12"/>
      <c r="AU43" s="12"/>
      <c r="AV43" s="12"/>
      <c r="AW43" s="12"/>
      <c r="AX43" s="12"/>
      <c r="AY43" s="12"/>
      <c r="AZ43" s="16">
        <v>45756.0</v>
      </c>
      <c r="BA43" s="11" t="s">
        <v>290</v>
      </c>
      <c r="BB43" s="11" t="s">
        <v>309</v>
      </c>
      <c r="BC43" s="11" t="s">
        <v>305</v>
      </c>
      <c r="BD43" s="16">
        <v>45800.0</v>
      </c>
      <c r="BE43" s="11" t="s">
        <v>122</v>
      </c>
      <c r="BF43" s="11" t="s">
        <v>310</v>
      </c>
      <c r="BG43" s="11" t="s">
        <v>311</v>
      </c>
      <c r="BH43" s="11" t="s">
        <v>212</v>
      </c>
      <c r="BI43" s="11" t="s">
        <v>294</v>
      </c>
      <c r="BJ43" s="11" t="s">
        <v>214</v>
      </c>
      <c r="BK43" s="15" t="s">
        <v>312</v>
      </c>
      <c r="BL43" s="12"/>
      <c r="BM43" s="12"/>
      <c r="BN43" s="12"/>
      <c r="BO43" s="12"/>
      <c r="BP43" s="12"/>
      <c r="BQ43" s="12"/>
      <c r="BR43" s="12"/>
      <c r="BS43" s="12"/>
      <c r="BT43" s="12"/>
      <c r="BU43" s="12"/>
      <c r="BV43" s="12"/>
      <c r="BW43" s="12"/>
      <c r="BX43" s="12"/>
      <c r="BY43" s="12"/>
      <c r="BZ43" s="12"/>
      <c r="CA43" s="12"/>
      <c r="CB43" s="12"/>
      <c r="CC43" s="12"/>
      <c r="CD43" s="12"/>
      <c r="CE43" s="12"/>
      <c r="CF43" s="12"/>
      <c r="CG43" s="12"/>
      <c r="CH43" s="12"/>
      <c r="CI43" s="12"/>
      <c r="CJ43" s="12"/>
      <c r="CK43" s="12"/>
      <c r="CL43" s="12"/>
      <c r="CM43" s="12"/>
      <c r="CN43" s="12"/>
      <c r="CO43" s="12"/>
      <c r="CP43" s="12"/>
      <c r="CQ43" s="12"/>
      <c r="CR43" s="12"/>
      <c r="CS43" s="12"/>
      <c r="CT43" s="12"/>
      <c r="CU43" s="12"/>
      <c r="CV43" s="12"/>
      <c r="CW43" s="12"/>
      <c r="CX43" s="12"/>
      <c r="CY43" s="12"/>
      <c r="CZ43" s="12"/>
      <c r="DA43" s="12"/>
      <c r="DB43" s="12"/>
      <c r="DC43" s="12"/>
      <c r="DD43" s="12"/>
    </row>
    <row r="44" ht="22.5" customHeight="1">
      <c r="A44" s="10">
        <v>45983.622034976856</v>
      </c>
      <c r="B44" s="11" t="s">
        <v>207</v>
      </c>
      <c r="C44" s="11" t="s">
        <v>6</v>
      </c>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2"/>
      <c r="AG44" s="12"/>
      <c r="AH44" s="12"/>
      <c r="AI44" s="12"/>
      <c r="AJ44" s="12"/>
      <c r="AK44" s="12"/>
      <c r="AL44" s="12"/>
      <c r="AM44" s="12"/>
      <c r="AN44" s="12"/>
      <c r="AO44" s="12"/>
      <c r="AP44" s="12"/>
      <c r="AQ44" s="12"/>
      <c r="AR44" s="12"/>
      <c r="AS44" s="12"/>
      <c r="AT44" s="12"/>
      <c r="AU44" s="12"/>
      <c r="AV44" s="12"/>
      <c r="AW44" s="12"/>
      <c r="AX44" s="12"/>
      <c r="AY44" s="12"/>
      <c r="AZ44" s="16">
        <v>45756.0</v>
      </c>
      <c r="BA44" s="11" t="s">
        <v>290</v>
      </c>
      <c r="BB44" s="11" t="s">
        <v>313</v>
      </c>
      <c r="BC44" s="11" t="s">
        <v>217</v>
      </c>
      <c r="BD44" s="16">
        <v>45722.0</v>
      </c>
      <c r="BE44" s="11" t="s">
        <v>122</v>
      </c>
      <c r="BF44" s="11" t="s">
        <v>314</v>
      </c>
      <c r="BG44" s="11" t="s">
        <v>315</v>
      </c>
      <c r="BH44" s="11" t="s">
        <v>212</v>
      </c>
      <c r="BI44" s="11" t="s">
        <v>294</v>
      </c>
      <c r="BJ44" s="11" t="s">
        <v>214</v>
      </c>
      <c r="BK44" s="15" t="s">
        <v>316</v>
      </c>
      <c r="BL44" s="12"/>
      <c r="BM44" s="12"/>
      <c r="BN44" s="12"/>
      <c r="BO44" s="12"/>
      <c r="BP44" s="12"/>
      <c r="BQ44" s="12"/>
      <c r="BR44" s="12"/>
      <c r="BS44" s="12"/>
      <c r="BT44" s="12"/>
      <c r="BU44" s="12"/>
      <c r="BV44" s="12"/>
      <c r="BW44" s="12"/>
      <c r="BX44" s="12"/>
      <c r="BY44" s="12"/>
      <c r="BZ44" s="12"/>
      <c r="CA44" s="12"/>
      <c r="CB44" s="12"/>
      <c r="CC44" s="12"/>
      <c r="CD44" s="12"/>
      <c r="CE44" s="12"/>
      <c r="CF44" s="12"/>
      <c r="CG44" s="12"/>
      <c r="CH44" s="12"/>
      <c r="CI44" s="12"/>
      <c r="CJ44" s="12"/>
      <c r="CK44" s="12"/>
      <c r="CL44" s="12"/>
      <c r="CM44" s="12"/>
      <c r="CN44" s="12"/>
      <c r="CO44" s="12"/>
      <c r="CP44" s="12"/>
      <c r="CQ44" s="12"/>
      <c r="CR44" s="12"/>
      <c r="CS44" s="12"/>
      <c r="CT44" s="12"/>
      <c r="CU44" s="12"/>
      <c r="CV44" s="12"/>
      <c r="CW44" s="12"/>
      <c r="CX44" s="12"/>
      <c r="CY44" s="12"/>
      <c r="CZ44" s="12"/>
      <c r="DA44" s="12"/>
      <c r="DB44" s="12"/>
      <c r="DC44" s="12"/>
      <c r="DD44" s="12"/>
    </row>
    <row r="45" ht="22.5" customHeight="1">
      <c r="A45" s="10">
        <v>45983.622528761574</v>
      </c>
      <c r="B45" s="11" t="s">
        <v>164</v>
      </c>
      <c r="C45" s="11" t="s">
        <v>1</v>
      </c>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c r="AG45" s="12"/>
      <c r="AH45" s="12"/>
      <c r="AI45" s="12"/>
      <c r="AJ45" s="12"/>
      <c r="AK45" s="12"/>
      <c r="AL45" s="12"/>
      <c r="AM45" s="12"/>
      <c r="AN45" s="12"/>
      <c r="AO45" s="12"/>
      <c r="AP45" s="12"/>
      <c r="AQ45" s="12"/>
      <c r="AR45" s="12"/>
      <c r="AS45" s="12"/>
      <c r="AT45" s="12"/>
      <c r="AU45" s="12"/>
      <c r="AV45" s="12"/>
      <c r="AW45" s="12"/>
      <c r="AX45" s="12"/>
      <c r="AY45" s="12"/>
      <c r="AZ45" s="12"/>
      <c r="BA45" s="12"/>
      <c r="BB45" s="12"/>
      <c r="BC45" s="12"/>
      <c r="BD45" s="12"/>
      <c r="BE45" s="12"/>
      <c r="BF45" s="12"/>
      <c r="BG45" s="12"/>
      <c r="BH45" s="12"/>
      <c r="BI45" s="12"/>
      <c r="BJ45" s="12"/>
      <c r="BK45" s="12"/>
      <c r="BL45" s="12"/>
      <c r="BM45" s="12"/>
      <c r="BN45" s="12"/>
      <c r="BO45" s="12"/>
      <c r="BP45" s="12"/>
      <c r="BQ45" s="12"/>
      <c r="BR45" s="12"/>
      <c r="BS45" s="12"/>
      <c r="BT45" s="12"/>
      <c r="BU45" s="12"/>
      <c r="BV45" s="12"/>
      <c r="BW45" s="12"/>
      <c r="BX45" s="12"/>
      <c r="BY45" s="12"/>
      <c r="BZ45" s="12"/>
      <c r="CA45" s="12"/>
      <c r="CB45" s="12"/>
      <c r="CC45" s="12"/>
      <c r="CD45" s="12"/>
      <c r="CE45" s="12"/>
      <c r="CF45" s="12"/>
      <c r="CG45" s="12"/>
      <c r="CH45" s="12"/>
      <c r="CI45" s="12"/>
      <c r="CJ45" s="12"/>
      <c r="CK45" s="12"/>
      <c r="CL45" s="12"/>
      <c r="CM45" s="12"/>
      <c r="CN45" s="12"/>
      <c r="CO45" s="12"/>
      <c r="CP45" s="12"/>
      <c r="CQ45" s="12"/>
      <c r="CR45" s="12"/>
      <c r="CS45" s="12"/>
      <c r="CT45" s="12"/>
      <c r="CU45" s="16">
        <v>45313.0</v>
      </c>
      <c r="CV45" s="11" t="s">
        <v>157</v>
      </c>
      <c r="CW45" s="11" t="s">
        <v>317</v>
      </c>
      <c r="CX45" s="11" t="s">
        <v>318</v>
      </c>
      <c r="CY45" s="11" t="s">
        <v>319</v>
      </c>
      <c r="CZ45" s="11" t="s">
        <v>320</v>
      </c>
      <c r="DA45" s="11" t="s">
        <v>321</v>
      </c>
      <c r="DB45" s="11" t="s">
        <v>267</v>
      </c>
      <c r="DC45" s="12"/>
      <c r="DD45" s="12"/>
    </row>
    <row r="46" ht="22.5" customHeight="1">
      <c r="A46" s="10">
        <v>45983.62433200231</v>
      </c>
      <c r="B46" s="11" t="s">
        <v>207</v>
      </c>
      <c r="C46" s="11" t="s">
        <v>6</v>
      </c>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c r="AG46" s="12"/>
      <c r="AH46" s="12"/>
      <c r="AI46" s="12"/>
      <c r="AJ46" s="12"/>
      <c r="AK46" s="12"/>
      <c r="AL46" s="12"/>
      <c r="AM46" s="12"/>
      <c r="AN46" s="12"/>
      <c r="AO46" s="12"/>
      <c r="AP46" s="12"/>
      <c r="AQ46" s="12"/>
      <c r="AR46" s="12"/>
      <c r="AS46" s="12"/>
      <c r="AT46" s="12"/>
      <c r="AU46" s="12"/>
      <c r="AV46" s="12"/>
      <c r="AW46" s="12"/>
      <c r="AX46" s="12"/>
      <c r="AY46" s="12"/>
      <c r="AZ46" s="16">
        <v>45756.0</v>
      </c>
      <c r="BA46" s="11" t="s">
        <v>290</v>
      </c>
      <c r="BB46" s="11" t="s">
        <v>313</v>
      </c>
      <c r="BC46" s="11" t="s">
        <v>217</v>
      </c>
      <c r="BD46" s="16">
        <v>45722.0</v>
      </c>
      <c r="BE46" s="11" t="s">
        <v>122</v>
      </c>
      <c r="BF46" s="11" t="s">
        <v>314</v>
      </c>
      <c r="BG46" s="11" t="s">
        <v>315</v>
      </c>
      <c r="BH46" s="11" t="s">
        <v>8</v>
      </c>
      <c r="BI46" s="11" t="s">
        <v>299</v>
      </c>
      <c r="BJ46" s="11" t="s">
        <v>214</v>
      </c>
      <c r="BK46" s="15" t="s">
        <v>322</v>
      </c>
      <c r="BL46" s="12"/>
      <c r="BM46" s="12"/>
      <c r="BN46" s="12"/>
      <c r="BO46" s="12"/>
      <c r="BP46" s="12"/>
      <c r="BQ46" s="12"/>
      <c r="BR46" s="12"/>
      <c r="BS46" s="12"/>
      <c r="BT46" s="12"/>
      <c r="BU46" s="12"/>
      <c r="BV46" s="12"/>
      <c r="BW46" s="12"/>
      <c r="BX46" s="12"/>
      <c r="BY46" s="12"/>
      <c r="BZ46" s="12"/>
      <c r="CA46" s="12"/>
      <c r="CB46" s="12"/>
      <c r="CC46" s="12"/>
      <c r="CD46" s="12"/>
      <c r="CE46" s="12"/>
      <c r="CF46" s="12"/>
      <c r="CG46" s="12"/>
      <c r="CH46" s="12"/>
      <c r="CI46" s="12"/>
      <c r="CJ46" s="12"/>
      <c r="CK46" s="12"/>
      <c r="CL46" s="12"/>
      <c r="CM46" s="12"/>
      <c r="CN46" s="12"/>
      <c r="CO46" s="12"/>
      <c r="CP46" s="12"/>
      <c r="CQ46" s="12"/>
      <c r="CR46" s="12"/>
      <c r="CS46" s="12"/>
      <c r="CT46" s="12"/>
      <c r="CU46" s="12"/>
      <c r="CV46" s="12"/>
      <c r="CW46" s="12"/>
      <c r="CX46" s="12"/>
      <c r="CY46" s="12"/>
      <c r="CZ46" s="12"/>
      <c r="DA46" s="12"/>
      <c r="DB46" s="12"/>
      <c r="DC46" s="12"/>
      <c r="DD46" s="12"/>
    </row>
    <row r="47" ht="22.5" customHeight="1">
      <c r="A47" s="10">
        <v>45983.62731538195</v>
      </c>
      <c r="B47" s="11" t="s">
        <v>207</v>
      </c>
      <c r="C47" s="11" t="s">
        <v>6</v>
      </c>
      <c r="D47" s="12"/>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6">
        <v>45762.0</v>
      </c>
      <c r="BA47" s="11" t="s">
        <v>290</v>
      </c>
      <c r="BB47" s="11" t="s">
        <v>323</v>
      </c>
      <c r="BC47" s="11" t="s">
        <v>217</v>
      </c>
      <c r="BD47" s="16">
        <v>45800.0</v>
      </c>
      <c r="BE47" s="11" t="s">
        <v>122</v>
      </c>
      <c r="BF47" s="11" t="s">
        <v>324</v>
      </c>
      <c r="BG47" s="11" t="s">
        <v>325</v>
      </c>
      <c r="BH47" s="11" t="s">
        <v>212</v>
      </c>
      <c r="BI47" s="11" t="s">
        <v>294</v>
      </c>
      <c r="BJ47" s="11" t="s">
        <v>214</v>
      </c>
      <c r="BK47" s="15" t="s">
        <v>326</v>
      </c>
      <c r="BL47" s="12"/>
      <c r="BM47" s="12"/>
      <c r="BN47" s="12"/>
      <c r="BO47" s="12"/>
      <c r="BP47" s="12"/>
      <c r="BQ47" s="12"/>
      <c r="BR47" s="12"/>
      <c r="BS47" s="12"/>
      <c r="BT47" s="12"/>
      <c r="BU47" s="12"/>
      <c r="BV47" s="12"/>
      <c r="BW47" s="12"/>
      <c r="BX47" s="12"/>
      <c r="BY47" s="12"/>
      <c r="BZ47" s="12"/>
      <c r="CA47" s="12"/>
      <c r="CB47" s="12"/>
      <c r="CC47" s="12"/>
      <c r="CD47" s="12"/>
      <c r="CE47" s="12"/>
      <c r="CF47" s="12"/>
      <c r="CG47" s="12"/>
      <c r="CH47" s="12"/>
      <c r="CI47" s="12"/>
      <c r="CJ47" s="12"/>
      <c r="CK47" s="12"/>
      <c r="CL47" s="12"/>
      <c r="CM47" s="12"/>
      <c r="CN47" s="12"/>
      <c r="CO47" s="12"/>
      <c r="CP47" s="12"/>
      <c r="CQ47" s="12"/>
      <c r="CR47" s="12"/>
      <c r="CS47" s="12"/>
      <c r="CT47" s="12"/>
      <c r="CU47" s="12"/>
      <c r="CV47" s="12"/>
      <c r="CW47" s="12"/>
      <c r="CX47" s="12"/>
      <c r="CY47" s="12"/>
      <c r="CZ47" s="12"/>
      <c r="DA47" s="12"/>
      <c r="DB47" s="12"/>
      <c r="DC47" s="12"/>
      <c r="DD47" s="12"/>
    </row>
    <row r="48" ht="22.5" customHeight="1">
      <c r="A48" s="10">
        <v>45983.631244398144</v>
      </c>
      <c r="B48" s="11" t="s">
        <v>207</v>
      </c>
      <c r="C48" s="11" t="s">
        <v>6</v>
      </c>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c r="AH48" s="12"/>
      <c r="AI48" s="12"/>
      <c r="AJ48" s="12"/>
      <c r="AK48" s="12"/>
      <c r="AL48" s="12"/>
      <c r="AM48" s="12"/>
      <c r="AN48" s="12"/>
      <c r="AO48" s="12"/>
      <c r="AP48" s="12"/>
      <c r="AQ48" s="12"/>
      <c r="AR48" s="12"/>
      <c r="AS48" s="12"/>
      <c r="AT48" s="12"/>
      <c r="AU48" s="12"/>
      <c r="AV48" s="12"/>
      <c r="AW48" s="12"/>
      <c r="AX48" s="12"/>
      <c r="AY48" s="12"/>
      <c r="AZ48" s="16">
        <v>45487.0</v>
      </c>
      <c r="BA48" s="11" t="s">
        <v>290</v>
      </c>
      <c r="BB48" s="11" t="s">
        <v>327</v>
      </c>
      <c r="BC48" s="11" t="s">
        <v>249</v>
      </c>
      <c r="BD48" s="16">
        <v>45530.0</v>
      </c>
      <c r="BE48" s="11" t="s">
        <v>122</v>
      </c>
      <c r="BF48" s="11" t="s">
        <v>328</v>
      </c>
      <c r="BG48" s="11" t="s">
        <v>329</v>
      </c>
      <c r="BH48" s="11" t="s">
        <v>212</v>
      </c>
      <c r="BI48" s="11" t="s">
        <v>233</v>
      </c>
      <c r="BJ48" s="11" t="s">
        <v>214</v>
      </c>
      <c r="BK48" s="15" t="s">
        <v>330</v>
      </c>
      <c r="BL48" s="12"/>
      <c r="BM48" s="12"/>
      <c r="BN48" s="12"/>
      <c r="BO48" s="12"/>
      <c r="BP48" s="12"/>
      <c r="BQ48" s="12"/>
      <c r="BR48" s="12"/>
      <c r="BS48" s="12"/>
      <c r="BT48" s="12"/>
      <c r="BU48" s="12"/>
      <c r="BV48" s="12"/>
      <c r="BW48" s="12"/>
      <c r="BX48" s="12"/>
      <c r="BY48" s="12"/>
      <c r="BZ48" s="12"/>
      <c r="CA48" s="12"/>
      <c r="CB48" s="12"/>
      <c r="CC48" s="12"/>
      <c r="CD48" s="12"/>
      <c r="CE48" s="12"/>
      <c r="CF48" s="12"/>
      <c r="CG48" s="12"/>
      <c r="CH48" s="12"/>
      <c r="CI48" s="12"/>
      <c r="CJ48" s="12"/>
      <c r="CK48" s="12"/>
      <c r="CL48" s="12"/>
      <c r="CM48" s="12"/>
      <c r="CN48" s="12"/>
      <c r="CO48" s="12"/>
      <c r="CP48" s="12"/>
      <c r="CQ48" s="12"/>
      <c r="CR48" s="12"/>
      <c r="CS48" s="12"/>
      <c r="CT48" s="12"/>
      <c r="CU48" s="12"/>
      <c r="CV48" s="12"/>
      <c r="CW48" s="12"/>
      <c r="CX48" s="12"/>
      <c r="CY48" s="12"/>
      <c r="CZ48" s="12"/>
      <c r="DA48" s="12"/>
      <c r="DB48" s="12"/>
      <c r="DC48" s="12"/>
      <c r="DD48" s="12"/>
    </row>
    <row r="49" ht="22.5" customHeight="1">
      <c r="A49" s="10">
        <v>45983.63634236111</v>
      </c>
      <c r="B49" s="11" t="s">
        <v>164</v>
      </c>
      <c r="C49" s="11" t="s">
        <v>1</v>
      </c>
      <c r="D49" s="12"/>
      <c r="E49" s="12"/>
      <c r="F49" s="12"/>
      <c r="G49" s="12"/>
      <c r="H49" s="12"/>
      <c r="I49" s="12"/>
      <c r="J49" s="12"/>
      <c r="K49" s="12"/>
      <c r="L49" s="12"/>
      <c r="M49" s="12"/>
      <c r="N49" s="12"/>
      <c r="O49" s="12"/>
      <c r="P49" s="12"/>
      <c r="Q49" s="12"/>
      <c r="R49" s="12"/>
      <c r="S49" s="12"/>
      <c r="T49" s="12"/>
      <c r="U49" s="12"/>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c r="AV49" s="12"/>
      <c r="AW49" s="12"/>
      <c r="AX49" s="12"/>
      <c r="AY49" s="12"/>
      <c r="AZ49" s="12"/>
      <c r="BA49" s="12"/>
      <c r="BB49" s="12"/>
      <c r="BC49" s="12"/>
      <c r="BD49" s="12"/>
      <c r="BE49" s="12"/>
      <c r="BF49" s="12"/>
      <c r="BG49" s="12"/>
      <c r="BH49" s="12"/>
      <c r="BI49" s="12"/>
      <c r="BJ49" s="12"/>
      <c r="BK49" s="12"/>
      <c r="BL49" s="12"/>
      <c r="BM49" s="12"/>
      <c r="BN49" s="12"/>
      <c r="BO49" s="12"/>
      <c r="BP49" s="12"/>
      <c r="BQ49" s="12"/>
      <c r="BR49" s="12"/>
      <c r="BS49" s="12"/>
      <c r="BT49" s="12"/>
      <c r="BU49" s="12"/>
      <c r="BV49" s="12"/>
      <c r="BW49" s="12"/>
      <c r="BX49" s="12"/>
      <c r="BY49" s="12"/>
      <c r="BZ49" s="12"/>
      <c r="CA49" s="12"/>
      <c r="CB49" s="12"/>
      <c r="CC49" s="12"/>
      <c r="CD49" s="12"/>
      <c r="CE49" s="12"/>
      <c r="CF49" s="12"/>
      <c r="CG49" s="12"/>
      <c r="CH49" s="17"/>
      <c r="CI49" s="17"/>
      <c r="CJ49" s="12"/>
      <c r="CK49" s="12"/>
      <c r="CL49" s="12"/>
      <c r="CM49" s="12"/>
      <c r="CN49" s="12"/>
      <c r="CO49" s="12"/>
      <c r="CP49" s="12"/>
      <c r="CQ49" s="12"/>
      <c r="CR49" s="12"/>
      <c r="CS49" s="12"/>
      <c r="CT49" s="12"/>
      <c r="CU49" s="16">
        <v>45321.0</v>
      </c>
      <c r="CV49" s="11" t="s">
        <v>157</v>
      </c>
      <c r="CW49" s="11" t="s">
        <v>331</v>
      </c>
      <c r="CX49" s="11" t="s">
        <v>147</v>
      </c>
      <c r="CY49" s="11" t="s">
        <v>332</v>
      </c>
      <c r="CZ49" s="11" t="s">
        <v>333</v>
      </c>
      <c r="DA49" s="11" t="s">
        <v>334</v>
      </c>
      <c r="DB49" s="11" t="s">
        <v>267</v>
      </c>
      <c r="DC49" s="15" t="s">
        <v>335</v>
      </c>
      <c r="DD49" s="17"/>
    </row>
    <row r="50" ht="22.5" customHeight="1">
      <c r="A50" s="10">
        <v>45983.63705150463</v>
      </c>
      <c r="B50" s="11" t="s">
        <v>207</v>
      </c>
      <c r="C50" s="11" t="s">
        <v>6</v>
      </c>
      <c r="D50" s="12"/>
      <c r="E50" s="12"/>
      <c r="F50" s="12"/>
      <c r="G50" s="12"/>
      <c r="H50" s="12"/>
      <c r="I50" s="12"/>
      <c r="J50" s="12"/>
      <c r="K50" s="12"/>
      <c r="L50" s="12"/>
      <c r="M50" s="12"/>
      <c r="N50" s="12"/>
      <c r="O50" s="12"/>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c r="AV50" s="12"/>
      <c r="AW50" s="12"/>
      <c r="AX50" s="12"/>
      <c r="AY50" s="12"/>
      <c r="AZ50" s="16">
        <v>45587.0</v>
      </c>
      <c r="BA50" s="11" t="s">
        <v>336</v>
      </c>
      <c r="BB50" s="11" t="s">
        <v>337</v>
      </c>
      <c r="BC50" s="11" t="s">
        <v>217</v>
      </c>
      <c r="BD50" s="16">
        <v>45593.0</v>
      </c>
      <c r="BE50" s="11" t="s">
        <v>122</v>
      </c>
      <c r="BF50" s="11" t="s">
        <v>338</v>
      </c>
      <c r="BG50" s="11" t="s">
        <v>339</v>
      </c>
      <c r="BH50" s="11" t="s">
        <v>212</v>
      </c>
      <c r="BI50" s="11" t="s">
        <v>294</v>
      </c>
      <c r="BJ50" s="11" t="s">
        <v>214</v>
      </c>
      <c r="BK50" s="15" t="s">
        <v>340</v>
      </c>
      <c r="BL50" s="12"/>
      <c r="BM50" s="12"/>
      <c r="BN50" s="12"/>
      <c r="BO50" s="12"/>
      <c r="BP50" s="12"/>
      <c r="BQ50" s="12"/>
      <c r="BR50" s="12"/>
      <c r="BS50" s="12"/>
      <c r="BT50" s="12"/>
      <c r="BU50" s="12"/>
      <c r="BV50" s="12"/>
      <c r="BW50" s="12"/>
      <c r="BX50" s="12"/>
      <c r="BY50" s="12"/>
      <c r="BZ50" s="12"/>
      <c r="CA50" s="12"/>
      <c r="CB50" s="12"/>
      <c r="CC50" s="12"/>
      <c r="CD50" s="12"/>
      <c r="CE50" s="12"/>
      <c r="CF50" s="12"/>
      <c r="CG50" s="12"/>
      <c r="CH50" s="12"/>
      <c r="CI50" s="12"/>
      <c r="CJ50" s="12"/>
      <c r="CK50" s="12"/>
      <c r="CL50" s="12"/>
      <c r="CM50" s="12"/>
      <c r="CN50" s="12"/>
      <c r="CO50" s="12"/>
      <c r="CP50" s="12"/>
      <c r="CQ50" s="12"/>
      <c r="CR50" s="12"/>
      <c r="CS50" s="12"/>
      <c r="CT50" s="12"/>
      <c r="CU50" s="12"/>
      <c r="CV50" s="12"/>
      <c r="CW50" s="12"/>
      <c r="CX50" s="12"/>
      <c r="CY50" s="12"/>
      <c r="CZ50" s="12"/>
      <c r="DA50" s="12"/>
      <c r="DB50" s="12"/>
      <c r="DC50" s="12"/>
      <c r="DD50" s="12"/>
    </row>
    <row r="51" ht="22.5" customHeight="1">
      <c r="A51" s="10">
        <v>45983.64234371528</v>
      </c>
      <c r="B51" s="11" t="s">
        <v>207</v>
      </c>
      <c r="C51" s="11" t="s">
        <v>6</v>
      </c>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c r="AV51" s="12"/>
      <c r="AW51" s="12"/>
      <c r="AX51" s="12"/>
      <c r="AY51" s="12"/>
      <c r="AZ51" s="16">
        <v>45197.0</v>
      </c>
      <c r="BA51" s="11" t="s">
        <v>341</v>
      </c>
      <c r="BB51" s="11" t="s">
        <v>342</v>
      </c>
      <c r="BC51" s="11" t="s">
        <v>343</v>
      </c>
      <c r="BD51" s="16">
        <v>45218.0</v>
      </c>
      <c r="BE51" s="11" t="s">
        <v>122</v>
      </c>
      <c r="BF51" s="11" t="s">
        <v>344</v>
      </c>
      <c r="BG51" s="11" t="s">
        <v>345</v>
      </c>
      <c r="BH51" s="11" t="s">
        <v>212</v>
      </c>
      <c r="BI51" s="11" t="s">
        <v>294</v>
      </c>
      <c r="BJ51" s="11" t="s">
        <v>214</v>
      </c>
      <c r="BK51" s="15" t="s">
        <v>346</v>
      </c>
      <c r="BL51" s="12"/>
      <c r="BM51" s="12"/>
      <c r="BN51" s="12"/>
      <c r="BO51" s="12"/>
      <c r="BP51" s="12"/>
      <c r="BQ51" s="12"/>
      <c r="BR51" s="12"/>
      <c r="BS51" s="12"/>
      <c r="BT51" s="12"/>
      <c r="BU51" s="12"/>
      <c r="BV51" s="12"/>
      <c r="BW51" s="12"/>
      <c r="BX51" s="12"/>
      <c r="BY51" s="12"/>
      <c r="BZ51" s="12"/>
      <c r="CA51" s="12"/>
      <c r="CB51" s="12"/>
      <c r="CC51" s="12"/>
      <c r="CD51" s="12"/>
      <c r="CE51" s="12"/>
      <c r="CF51" s="12"/>
      <c r="CG51" s="12"/>
      <c r="CH51" s="12"/>
      <c r="CI51" s="12"/>
      <c r="CJ51" s="12"/>
      <c r="CK51" s="12"/>
      <c r="CL51" s="12"/>
      <c r="CM51" s="12"/>
      <c r="CN51" s="12"/>
      <c r="CO51" s="12"/>
      <c r="CP51" s="12"/>
      <c r="CQ51" s="12"/>
      <c r="CR51" s="12"/>
      <c r="CS51" s="12"/>
      <c r="CT51" s="12"/>
      <c r="CU51" s="12"/>
      <c r="CV51" s="12"/>
      <c r="CW51" s="12"/>
      <c r="CX51" s="12"/>
      <c r="CY51" s="12"/>
      <c r="CZ51" s="12"/>
      <c r="DA51" s="12"/>
      <c r="DB51" s="12"/>
      <c r="DC51" s="12"/>
      <c r="DD51" s="12"/>
    </row>
    <row r="52" ht="22.5" customHeight="1">
      <c r="A52" s="10">
        <v>45983.645779502316</v>
      </c>
      <c r="B52" s="11" t="s">
        <v>207</v>
      </c>
      <c r="C52" s="11" t="s">
        <v>6</v>
      </c>
      <c r="D52" s="12"/>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c r="AV52" s="12"/>
      <c r="AW52" s="12"/>
      <c r="AX52" s="12"/>
      <c r="AY52" s="12"/>
      <c r="AZ52" s="16">
        <v>45768.0</v>
      </c>
      <c r="BA52" s="11" t="s">
        <v>347</v>
      </c>
      <c r="BB52" s="11" t="s">
        <v>348</v>
      </c>
      <c r="BC52" s="11" t="s">
        <v>349</v>
      </c>
      <c r="BD52" s="16">
        <v>45786.0</v>
      </c>
      <c r="BE52" s="11" t="s">
        <v>122</v>
      </c>
      <c r="BF52" s="11" t="s">
        <v>350</v>
      </c>
      <c r="BG52" s="11" t="s">
        <v>351</v>
      </c>
      <c r="BH52" s="11" t="s">
        <v>212</v>
      </c>
      <c r="BI52" s="11" t="s">
        <v>294</v>
      </c>
      <c r="BJ52" s="11" t="s">
        <v>214</v>
      </c>
      <c r="BK52" s="15" t="s">
        <v>352</v>
      </c>
      <c r="BL52" s="12"/>
      <c r="BM52" s="12"/>
      <c r="BN52" s="12"/>
      <c r="BO52" s="12"/>
      <c r="BP52" s="12"/>
      <c r="BQ52" s="12"/>
      <c r="BR52" s="12"/>
      <c r="BS52" s="12"/>
      <c r="BT52" s="12"/>
      <c r="BU52" s="12"/>
      <c r="BV52" s="12"/>
      <c r="BW52" s="12"/>
      <c r="BX52" s="12"/>
      <c r="BY52" s="12"/>
      <c r="BZ52" s="12"/>
      <c r="CA52" s="12"/>
      <c r="CB52" s="12"/>
      <c r="CC52" s="12"/>
      <c r="CD52" s="12"/>
      <c r="CE52" s="12"/>
      <c r="CF52" s="12"/>
      <c r="CG52" s="12"/>
      <c r="CH52" s="12"/>
      <c r="CI52" s="12"/>
      <c r="CJ52" s="12"/>
      <c r="CK52" s="12"/>
      <c r="CL52" s="12"/>
      <c r="CM52" s="12"/>
      <c r="CN52" s="12"/>
      <c r="CO52" s="12"/>
      <c r="CP52" s="12"/>
      <c r="CQ52" s="12"/>
      <c r="CR52" s="12"/>
      <c r="CS52" s="12"/>
      <c r="CT52" s="12"/>
      <c r="CU52" s="12"/>
      <c r="CV52" s="12"/>
      <c r="CW52" s="12"/>
      <c r="CX52" s="12"/>
      <c r="CY52" s="12"/>
      <c r="CZ52" s="12"/>
      <c r="DA52" s="12"/>
      <c r="DB52" s="12"/>
      <c r="DC52" s="12"/>
      <c r="DD52" s="12"/>
    </row>
    <row r="53" ht="22.5" customHeight="1">
      <c r="A53" s="10">
        <v>45983.64894481481</v>
      </c>
      <c r="B53" s="11" t="s">
        <v>207</v>
      </c>
      <c r="C53" s="11" t="s">
        <v>6</v>
      </c>
      <c r="D53" s="12"/>
      <c r="E53" s="12"/>
      <c r="F53" s="12"/>
      <c r="G53" s="12"/>
      <c r="H53" s="12"/>
      <c r="I53" s="12"/>
      <c r="J53" s="12"/>
      <c r="K53" s="12"/>
      <c r="L53" s="12"/>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c r="AV53" s="12"/>
      <c r="AW53" s="12"/>
      <c r="AX53" s="12"/>
      <c r="AY53" s="12"/>
      <c r="AZ53" s="16">
        <v>45080.0</v>
      </c>
      <c r="BA53" s="11" t="s">
        <v>353</v>
      </c>
      <c r="BB53" s="11" t="s">
        <v>354</v>
      </c>
      <c r="BC53" s="11" t="s">
        <v>217</v>
      </c>
      <c r="BD53" s="16">
        <v>45085.0</v>
      </c>
      <c r="BE53" s="11" t="s">
        <v>122</v>
      </c>
      <c r="BF53" s="11" t="s">
        <v>355</v>
      </c>
      <c r="BG53" s="11" t="s">
        <v>356</v>
      </c>
      <c r="BH53" s="11" t="s">
        <v>212</v>
      </c>
      <c r="BI53" s="11" t="s">
        <v>294</v>
      </c>
      <c r="BJ53" s="11" t="s">
        <v>214</v>
      </c>
      <c r="BK53" s="15" t="s">
        <v>357</v>
      </c>
      <c r="BL53" s="12"/>
      <c r="BM53" s="12"/>
      <c r="BN53" s="12"/>
      <c r="BO53" s="12"/>
      <c r="BP53" s="12"/>
      <c r="BQ53" s="12"/>
      <c r="BR53" s="12"/>
      <c r="BS53" s="12"/>
      <c r="BT53" s="12"/>
      <c r="BU53" s="12"/>
      <c r="BV53" s="12"/>
      <c r="BW53" s="12"/>
      <c r="BX53" s="12"/>
      <c r="BY53" s="12"/>
      <c r="BZ53" s="12"/>
      <c r="CA53" s="12"/>
      <c r="CB53" s="12"/>
      <c r="CC53" s="12"/>
      <c r="CD53" s="12"/>
      <c r="CE53" s="12"/>
      <c r="CF53" s="12"/>
      <c r="CG53" s="12"/>
      <c r="CH53" s="12"/>
      <c r="CI53" s="12"/>
      <c r="CJ53" s="12"/>
      <c r="CK53" s="12"/>
      <c r="CL53" s="12"/>
      <c r="CM53" s="12"/>
      <c r="CN53" s="12"/>
      <c r="CO53" s="12"/>
      <c r="CP53" s="12"/>
      <c r="CQ53" s="12"/>
      <c r="CR53" s="12"/>
      <c r="CS53" s="12"/>
      <c r="CT53" s="12"/>
      <c r="CU53" s="12"/>
      <c r="CV53" s="12"/>
      <c r="CW53" s="12"/>
      <c r="CX53" s="12"/>
      <c r="CY53" s="12"/>
      <c r="CZ53" s="12"/>
      <c r="DA53" s="12"/>
      <c r="DB53" s="12"/>
      <c r="DC53" s="12"/>
      <c r="DD53" s="12"/>
    </row>
    <row r="54" ht="22.5" customHeight="1">
      <c r="A54" s="10">
        <v>45983.65016385417</v>
      </c>
      <c r="B54" s="11" t="s">
        <v>120</v>
      </c>
      <c r="C54" s="11" t="s">
        <v>2</v>
      </c>
      <c r="D54" s="12"/>
      <c r="E54" s="12"/>
      <c r="F54" s="12"/>
      <c r="G54" s="12"/>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c r="AV54" s="12"/>
      <c r="AW54" s="12"/>
      <c r="AX54" s="12"/>
      <c r="AY54" s="12"/>
      <c r="AZ54" s="12"/>
      <c r="BA54" s="12"/>
      <c r="BB54" s="12"/>
      <c r="BC54" s="12"/>
      <c r="BD54" s="12"/>
      <c r="BE54" s="12"/>
      <c r="BF54" s="12"/>
      <c r="BG54" s="12"/>
      <c r="BH54" s="12"/>
      <c r="BI54" s="12"/>
      <c r="BJ54" s="12"/>
      <c r="BK54" s="12"/>
      <c r="BL54" s="12"/>
      <c r="BM54" s="12"/>
      <c r="BN54" s="12"/>
      <c r="BO54" s="12"/>
      <c r="BP54" s="12"/>
      <c r="BQ54" s="12"/>
      <c r="BR54" s="12"/>
      <c r="BS54" s="12"/>
      <c r="BT54" s="12"/>
      <c r="BU54" s="12"/>
      <c r="BV54" s="12"/>
      <c r="BW54" s="12"/>
      <c r="BX54" s="12"/>
      <c r="BY54" s="12"/>
      <c r="BZ54" s="12"/>
      <c r="CA54" s="12"/>
      <c r="CB54" s="12"/>
      <c r="CC54" s="12"/>
      <c r="CD54" s="12"/>
      <c r="CE54" s="12"/>
      <c r="CF54" s="12"/>
      <c r="CG54" s="12"/>
      <c r="CH54" s="12"/>
      <c r="CI54" s="12"/>
      <c r="CJ54" s="12"/>
      <c r="CK54" s="12"/>
      <c r="CL54" s="12"/>
      <c r="CM54" s="16">
        <v>45008.0</v>
      </c>
      <c r="CN54" s="11" t="s">
        <v>33</v>
      </c>
      <c r="CO54" s="11" t="s">
        <v>358</v>
      </c>
      <c r="CP54" s="11" t="s">
        <v>359</v>
      </c>
      <c r="CQ54" s="11" t="s">
        <v>127</v>
      </c>
      <c r="CR54" s="11" t="s">
        <v>360</v>
      </c>
      <c r="CS54" s="11" t="s">
        <v>129</v>
      </c>
      <c r="CT54" s="15" t="s">
        <v>361</v>
      </c>
      <c r="CU54" s="12"/>
      <c r="CV54" s="12"/>
      <c r="CW54" s="12"/>
      <c r="CX54" s="12"/>
      <c r="CY54" s="12"/>
      <c r="CZ54" s="12"/>
      <c r="DA54" s="12"/>
      <c r="DB54" s="12"/>
      <c r="DC54" s="12"/>
      <c r="DD54" s="12"/>
    </row>
    <row r="55" ht="22.5" customHeight="1">
      <c r="A55" s="10">
        <v>45983.65167927083</v>
      </c>
      <c r="B55" s="11" t="s">
        <v>164</v>
      </c>
      <c r="C55" s="11" t="s">
        <v>1</v>
      </c>
      <c r="D55" s="12"/>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c r="AV55" s="12"/>
      <c r="AW55" s="12"/>
      <c r="AX55" s="12"/>
      <c r="AY55" s="12"/>
      <c r="AZ55" s="12"/>
      <c r="BA55" s="12"/>
      <c r="BB55" s="12"/>
      <c r="BC55" s="12"/>
      <c r="BD55" s="12"/>
      <c r="BE55" s="12"/>
      <c r="BF55" s="12"/>
      <c r="BG55" s="12"/>
      <c r="BH55" s="12"/>
      <c r="BI55" s="12"/>
      <c r="BJ55" s="12"/>
      <c r="BK55" s="12"/>
      <c r="BL55" s="12"/>
      <c r="BM55" s="12"/>
      <c r="BN55" s="12"/>
      <c r="BO55" s="12"/>
      <c r="BP55" s="12"/>
      <c r="BQ55" s="12"/>
      <c r="BR55" s="12"/>
      <c r="BS55" s="12"/>
      <c r="BT55" s="12"/>
      <c r="BU55" s="12"/>
      <c r="BV55" s="12"/>
      <c r="BW55" s="12"/>
      <c r="BX55" s="12"/>
      <c r="BY55" s="12"/>
      <c r="BZ55" s="12"/>
      <c r="CA55" s="12"/>
      <c r="CB55" s="12"/>
      <c r="CC55" s="12"/>
      <c r="CD55" s="12"/>
      <c r="CE55" s="12"/>
      <c r="CF55" s="12"/>
      <c r="CG55" s="12"/>
      <c r="CH55" s="17"/>
      <c r="CI55" s="17"/>
      <c r="CJ55" s="12"/>
      <c r="CK55" s="12"/>
      <c r="CL55" s="12"/>
      <c r="CM55" s="12"/>
      <c r="CN55" s="12"/>
      <c r="CO55" s="12"/>
      <c r="CP55" s="12"/>
      <c r="CQ55" s="12"/>
      <c r="CR55" s="12"/>
      <c r="CS55" s="12"/>
      <c r="CT55" s="12"/>
      <c r="CU55" s="16">
        <v>45322.0</v>
      </c>
      <c r="CV55" s="11" t="s">
        <v>157</v>
      </c>
      <c r="CW55" s="11" t="s">
        <v>362</v>
      </c>
      <c r="CX55" s="11" t="s">
        <v>363</v>
      </c>
      <c r="CY55" s="11" t="s">
        <v>364</v>
      </c>
      <c r="CZ55" s="11" t="s">
        <v>365</v>
      </c>
      <c r="DA55" s="11" t="s">
        <v>366</v>
      </c>
      <c r="DB55" s="11" t="s">
        <v>267</v>
      </c>
      <c r="DC55" s="15" t="s">
        <v>367</v>
      </c>
      <c r="DD55" s="17"/>
    </row>
    <row r="56" ht="22.5" customHeight="1">
      <c r="A56" s="10">
        <v>45983.651981365736</v>
      </c>
      <c r="B56" s="11" t="s">
        <v>207</v>
      </c>
      <c r="C56" s="11" t="s">
        <v>6</v>
      </c>
      <c r="D56" s="12"/>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c r="AL56" s="12"/>
      <c r="AM56" s="12"/>
      <c r="AN56" s="12"/>
      <c r="AO56" s="12"/>
      <c r="AP56" s="12"/>
      <c r="AQ56" s="12"/>
      <c r="AR56" s="12"/>
      <c r="AS56" s="12"/>
      <c r="AT56" s="12"/>
      <c r="AU56" s="12"/>
      <c r="AV56" s="12"/>
      <c r="AW56" s="12"/>
      <c r="AX56" s="12"/>
      <c r="AY56" s="12"/>
      <c r="AZ56" s="16">
        <v>45080.0</v>
      </c>
      <c r="BA56" s="11" t="s">
        <v>353</v>
      </c>
      <c r="BB56" s="11" t="s">
        <v>354</v>
      </c>
      <c r="BC56" s="11" t="s">
        <v>217</v>
      </c>
      <c r="BD56" s="16">
        <v>45085.0</v>
      </c>
      <c r="BE56" s="11" t="s">
        <v>122</v>
      </c>
      <c r="BF56" s="11" t="s">
        <v>355</v>
      </c>
      <c r="BG56" s="11" t="s">
        <v>356</v>
      </c>
      <c r="BH56" s="11" t="s">
        <v>8</v>
      </c>
      <c r="BI56" s="11" t="s">
        <v>299</v>
      </c>
      <c r="BJ56" s="11" t="s">
        <v>214</v>
      </c>
      <c r="BK56" s="15" t="s">
        <v>368</v>
      </c>
      <c r="BL56" s="12"/>
      <c r="BM56" s="12"/>
      <c r="BN56" s="12"/>
      <c r="BO56" s="12"/>
      <c r="BP56" s="12"/>
      <c r="BQ56" s="12"/>
      <c r="BR56" s="12"/>
      <c r="BS56" s="12"/>
      <c r="BT56" s="12"/>
      <c r="BU56" s="12"/>
      <c r="BV56" s="12"/>
      <c r="BW56" s="12"/>
      <c r="BX56" s="12"/>
      <c r="BY56" s="12"/>
      <c r="BZ56" s="12"/>
      <c r="CA56" s="12"/>
      <c r="CB56" s="12"/>
      <c r="CC56" s="12"/>
      <c r="CD56" s="12"/>
      <c r="CE56" s="12"/>
      <c r="CF56" s="12"/>
      <c r="CG56" s="12"/>
      <c r="CH56" s="12"/>
      <c r="CI56" s="12"/>
      <c r="CJ56" s="12"/>
      <c r="CK56" s="12"/>
      <c r="CL56" s="12"/>
      <c r="CM56" s="12"/>
      <c r="CN56" s="12"/>
      <c r="CO56" s="12"/>
      <c r="CP56" s="12"/>
      <c r="CQ56" s="12"/>
      <c r="CR56" s="12"/>
      <c r="CS56" s="12"/>
      <c r="CT56" s="12"/>
      <c r="CU56" s="12"/>
      <c r="CV56" s="12"/>
      <c r="CW56" s="12"/>
      <c r="CX56" s="12"/>
      <c r="CY56" s="12"/>
      <c r="CZ56" s="12"/>
      <c r="DA56" s="12"/>
      <c r="DB56" s="12"/>
      <c r="DC56" s="12"/>
      <c r="DD56" s="12"/>
    </row>
    <row r="57" ht="22.5" customHeight="1">
      <c r="A57" s="10">
        <v>45983.65393237269</v>
      </c>
      <c r="B57" s="11" t="s">
        <v>369</v>
      </c>
      <c r="C57" s="11" t="s">
        <v>1</v>
      </c>
      <c r="D57" s="12"/>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c r="AV57" s="12"/>
      <c r="AW57" s="12"/>
      <c r="AX57" s="12"/>
      <c r="AY57" s="12"/>
      <c r="AZ57" s="12"/>
      <c r="BA57" s="12"/>
      <c r="BB57" s="12"/>
      <c r="BC57" s="12"/>
      <c r="BD57" s="12"/>
      <c r="BE57" s="12"/>
      <c r="BF57" s="12"/>
      <c r="BG57" s="12"/>
      <c r="BH57" s="12"/>
      <c r="BI57" s="12"/>
      <c r="BJ57" s="12"/>
      <c r="BK57" s="12"/>
      <c r="BL57" s="12"/>
      <c r="BM57" s="12"/>
      <c r="BN57" s="12"/>
      <c r="BO57" s="12"/>
      <c r="BP57" s="12"/>
      <c r="BQ57" s="12"/>
      <c r="BR57" s="12"/>
      <c r="BS57" s="12"/>
      <c r="BT57" s="12"/>
      <c r="BU57" s="12"/>
      <c r="BV57" s="12"/>
      <c r="BW57" s="12"/>
      <c r="BX57" s="12"/>
      <c r="BY57" s="12"/>
      <c r="BZ57" s="12"/>
      <c r="CA57" s="12"/>
      <c r="CB57" s="12"/>
      <c r="CC57" s="12"/>
      <c r="CD57" s="12"/>
      <c r="CE57" s="12"/>
      <c r="CF57" s="12"/>
      <c r="CG57" s="12"/>
      <c r="CH57" s="12"/>
      <c r="CI57" s="12"/>
      <c r="CJ57" s="12"/>
      <c r="CK57" s="12"/>
      <c r="CL57" s="12"/>
      <c r="CM57" s="12"/>
      <c r="CN57" s="12"/>
      <c r="CO57" s="12"/>
      <c r="CP57" s="12"/>
      <c r="CQ57" s="12"/>
      <c r="CR57" s="12"/>
      <c r="CS57" s="12"/>
      <c r="CT57" s="12"/>
      <c r="CU57" s="16">
        <v>45670.0</v>
      </c>
      <c r="CV57" s="11" t="s">
        <v>157</v>
      </c>
      <c r="CW57" s="11" t="s">
        <v>370</v>
      </c>
      <c r="CX57" s="11" t="s">
        <v>147</v>
      </c>
      <c r="CY57" s="11" t="s">
        <v>371</v>
      </c>
      <c r="CZ57" s="11" t="s">
        <v>372</v>
      </c>
      <c r="DA57" s="11" t="s">
        <v>154</v>
      </c>
      <c r="DB57" s="11" t="s">
        <v>267</v>
      </c>
      <c r="DC57" s="12"/>
      <c r="DD57" s="12"/>
    </row>
    <row r="58" ht="22.5" customHeight="1">
      <c r="A58" s="10">
        <v>45983.65457172453</v>
      </c>
      <c r="B58" s="11" t="s">
        <v>207</v>
      </c>
      <c r="C58" s="11" t="s">
        <v>6</v>
      </c>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2"/>
      <c r="AV58" s="12"/>
      <c r="AW58" s="12"/>
      <c r="AX58" s="12"/>
      <c r="AY58" s="12"/>
      <c r="AZ58" s="16">
        <v>45427.0</v>
      </c>
      <c r="BA58" s="11" t="s">
        <v>373</v>
      </c>
      <c r="BB58" s="11" t="s">
        <v>374</v>
      </c>
      <c r="BC58" s="11" t="s">
        <v>217</v>
      </c>
      <c r="BD58" s="16">
        <v>45477.0</v>
      </c>
      <c r="BE58" s="11" t="s">
        <v>122</v>
      </c>
      <c r="BF58" s="11" t="s">
        <v>375</v>
      </c>
      <c r="BG58" s="11" t="s">
        <v>376</v>
      </c>
      <c r="BH58" s="11" t="s">
        <v>212</v>
      </c>
      <c r="BI58" s="11" t="s">
        <v>213</v>
      </c>
      <c r="BJ58" s="11" t="s">
        <v>214</v>
      </c>
      <c r="BK58" s="15" t="s">
        <v>377</v>
      </c>
      <c r="BL58" s="12"/>
      <c r="BM58" s="12"/>
      <c r="BN58" s="12"/>
      <c r="BO58" s="12"/>
      <c r="BP58" s="12"/>
      <c r="BQ58" s="12"/>
      <c r="BR58" s="12"/>
      <c r="BS58" s="12"/>
      <c r="BT58" s="12"/>
      <c r="BU58" s="12"/>
      <c r="BV58" s="12"/>
      <c r="BW58" s="12"/>
      <c r="BX58" s="12"/>
      <c r="BY58" s="12"/>
      <c r="BZ58" s="12"/>
      <c r="CA58" s="12"/>
      <c r="CB58" s="12"/>
      <c r="CC58" s="12"/>
      <c r="CD58" s="12"/>
      <c r="CE58" s="12"/>
      <c r="CF58" s="12"/>
      <c r="CG58" s="12"/>
      <c r="CH58" s="12"/>
      <c r="CI58" s="12"/>
      <c r="CJ58" s="12"/>
      <c r="CK58" s="12"/>
      <c r="CL58" s="12"/>
      <c r="CM58" s="12"/>
      <c r="CN58" s="12"/>
      <c r="CO58" s="12"/>
      <c r="CP58" s="12"/>
      <c r="CQ58" s="12"/>
      <c r="CR58" s="12"/>
      <c r="CS58" s="12"/>
      <c r="CT58" s="12"/>
      <c r="CU58" s="12"/>
      <c r="CV58" s="12"/>
      <c r="CW58" s="12"/>
      <c r="CX58" s="12"/>
      <c r="CY58" s="12"/>
      <c r="CZ58" s="12"/>
      <c r="DA58" s="12"/>
      <c r="DB58" s="12"/>
      <c r="DC58" s="12"/>
      <c r="DD58" s="12"/>
    </row>
    <row r="59" ht="22.5" customHeight="1">
      <c r="A59" s="10">
        <v>45983.656281585645</v>
      </c>
      <c r="B59" s="11" t="s">
        <v>164</v>
      </c>
      <c r="C59" s="11" t="s">
        <v>1</v>
      </c>
      <c r="D59" s="12"/>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c r="AE59" s="12"/>
      <c r="AF59" s="12"/>
      <c r="AG59" s="12"/>
      <c r="AH59" s="12"/>
      <c r="AI59" s="12"/>
      <c r="AJ59" s="12"/>
      <c r="AK59" s="12"/>
      <c r="AL59" s="12"/>
      <c r="AM59" s="12"/>
      <c r="AN59" s="12"/>
      <c r="AO59" s="12"/>
      <c r="AP59" s="12"/>
      <c r="AQ59" s="12"/>
      <c r="AR59" s="12"/>
      <c r="AS59" s="12"/>
      <c r="AT59" s="12"/>
      <c r="AU59" s="12"/>
      <c r="AV59" s="12"/>
      <c r="AW59" s="12"/>
      <c r="AX59" s="12"/>
      <c r="AY59" s="12"/>
      <c r="AZ59" s="12"/>
      <c r="BA59" s="12"/>
      <c r="BB59" s="12"/>
      <c r="BC59" s="12"/>
      <c r="BD59" s="12"/>
      <c r="BE59" s="12"/>
      <c r="BF59" s="12"/>
      <c r="BG59" s="12"/>
      <c r="BH59" s="12"/>
      <c r="BI59" s="12"/>
      <c r="BJ59" s="12"/>
      <c r="BK59" s="12"/>
      <c r="BL59" s="12"/>
      <c r="BM59" s="12"/>
      <c r="BN59" s="12"/>
      <c r="BO59" s="12"/>
      <c r="BP59" s="12"/>
      <c r="BQ59" s="12"/>
      <c r="BR59" s="12"/>
      <c r="BS59" s="12"/>
      <c r="BT59" s="12"/>
      <c r="BU59" s="12"/>
      <c r="BV59" s="12"/>
      <c r="BW59" s="12"/>
      <c r="BX59" s="12"/>
      <c r="BY59" s="12"/>
      <c r="BZ59" s="12"/>
      <c r="CA59" s="12"/>
      <c r="CB59" s="12"/>
      <c r="CC59" s="12"/>
      <c r="CD59" s="12"/>
      <c r="CE59" s="12"/>
      <c r="CF59" s="12"/>
      <c r="CG59" s="12"/>
      <c r="CH59" s="12"/>
      <c r="CI59" s="12"/>
      <c r="CJ59" s="12"/>
      <c r="CK59" s="12"/>
      <c r="CL59" s="12"/>
      <c r="CM59" s="12"/>
      <c r="CN59" s="12"/>
      <c r="CO59" s="12"/>
      <c r="CP59" s="12"/>
      <c r="CQ59" s="12"/>
      <c r="CR59" s="12"/>
      <c r="CS59" s="12"/>
      <c r="CT59" s="12"/>
      <c r="CU59" s="16">
        <v>45293.0</v>
      </c>
      <c r="CV59" s="11" t="s">
        <v>157</v>
      </c>
      <c r="CW59" s="11" t="s">
        <v>378</v>
      </c>
      <c r="CX59" s="11" t="s">
        <v>151</v>
      </c>
      <c r="CY59" s="11" t="s">
        <v>379</v>
      </c>
      <c r="CZ59" s="11" t="s">
        <v>380</v>
      </c>
      <c r="DA59" s="11" t="s">
        <v>334</v>
      </c>
      <c r="DB59" s="11" t="s">
        <v>267</v>
      </c>
      <c r="DC59" s="12"/>
      <c r="DD59" s="12"/>
    </row>
    <row r="60" ht="22.5" customHeight="1">
      <c r="A60" s="10">
        <v>45983.6598289699</v>
      </c>
      <c r="B60" s="11" t="s">
        <v>207</v>
      </c>
      <c r="C60" s="11" t="s">
        <v>6</v>
      </c>
      <c r="D60" s="12"/>
      <c r="E60" s="12"/>
      <c r="F60" s="12"/>
      <c r="G60" s="12"/>
      <c r="H60" s="12"/>
      <c r="I60" s="12"/>
      <c r="J60" s="12"/>
      <c r="K60" s="12"/>
      <c r="L60" s="12"/>
      <c r="M60" s="12"/>
      <c r="N60" s="12"/>
      <c r="O60" s="12"/>
      <c r="P60" s="12"/>
      <c r="Q60" s="12"/>
      <c r="R60" s="12"/>
      <c r="S60" s="12"/>
      <c r="T60" s="12"/>
      <c r="U60" s="12"/>
      <c r="V60" s="12"/>
      <c r="W60" s="12"/>
      <c r="X60" s="12"/>
      <c r="Y60" s="12"/>
      <c r="Z60" s="12"/>
      <c r="AA60" s="12"/>
      <c r="AB60" s="12"/>
      <c r="AC60" s="12"/>
      <c r="AD60" s="12"/>
      <c r="AE60" s="12"/>
      <c r="AF60" s="12"/>
      <c r="AG60" s="12"/>
      <c r="AH60" s="12"/>
      <c r="AI60" s="12"/>
      <c r="AJ60" s="12"/>
      <c r="AK60" s="12"/>
      <c r="AL60" s="12"/>
      <c r="AM60" s="12"/>
      <c r="AN60" s="12"/>
      <c r="AO60" s="12"/>
      <c r="AP60" s="12"/>
      <c r="AQ60" s="12"/>
      <c r="AR60" s="12"/>
      <c r="AS60" s="12"/>
      <c r="AT60" s="12"/>
      <c r="AU60" s="12"/>
      <c r="AV60" s="12"/>
      <c r="AW60" s="12"/>
      <c r="AX60" s="12"/>
      <c r="AY60" s="12"/>
      <c r="AZ60" s="16">
        <v>45080.0</v>
      </c>
      <c r="BA60" s="11" t="s">
        <v>381</v>
      </c>
      <c r="BB60" s="11" t="s">
        <v>382</v>
      </c>
      <c r="BC60" s="11" t="s">
        <v>383</v>
      </c>
      <c r="BD60" s="16">
        <v>45104.0</v>
      </c>
      <c r="BE60" s="11" t="s">
        <v>122</v>
      </c>
      <c r="BF60" s="11" t="s">
        <v>384</v>
      </c>
      <c r="BG60" s="11" t="s">
        <v>385</v>
      </c>
      <c r="BH60" s="11" t="s">
        <v>212</v>
      </c>
      <c r="BI60" s="11" t="s">
        <v>294</v>
      </c>
      <c r="BJ60" s="11" t="s">
        <v>214</v>
      </c>
      <c r="BK60" s="15" t="s">
        <v>386</v>
      </c>
      <c r="BL60" s="12"/>
      <c r="BM60" s="12"/>
      <c r="BN60" s="12"/>
      <c r="BO60" s="12"/>
      <c r="BP60" s="12"/>
      <c r="BQ60" s="12"/>
      <c r="BR60" s="12"/>
      <c r="BS60" s="12"/>
      <c r="BT60" s="12"/>
      <c r="BU60" s="12"/>
      <c r="BV60" s="12"/>
      <c r="BW60" s="12"/>
      <c r="BX60" s="12"/>
      <c r="BY60" s="12"/>
      <c r="BZ60" s="12"/>
      <c r="CA60" s="12"/>
      <c r="CB60" s="12"/>
      <c r="CC60" s="12"/>
      <c r="CD60" s="12"/>
      <c r="CE60" s="12"/>
      <c r="CF60" s="12"/>
      <c r="CG60" s="12"/>
      <c r="CH60" s="12"/>
      <c r="CI60" s="12"/>
      <c r="CJ60" s="12"/>
      <c r="CK60" s="12"/>
      <c r="CL60" s="12"/>
      <c r="CM60" s="12"/>
      <c r="CN60" s="12"/>
      <c r="CO60" s="12"/>
      <c r="CP60" s="12"/>
      <c r="CQ60" s="12"/>
      <c r="CR60" s="12"/>
      <c r="CS60" s="12"/>
      <c r="CT60" s="12"/>
      <c r="CU60" s="12"/>
      <c r="CV60" s="12"/>
      <c r="CW60" s="12"/>
      <c r="CX60" s="12"/>
      <c r="CY60" s="12"/>
      <c r="CZ60" s="12"/>
      <c r="DA60" s="12"/>
      <c r="DB60" s="12"/>
      <c r="DC60" s="12"/>
      <c r="DD60" s="12"/>
    </row>
    <row r="61" ht="22.5" customHeight="1">
      <c r="A61" s="10">
        <v>45983.660104131945</v>
      </c>
      <c r="B61" s="11" t="s">
        <v>164</v>
      </c>
      <c r="C61" s="11" t="s">
        <v>1</v>
      </c>
      <c r="D61" s="12"/>
      <c r="E61" s="12"/>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c r="AV61" s="12"/>
      <c r="AW61" s="12"/>
      <c r="AX61" s="12"/>
      <c r="AY61" s="12"/>
      <c r="AZ61" s="12"/>
      <c r="BA61" s="12"/>
      <c r="BB61" s="12"/>
      <c r="BC61" s="12"/>
      <c r="BD61" s="12"/>
      <c r="BE61" s="12"/>
      <c r="BF61" s="12"/>
      <c r="BG61" s="12"/>
      <c r="BH61" s="12"/>
      <c r="BI61" s="12"/>
      <c r="BJ61" s="12"/>
      <c r="BK61" s="12"/>
      <c r="BL61" s="12"/>
      <c r="BM61" s="12"/>
      <c r="BN61" s="12"/>
      <c r="BO61" s="12"/>
      <c r="BP61" s="12"/>
      <c r="BQ61" s="12"/>
      <c r="BR61" s="12"/>
      <c r="BS61" s="12"/>
      <c r="BT61" s="12"/>
      <c r="BU61" s="12"/>
      <c r="BV61" s="12"/>
      <c r="BW61" s="12"/>
      <c r="BX61" s="12"/>
      <c r="BY61" s="12"/>
      <c r="BZ61" s="12"/>
      <c r="CA61" s="12"/>
      <c r="CB61" s="12"/>
      <c r="CC61" s="12"/>
      <c r="CD61" s="12"/>
      <c r="CE61" s="12"/>
      <c r="CF61" s="12"/>
      <c r="CG61" s="12"/>
      <c r="CH61" s="12"/>
      <c r="CI61" s="12"/>
      <c r="CJ61" s="12"/>
      <c r="CK61" s="12"/>
      <c r="CL61" s="12"/>
      <c r="CM61" s="12"/>
      <c r="CN61" s="12"/>
      <c r="CO61" s="12"/>
      <c r="CP61" s="12"/>
      <c r="CQ61" s="12"/>
      <c r="CR61" s="12"/>
      <c r="CS61" s="12"/>
      <c r="CT61" s="12"/>
      <c r="CU61" s="16">
        <v>45344.0</v>
      </c>
      <c r="CV61" s="11" t="s">
        <v>157</v>
      </c>
      <c r="CW61" s="11" t="s">
        <v>387</v>
      </c>
      <c r="CX61" s="11" t="s">
        <v>388</v>
      </c>
      <c r="CY61" s="11" t="s">
        <v>389</v>
      </c>
      <c r="CZ61" s="11" t="s">
        <v>390</v>
      </c>
      <c r="DA61" s="11" t="s">
        <v>334</v>
      </c>
      <c r="DB61" s="11" t="s">
        <v>162</v>
      </c>
      <c r="DC61" s="12"/>
      <c r="DD61" s="12"/>
    </row>
    <row r="62" ht="22.5" customHeight="1">
      <c r="A62" s="10">
        <v>45983.663745196754</v>
      </c>
      <c r="B62" s="11" t="s">
        <v>207</v>
      </c>
      <c r="C62" s="11" t="s">
        <v>6</v>
      </c>
      <c r="D62" s="12"/>
      <c r="E62" s="12"/>
      <c r="F62" s="12"/>
      <c r="G62" s="12"/>
      <c r="H62" s="12"/>
      <c r="I62" s="12"/>
      <c r="J62" s="12"/>
      <c r="K62" s="12"/>
      <c r="L62" s="12"/>
      <c r="M62" s="12"/>
      <c r="N62" s="12"/>
      <c r="O62" s="12"/>
      <c r="P62" s="12"/>
      <c r="Q62" s="12"/>
      <c r="R62" s="12"/>
      <c r="S62" s="12"/>
      <c r="T62" s="12"/>
      <c r="U62" s="12"/>
      <c r="V62" s="12"/>
      <c r="W62" s="12"/>
      <c r="X62" s="12"/>
      <c r="Y62" s="12"/>
      <c r="Z62" s="12"/>
      <c r="AA62" s="12"/>
      <c r="AB62" s="12"/>
      <c r="AC62" s="12"/>
      <c r="AD62" s="12"/>
      <c r="AE62" s="12"/>
      <c r="AF62" s="12"/>
      <c r="AG62" s="12"/>
      <c r="AH62" s="12"/>
      <c r="AI62" s="12"/>
      <c r="AJ62" s="12"/>
      <c r="AK62" s="12"/>
      <c r="AL62" s="12"/>
      <c r="AM62" s="12"/>
      <c r="AN62" s="12"/>
      <c r="AO62" s="12"/>
      <c r="AP62" s="12"/>
      <c r="AQ62" s="12"/>
      <c r="AR62" s="12"/>
      <c r="AS62" s="12"/>
      <c r="AT62" s="12"/>
      <c r="AU62" s="12"/>
      <c r="AV62" s="12"/>
      <c r="AW62" s="12"/>
      <c r="AX62" s="12"/>
      <c r="AY62" s="12"/>
      <c r="AZ62" s="16">
        <v>45080.0</v>
      </c>
      <c r="BA62" s="11" t="s">
        <v>381</v>
      </c>
      <c r="BB62" s="11" t="s">
        <v>382</v>
      </c>
      <c r="BC62" s="11" t="s">
        <v>383</v>
      </c>
      <c r="BD62" s="16">
        <v>45104.0</v>
      </c>
      <c r="BE62" s="11" t="s">
        <v>122</v>
      </c>
      <c r="BF62" s="11" t="s">
        <v>384</v>
      </c>
      <c r="BG62" s="11" t="s">
        <v>385</v>
      </c>
      <c r="BH62" s="11" t="s">
        <v>8</v>
      </c>
      <c r="BI62" s="11" t="s">
        <v>246</v>
      </c>
      <c r="BJ62" s="11" t="s">
        <v>214</v>
      </c>
      <c r="BK62" s="15" t="s">
        <v>391</v>
      </c>
      <c r="BL62" s="12"/>
      <c r="BM62" s="12"/>
      <c r="BN62" s="12"/>
      <c r="BO62" s="12"/>
      <c r="BP62" s="12"/>
      <c r="BQ62" s="12"/>
      <c r="BR62" s="12"/>
      <c r="BS62" s="12"/>
      <c r="BT62" s="12"/>
      <c r="BU62" s="12"/>
      <c r="BV62" s="12"/>
      <c r="BW62" s="12"/>
      <c r="BX62" s="12"/>
      <c r="BY62" s="12"/>
      <c r="BZ62" s="12"/>
      <c r="CA62" s="12"/>
      <c r="CB62" s="12"/>
      <c r="CC62" s="12"/>
      <c r="CD62" s="12"/>
      <c r="CE62" s="12"/>
      <c r="CF62" s="12"/>
      <c r="CG62" s="12"/>
      <c r="CH62" s="12"/>
      <c r="CI62" s="12"/>
      <c r="CJ62" s="12"/>
      <c r="CK62" s="12"/>
      <c r="CL62" s="12"/>
      <c r="CM62" s="12"/>
      <c r="CN62" s="12"/>
      <c r="CO62" s="12"/>
      <c r="CP62" s="12"/>
      <c r="CQ62" s="12"/>
      <c r="CR62" s="12"/>
      <c r="CS62" s="12"/>
      <c r="CT62" s="12"/>
      <c r="CU62" s="12"/>
      <c r="CV62" s="12"/>
      <c r="CW62" s="12"/>
      <c r="CX62" s="12"/>
      <c r="CY62" s="12"/>
      <c r="CZ62" s="12"/>
      <c r="DA62" s="12"/>
      <c r="DB62" s="12"/>
      <c r="DC62" s="12"/>
      <c r="DD62" s="12"/>
    </row>
    <row r="63" ht="22.5" customHeight="1">
      <c r="A63" s="10">
        <v>45983.66483172454</v>
      </c>
      <c r="B63" s="11" t="s">
        <v>120</v>
      </c>
      <c r="C63" s="11" t="s">
        <v>2</v>
      </c>
      <c r="D63" s="12"/>
      <c r="E63" s="12"/>
      <c r="F63" s="12"/>
      <c r="G63" s="12"/>
      <c r="H63" s="12"/>
      <c r="I63" s="12"/>
      <c r="J63" s="12"/>
      <c r="K63" s="12"/>
      <c r="L63" s="12"/>
      <c r="M63" s="12"/>
      <c r="N63" s="12"/>
      <c r="O63" s="12"/>
      <c r="P63" s="12"/>
      <c r="Q63" s="12"/>
      <c r="R63" s="12"/>
      <c r="S63" s="12"/>
      <c r="T63" s="12"/>
      <c r="U63" s="12"/>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c r="AX63" s="12"/>
      <c r="AY63" s="12"/>
      <c r="AZ63" s="12"/>
      <c r="BA63" s="12"/>
      <c r="BB63" s="12"/>
      <c r="BC63" s="12"/>
      <c r="BD63" s="12"/>
      <c r="BE63" s="12"/>
      <c r="BF63" s="12"/>
      <c r="BG63" s="12"/>
      <c r="BH63" s="12"/>
      <c r="BI63" s="12"/>
      <c r="BJ63" s="12"/>
      <c r="BK63" s="12"/>
      <c r="BL63" s="12"/>
      <c r="BM63" s="12"/>
      <c r="BN63" s="12"/>
      <c r="BO63" s="12"/>
      <c r="BP63" s="12"/>
      <c r="BQ63" s="12"/>
      <c r="BR63" s="12"/>
      <c r="BS63" s="12"/>
      <c r="BT63" s="12"/>
      <c r="BU63" s="12"/>
      <c r="BV63" s="12"/>
      <c r="BW63" s="12"/>
      <c r="BX63" s="12"/>
      <c r="BY63" s="12"/>
      <c r="BZ63" s="12"/>
      <c r="CA63" s="12"/>
      <c r="CB63" s="12"/>
      <c r="CC63" s="12"/>
      <c r="CD63" s="12"/>
      <c r="CE63" s="12"/>
      <c r="CF63" s="12"/>
      <c r="CG63" s="12"/>
      <c r="CH63" s="12"/>
      <c r="CI63" s="12"/>
      <c r="CJ63" s="12"/>
      <c r="CK63" s="12"/>
      <c r="CL63" s="12"/>
      <c r="CM63" s="16">
        <v>45035.0</v>
      </c>
      <c r="CN63" s="11" t="s">
        <v>33</v>
      </c>
      <c r="CO63" s="11" t="s">
        <v>392</v>
      </c>
      <c r="CP63" s="11" t="s">
        <v>393</v>
      </c>
      <c r="CQ63" s="11" t="s">
        <v>145</v>
      </c>
      <c r="CR63" s="11" t="s">
        <v>394</v>
      </c>
      <c r="CS63" s="11" t="s">
        <v>129</v>
      </c>
      <c r="CT63" s="15" t="s">
        <v>395</v>
      </c>
      <c r="CU63" s="12"/>
      <c r="CV63" s="12"/>
      <c r="CW63" s="12"/>
      <c r="CX63" s="12"/>
      <c r="CY63" s="12"/>
      <c r="CZ63" s="12"/>
      <c r="DA63" s="12"/>
      <c r="DB63" s="12"/>
      <c r="DC63" s="12"/>
      <c r="DD63" s="12"/>
    </row>
    <row r="64" ht="22.5" customHeight="1">
      <c r="A64" s="10">
        <v>45983.66874820602</v>
      </c>
      <c r="B64" s="11" t="s">
        <v>207</v>
      </c>
      <c r="C64" s="11" t="s">
        <v>6</v>
      </c>
      <c r="D64" s="12"/>
      <c r="E64" s="12"/>
      <c r="F64" s="12"/>
      <c r="G64" s="12"/>
      <c r="H64" s="12"/>
      <c r="I64" s="12"/>
      <c r="J64" s="12"/>
      <c r="K64" s="12"/>
      <c r="L64" s="12"/>
      <c r="M64" s="12"/>
      <c r="N64" s="12"/>
      <c r="O64" s="12"/>
      <c r="P64" s="12"/>
      <c r="Q64" s="12"/>
      <c r="R64" s="12"/>
      <c r="S64" s="12"/>
      <c r="T64" s="12"/>
      <c r="U64" s="12"/>
      <c r="V64" s="12"/>
      <c r="W64" s="12"/>
      <c r="X64" s="12"/>
      <c r="Y64" s="12"/>
      <c r="Z64" s="12"/>
      <c r="AA64" s="12"/>
      <c r="AB64" s="12"/>
      <c r="AC64" s="12"/>
      <c r="AD64" s="12"/>
      <c r="AE64" s="12"/>
      <c r="AF64" s="12"/>
      <c r="AG64" s="12"/>
      <c r="AH64" s="12"/>
      <c r="AI64" s="12"/>
      <c r="AJ64" s="12"/>
      <c r="AK64" s="12"/>
      <c r="AL64" s="12"/>
      <c r="AM64" s="12"/>
      <c r="AN64" s="12"/>
      <c r="AO64" s="12"/>
      <c r="AP64" s="12"/>
      <c r="AQ64" s="12"/>
      <c r="AR64" s="12"/>
      <c r="AS64" s="12"/>
      <c r="AT64" s="12"/>
      <c r="AU64" s="12"/>
      <c r="AV64" s="12"/>
      <c r="AW64" s="12"/>
      <c r="AX64" s="12"/>
      <c r="AY64" s="12"/>
      <c r="AZ64" s="16">
        <v>45374.0</v>
      </c>
      <c r="BA64" s="11" t="s">
        <v>396</v>
      </c>
      <c r="BB64" s="11" t="s">
        <v>397</v>
      </c>
      <c r="BC64" s="11" t="s">
        <v>305</v>
      </c>
      <c r="BD64" s="16">
        <v>45530.0</v>
      </c>
      <c r="BE64" s="11" t="s">
        <v>122</v>
      </c>
      <c r="BF64" s="11" t="s">
        <v>398</v>
      </c>
      <c r="BG64" s="11" t="s">
        <v>399</v>
      </c>
      <c r="BH64" s="11" t="s">
        <v>212</v>
      </c>
      <c r="BI64" s="11" t="s">
        <v>294</v>
      </c>
      <c r="BJ64" s="11" t="s">
        <v>214</v>
      </c>
      <c r="BK64" s="15" t="s">
        <v>400</v>
      </c>
      <c r="BL64" s="12"/>
      <c r="BM64" s="12"/>
      <c r="BN64" s="12"/>
      <c r="BO64" s="12"/>
      <c r="BP64" s="12"/>
      <c r="BQ64" s="12"/>
      <c r="BR64" s="12"/>
      <c r="BS64" s="12"/>
      <c r="BT64" s="12"/>
      <c r="BU64" s="12"/>
      <c r="BV64" s="12"/>
      <c r="BW64" s="12"/>
      <c r="BX64" s="12"/>
      <c r="BY64" s="12"/>
      <c r="BZ64" s="12"/>
      <c r="CA64" s="12"/>
      <c r="CB64" s="12"/>
      <c r="CC64" s="12"/>
      <c r="CD64" s="12"/>
      <c r="CE64" s="12"/>
      <c r="CF64" s="12"/>
      <c r="CG64" s="12"/>
      <c r="CH64" s="12"/>
      <c r="CI64" s="12"/>
      <c r="CJ64" s="12"/>
      <c r="CK64" s="12"/>
      <c r="CL64" s="12"/>
      <c r="CM64" s="12"/>
      <c r="CN64" s="12"/>
      <c r="CO64" s="12"/>
      <c r="CP64" s="12"/>
      <c r="CQ64" s="12"/>
      <c r="CR64" s="12"/>
      <c r="CS64" s="12"/>
      <c r="CT64" s="12"/>
      <c r="CU64" s="12"/>
      <c r="CV64" s="12"/>
      <c r="CW64" s="12"/>
      <c r="CX64" s="12"/>
      <c r="CY64" s="12"/>
      <c r="CZ64" s="12"/>
      <c r="DA64" s="12"/>
      <c r="DB64" s="12"/>
      <c r="DC64" s="12"/>
      <c r="DD64" s="12"/>
    </row>
    <row r="65" ht="22.5" customHeight="1">
      <c r="A65" s="10">
        <v>45983.67057410879</v>
      </c>
      <c r="B65" s="11" t="s">
        <v>164</v>
      </c>
      <c r="C65" s="11" t="s">
        <v>1</v>
      </c>
      <c r="D65" s="12"/>
      <c r="E65" s="12"/>
      <c r="F65" s="12"/>
      <c r="G65" s="12"/>
      <c r="H65" s="12"/>
      <c r="I65" s="12"/>
      <c r="J65" s="12"/>
      <c r="K65" s="12"/>
      <c r="L65" s="12"/>
      <c r="M65" s="12"/>
      <c r="N65" s="12"/>
      <c r="O65" s="12"/>
      <c r="P65" s="12"/>
      <c r="Q65" s="12"/>
      <c r="R65" s="12"/>
      <c r="S65" s="12"/>
      <c r="T65" s="12"/>
      <c r="U65" s="12"/>
      <c r="V65" s="12"/>
      <c r="W65" s="12"/>
      <c r="X65" s="12"/>
      <c r="Y65" s="12"/>
      <c r="Z65" s="12"/>
      <c r="AA65" s="12"/>
      <c r="AB65" s="12"/>
      <c r="AC65" s="12"/>
      <c r="AD65" s="12"/>
      <c r="AE65" s="12"/>
      <c r="AF65" s="12"/>
      <c r="AG65" s="12"/>
      <c r="AH65" s="12"/>
      <c r="AI65" s="12"/>
      <c r="AJ65" s="12"/>
      <c r="AK65" s="12"/>
      <c r="AL65" s="12"/>
      <c r="AM65" s="12"/>
      <c r="AN65" s="12"/>
      <c r="AO65" s="12"/>
      <c r="AP65" s="12"/>
      <c r="AQ65" s="12"/>
      <c r="AR65" s="12"/>
      <c r="AS65" s="12"/>
      <c r="AT65" s="12"/>
      <c r="AU65" s="12"/>
      <c r="AV65" s="12"/>
      <c r="AW65" s="12"/>
      <c r="AX65" s="12"/>
      <c r="AY65" s="12"/>
      <c r="AZ65" s="12"/>
      <c r="BA65" s="12"/>
      <c r="BB65" s="12"/>
      <c r="BC65" s="12"/>
      <c r="BD65" s="12"/>
      <c r="BE65" s="12"/>
      <c r="BF65" s="12"/>
      <c r="BG65" s="12"/>
      <c r="BH65" s="12"/>
      <c r="BI65" s="12"/>
      <c r="BJ65" s="12"/>
      <c r="BK65" s="12"/>
      <c r="BL65" s="12"/>
      <c r="BM65" s="12"/>
      <c r="BN65" s="12"/>
      <c r="BO65" s="12"/>
      <c r="BP65" s="12"/>
      <c r="BQ65" s="12"/>
      <c r="BR65" s="12"/>
      <c r="BS65" s="12"/>
      <c r="BT65" s="12"/>
      <c r="BU65" s="12"/>
      <c r="BV65" s="12"/>
      <c r="BW65" s="12"/>
      <c r="BX65" s="12"/>
      <c r="BY65" s="12"/>
      <c r="BZ65" s="12"/>
      <c r="CA65" s="12"/>
      <c r="CB65" s="12"/>
      <c r="CC65" s="12"/>
      <c r="CD65" s="12"/>
      <c r="CE65" s="12"/>
      <c r="CF65" s="12"/>
      <c r="CG65" s="12"/>
      <c r="CH65" s="12"/>
      <c r="CI65" s="12"/>
      <c r="CJ65" s="12"/>
      <c r="CK65" s="12"/>
      <c r="CL65" s="12"/>
      <c r="CM65" s="12"/>
      <c r="CN65" s="12"/>
      <c r="CO65" s="12"/>
      <c r="CP65" s="12"/>
      <c r="CQ65" s="12"/>
      <c r="CR65" s="12"/>
      <c r="CS65" s="12"/>
      <c r="CT65" s="12"/>
      <c r="CU65" s="16">
        <v>45345.0</v>
      </c>
      <c r="CV65" s="11" t="s">
        <v>157</v>
      </c>
      <c r="CW65" s="11" t="s">
        <v>401</v>
      </c>
      <c r="CX65" s="11" t="s">
        <v>363</v>
      </c>
      <c r="CY65" s="11" t="s">
        <v>402</v>
      </c>
      <c r="CZ65" s="11" t="s">
        <v>403</v>
      </c>
      <c r="DA65" s="11" t="s">
        <v>334</v>
      </c>
      <c r="DB65" s="11" t="s">
        <v>267</v>
      </c>
      <c r="DC65" s="12"/>
      <c r="DD65" s="12"/>
    </row>
    <row r="66" ht="22.5" customHeight="1">
      <c r="A66" s="10">
        <v>45983.67109120371</v>
      </c>
      <c r="B66" s="11" t="s">
        <v>207</v>
      </c>
      <c r="C66" s="11" t="s">
        <v>6</v>
      </c>
      <c r="D66" s="12"/>
      <c r="E66" s="12"/>
      <c r="F66" s="12"/>
      <c r="G66" s="12"/>
      <c r="H66" s="12"/>
      <c r="I66" s="12"/>
      <c r="J66" s="12"/>
      <c r="K66" s="12"/>
      <c r="L66" s="12"/>
      <c r="M66" s="12"/>
      <c r="N66" s="12"/>
      <c r="O66" s="12"/>
      <c r="P66" s="12"/>
      <c r="Q66" s="12"/>
      <c r="R66" s="12"/>
      <c r="S66" s="12"/>
      <c r="T66" s="12"/>
      <c r="U66" s="12"/>
      <c r="V66" s="12"/>
      <c r="W66" s="12"/>
      <c r="X66" s="12"/>
      <c r="Y66" s="12"/>
      <c r="Z66" s="12"/>
      <c r="AA66" s="12"/>
      <c r="AB66" s="12"/>
      <c r="AC66" s="12"/>
      <c r="AD66" s="12"/>
      <c r="AE66" s="12"/>
      <c r="AF66" s="12"/>
      <c r="AG66" s="12"/>
      <c r="AH66" s="12"/>
      <c r="AI66" s="12"/>
      <c r="AJ66" s="12"/>
      <c r="AK66" s="12"/>
      <c r="AL66" s="12"/>
      <c r="AM66" s="12"/>
      <c r="AN66" s="12"/>
      <c r="AO66" s="12"/>
      <c r="AP66" s="12"/>
      <c r="AQ66" s="12"/>
      <c r="AR66" s="12"/>
      <c r="AS66" s="12"/>
      <c r="AT66" s="12"/>
      <c r="AU66" s="12"/>
      <c r="AV66" s="12"/>
      <c r="AW66" s="12"/>
      <c r="AX66" s="12"/>
      <c r="AY66" s="12"/>
      <c r="AZ66" s="16">
        <v>45496.0</v>
      </c>
      <c r="BA66" s="11" t="s">
        <v>404</v>
      </c>
      <c r="BB66" s="11" t="s">
        <v>397</v>
      </c>
      <c r="BC66" s="11" t="s">
        <v>305</v>
      </c>
      <c r="BD66" s="16">
        <v>45530.0</v>
      </c>
      <c r="BE66" s="11" t="s">
        <v>122</v>
      </c>
      <c r="BF66" s="11" t="s">
        <v>398</v>
      </c>
      <c r="BG66" s="11" t="s">
        <v>399</v>
      </c>
      <c r="BH66" s="11" t="s">
        <v>8</v>
      </c>
      <c r="BI66" s="11" t="s">
        <v>246</v>
      </c>
      <c r="BJ66" s="11" t="s">
        <v>214</v>
      </c>
      <c r="BK66" s="15" t="s">
        <v>405</v>
      </c>
      <c r="BL66" s="12"/>
      <c r="BM66" s="12"/>
      <c r="BN66" s="12"/>
      <c r="BO66" s="12"/>
      <c r="BP66" s="12"/>
      <c r="BQ66" s="12"/>
      <c r="BR66" s="12"/>
      <c r="BS66" s="12"/>
      <c r="BT66" s="12"/>
      <c r="BU66" s="12"/>
      <c r="BV66" s="12"/>
      <c r="BW66" s="12"/>
      <c r="BX66" s="12"/>
      <c r="BY66" s="12"/>
      <c r="BZ66" s="12"/>
      <c r="CA66" s="12"/>
      <c r="CB66" s="12"/>
      <c r="CC66" s="12"/>
      <c r="CD66" s="12"/>
      <c r="CE66" s="12"/>
      <c r="CF66" s="12"/>
      <c r="CG66" s="12"/>
      <c r="CH66" s="12"/>
      <c r="CI66" s="12"/>
      <c r="CJ66" s="12"/>
      <c r="CK66" s="12"/>
      <c r="CL66" s="12"/>
      <c r="CM66" s="12"/>
      <c r="CN66" s="12"/>
      <c r="CO66" s="12"/>
      <c r="CP66" s="12"/>
      <c r="CQ66" s="12"/>
      <c r="CR66" s="12"/>
      <c r="CS66" s="12"/>
      <c r="CT66" s="12"/>
      <c r="CU66" s="12"/>
      <c r="CV66" s="12"/>
      <c r="CW66" s="12"/>
      <c r="CX66" s="12"/>
      <c r="CY66" s="12"/>
      <c r="CZ66" s="12"/>
      <c r="DA66" s="12"/>
      <c r="DB66" s="12"/>
      <c r="DC66" s="12"/>
      <c r="DD66" s="12"/>
    </row>
    <row r="67" ht="22.5" customHeight="1">
      <c r="A67" s="10">
        <v>45983.673984699075</v>
      </c>
      <c r="B67" s="11" t="s">
        <v>369</v>
      </c>
      <c r="C67" s="11" t="s">
        <v>1</v>
      </c>
      <c r="D67" s="12"/>
      <c r="E67" s="12"/>
      <c r="F67" s="12"/>
      <c r="G67" s="12"/>
      <c r="H67" s="12"/>
      <c r="I67" s="12"/>
      <c r="J67" s="12"/>
      <c r="K67" s="12"/>
      <c r="L67" s="12"/>
      <c r="M67" s="12"/>
      <c r="N67" s="12"/>
      <c r="O67" s="12"/>
      <c r="P67" s="12"/>
      <c r="Q67" s="12"/>
      <c r="R67" s="12"/>
      <c r="S67" s="12"/>
      <c r="T67" s="12"/>
      <c r="U67" s="12"/>
      <c r="V67" s="12"/>
      <c r="W67" s="12"/>
      <c r="X67" s="12"/>
      <c r="Y67" s="12"/>
      <c r="Z67" s="12"/>
      <c r="AA67" s="12"/>
      <c r="AB67" s="12"/>
      <c r="AC67" s="12"/>
      <c r="AD67" s="12"/>
      <c r="AE67" s="12"/>
      <c r="AF67" s="12"/>
      <c r="AG67" s="12"/>
      <c r="AH67" s="12"/>
      <c r="AI67" s="12"/>
      <c r="AJ67" s="12"/>
      <c r="AK67" s="12"/>
      <c r="AL67" s="12"/>
      <c r="AM67" s="12"/>
      <c r="AN67" s="12"/>
      <c r="AO67" s="12"/>
      <c r="AP67" s="12"/>
      <c r="AQ67" s="12"/>
      <c r="AR67" s="12"/>
      <c r="AS67" s="12"/>
      <c r="AT67" s="12"/>
      <c r="AU67" s="12"/>
      <c r="AV67" s="12"/>
      <c r="AW67" s="12"/>
      <c r="AX67" s="12"/>
      <c r="AY67" s="12"/>
      <c r="AZ67" s="12"/>
      <c r="BA67" s="12"/>
      <c r="BB67" s="12"/>
      <c r="BC67" s="12"/>
      <c r="BD67" s="12"/>
      <c r="BE67" s="12"/>
      <c r="BF67" s="12"/>
      <c r="BG67" s="12"/>
      <c r="BH67" s="12"/>
      <c r="BI67" s="12"/>
      <c r="BJ67" s="12"/>
      <c r="BK67" s="12"/>
      <c r="BL67" s="12"/>
      <c r="BM67" s="12"/>
      <c r="BN67" s="12"/>
      <c r="BO67" s="12"/>
      <c r="BP67" s="12"/>
      <c r="BQ67" s="12"/>
      <c r="BR67" s="12"/>
      <c r="BS67" s="12"/>
      <c r="BT67" s="12"/>
      <c r="BU67" s="12"/>
      <c r="BV67" s="12"/>
      <c r="BW67" s="12"/>
      <c r="BX67" s="12"/>
      <c r="BY67" s="12"/>
      <c r="BZ67" s="12"/>
      <c r="CA67" s="12"/>
      <c r="CB67" s="12"/>
      <c r="CC67" s="12"/>
      <c r="CD67" s="12"/>
      <c r="CE67" s="12"/>
      <c r="CF67" s="12"/>
      <c r="CG67" s="12"/>
      <c r="CH67" s="17"/>
      <c r="CI67" s="17"/>
      <c r="CJ67" s="12"/>
      <c r="CK67" s="12"/>
      <c r="CL67" s="12"/>
      <c r="CM67" s="12"/>
      <c r="CN67" s="12"/>
      <c r="CO67" s="12"/>
      <c r="CP67" s="12"/>
      <c r="CQ67" s="12"/>
      <c r="CR67" s="12"/>
      <c r="CS67" s="12"/>
      <c r="CT67" s="12"/>
      <c r="CU67" s="16">
        <v>45681.0</v>
      </c>
      <c r="CV67" s="11" t="s">
        <v>406</v>
      </c>
      <c r="CW67" s="11" t="s">
        <v>407</v>
      </c>
      <c r="CX67" s="11" t="s">
        <v>408</v>
      </c>
      <c r="CY67" s="11" t="s">
        <v>409</v>
      </c>
      <c r="CZ67" s="11" t="s">
        <v>410</v>
      </c>
      <c r="DA67" s="11" t="s">
        <v>411</v>
      </c>
      <c r="DB67" s="11" t="s">
        <v>162</v>
      </c>
      <c r="DC67" s="15" t="s">
        <v>412</v>
      </c>
      <c r="DD67" s="17"/>
    </row>
    <row r="68" ht="22.5" customHeight="1">
      <c r="A68" s="10">
        <v>45983.67487475694</v>
      </c>
      <c r="B68" s="11" t="s">
        <v>164</v>
      </c>
      <c r="C68" s="11" t="s">
        <v>1</v>
      </c>
      <c r="D68" s="12"/>
      <c r="E68" s="12"/>
      <c r="F68" s="12"/>
      <c r="G68" s="12"/>
      <c r="H68" s="12"/>
      <c r="I68" s="12"/>
      <c r="J68" s="12"/>
      <c r="K68" s="12"/>
      <c r="L68" s="12"/>
      <c r="M68" s="12"/>
      <c r="N68" s="12"/>
      <c r="O68" s="12"/>
      <c r="P68" s="12"/>
      <c r="Q68" s="12"/>
      <c r="R68" s="12"/>
      <c r="S68" s="12"/>
      <c r="T68" s="12"/>
      <c r="U68" s="12"/>
      <c r="V68" s="12"/>
      <c r="W68" s="12"/>
      <c r="X68" s="12"/>
      <c r="Y68" s="12"/>
      <c r="Z68" s="12"/>
      <c r="AA68" s="12"/>
      <c r="AB68" s="12"/>
      <c r="AC68" s="12"/>
      <c r="AD68" s="12"/>
      <c r="AE68" s="12"/>
      <c r="AF68" s="12"/>
      <c r="AG68" s="12"/>
      <c r="AH68" s="12"/>
      <c r="AI68" s="12"/>
      <c r="AJ68" s="12"/>
      <c r="AK68" s="12"/>
      <c r="AL68" s="12"/>
      <c r="AM68" s="12"/>
      <c r="AN68" s="12"/>
      <c r="AO68" s="12"/>
      <c r="AP68" s="12"/>
      <c r="AQ68" s="12"/>
      <c r="AR68" s="12"/>
      <c r="AS68" s="12"/>
      <c r="AT68" s="12"/>
      <c r="AU68" s="12"/>
      <c r="AV68" s="12"/>
      <c r="AW68" s="12"/>
      <c r="AX68" s="12"/>
      <c r="AY68" s="12"/>
      <c r="AZ68" s="12"/>
      <c r="BA68" s="12"/>
      <c r="BB68" s="12"/>
      <c r="BC68" s="12"/>
      <c r="BD68" s="12"/>
      <c r="BE68" s="12"/>
      <c r="BF68" s="12"/>
      <c r="BG68" s="12"/>
      <c r="BH68" s="12"/>
      <c r="BI68" s="12"/>
      <c r="BJ68" s="12"/>
      <c r="BK68" s="12"/>
      <c r="BL68" s="12"/>
      <c r="BM68" s="12"/>
      <c r="BN68" s="12"/>
      <c r="BO68" s="12"/>
      <c r="BP68" s="12"/>
      <c r="BQ68" s="12"/>
      <c r="BR68" s="12"/>
      <c r="BS68" s="12"/>
      <c r="BT68" s="12"/>
      <c r="BU68" s="12"/>
      <c r="BV68" s="12"/>
      <c r="BW68" s="12"/>
      <c r="BX68" s="12"/>
      <c r="BY68" s="12"/>
      <c r="BZ68" s="12"/>
      <c r="CA68" s="12"/>
      <c r="CB68" s="12"/>
      <c r="CC68" s="12"/>
      <c r="CD68" s="12"/>
      <c r="CE68" s="12"/>
      <c r="CF68" s="12"/>
      <c r="CG68" s="12"/>
      <c r="CH68" s="17"/>
      <c r="CI68" s="17"/>
      <c r="CJ68" s="12"/>
      <c r="CK68" s="12"/>
      <c r="CL68" s="12"/>
      <c r="CM68" s="12"/>
      <c r="CN68" s="12"/>
      <c r="CO68" s="12"/>
      <c r="CP68" s="12"/>
      <c r="CQ68" s="12"/>
      <c r="CR68" s="12"/>
      <c r="CS68" s="12"/>
      <c r="CT68" s="12"/>
      <c r="CU68" s="16">
        <v>45350.0</v>
      </c>
      <c r="CV68" s="11" t="s">
        <v>157</v>
      </c>
      <c r="CW68" s="11" t="s">
        <v>413</v>
      </c>
      <c r="CX68" s="11" t="s">
        <v>151</v>
      </c>
      <c r="CY68" s="11" t="s">
        <v>414</v>
      </c>
      <c r="CZ68" s="11" t="s">
        <v>415</v>
      </c>
      <c r="DA68" s="11" t="s">
        <v>334</v>
      </c>
      <c r="DB68" s="11" t="s">
        <v>162</v>
      </c>
      <c r="DC68" s="15" t="s">
        <v>416</v>
      </c>
      <c r="DD68" s="17"/>
    </row>
    <row r="69" ht="22.5" customHeight="1">
      <c r="A69" s="10">
        <v>45983.67584476851</v>
      </c>
      <c r="B69" s="11" t="s">
        <v>207</v>
      </c>
      <c r="C69" s="11" t="s">
        <v>6</v>
      </c>
      <c r="D69" s="12"/>
      <c r="E69" s="12"/>
      <c r="F69" s="12"/>
      <c r="G69" s="12"/>
      <c r="H69" s="12"/>
      <c r="I69" s="12"/>
      <c r="J69" s="12"/>
      <c r="K69" s="12"/>
      <c r="L69" s="12"/>
      <c r="M69" s="12"/>
      <c r="N69" s="12"/>
      <c r="O69" s="12"/>
      <c r="P69" s="12"/>
      <c r="Q69" s="12"/>
      <c r="R69" s="12"/>
      <c r="S69" s="12"/>
      <c r="T69" s="12"/>
      <c r="U69" s="12"/>
      <c r="V69" s="12"/>
      <c r="W69" s="12"/>
      <c r="X69" s="12"/>
      <c r="Y69" s="12"/>
      <c r="Z69" s="12"/>
      <c r="AA69" s="12"/>
      <c r="AB69" s="12"/>
      <c r="AC69" s="12"/>
      <c r="AD69" s="12"/>
      <c r="AE69" s="12"/>
      <c r="AF69" s="12"/>
      <c r="AG69" s="12"/>
      <c r="AH69" s="12"/>
      <c r="AI69" s="12"/>
      <c r="AJ69" s="12"/>
      <c r="AK69" s="12"/>
      <c r="AL69" s="12"/>
      <c r="AM69" s="12"/>
      <c r="AN69" s="12"/>
      <c r="AO69" s="12"/>
      <c r="AP69" s="12"/>
      <c r="AQ69" s="12"/>
      <c r="AR69" s="12"/>
      <c r="AS69" s="12"/>
      <c r="AT69" s="12"/>
      <c r="AU69" s="12"/>
      <c r="AV69" s="12"/>
      <c r="AW69" s="12"/>
      <c r="AX69" s="12"/>
      <c r="AY69" s="12"/>
      <c r="AZ69" s="16">
        <v>45001.0</v>
      </c>
      <c r="BA69" s="11" t="s">
        <v>396</v>
      </c>
      <c r="BB69" s="11" t="s">
        <v>417</v>
      </c>
      <c r="BC69" s="11" t="s">
        <v>418</v>
      </c>
      <c r="BD69" s="16">
        <v>45001.0</v>
      </c>
      <c r="BE69" s="11" t="s">
        <v>122</v>
      </c>
      <c r="BF69" s="11" t="s">
        <v>419</v>
      </c>
      <c r="BG69" s="11" t="s">
        <v>420</v>
      </c>
      <c r="BH69" s="11" t="s">
        <v>212</v>
      </c>
      <c r="BI69" s="11" t="s">
        <v>294</v>
      </c>
      <c r="BJ69" s="11" t="s">
        <v>214</v>
      </c>
      <c r="BK69" s="15" t="s">
        <v>421</v>
      </c>
      <c r="BL69" s="12"/>
      <c r="BM69" s="12"/>
      <c r="BN69" s="12"/>
      <c r="BO69" s="12"/>
      <c r="BP69" s="12"/>
      <c r="BQ69" s="12"/>
      <c r="BR69" s="12"/>
      <c r="BS69" s="12"/>
      <c r="BT69" s="12"/>
      <c r="BU69" s="12"/>
      <c r="BV69" s="12"/>
      <c r="BW69" s="12"/>
      <c r="BX69" s="12"/>
      <c r="BY69" s="12"/>
      <c r="BZ69" s="12"/>
      <c r="CA69" s="12"/>
      <c r="CB69" s="12"/>
      <c r="CC69" s="12"/>
      <c r="CD69" s="12"/>
      <c r="CE69" s="12"/>
      <c r="CF69" s="12"/>
      <c r="CG69" s="12"/>
      <c r="CH69" s="12"/>
      <c r="CI69" s="12"/>
      <c r="CJ69" s="12"/>
      <c r="CK69" s="12"/>
      <c r="CL69" s="12"/>
      <c r="CM69" s="12"/>
      <c r="CN69" s="12"/>
      <c r="CO69" s="12"/>
      <c r="CP69" s="12"/>
      <c r="CQ69" s="12"/>
      <c r="CR69" s="12"/>
      <c r="CS69" s="12"/>
      <c r="CT69" s="12"/>
      <c r="CU69" s="12"/>
      <c r="CV69" s="12"/>
      <c r="CW69" s="12"/>
      <c r="CX69" s="12"/>
      <c r="CY69" s="12"/>
      <c r="CZ69" s="12"/>
      <c r="DA69" s="12"/>
      <c r="DB69" s="12"/>
      <c r="DC69" s="12"/>
      <c r="DD69" s="12"/>
    </row>
    <row r="70" ht="22.5" customHeight="1">
      <c r="A70" s="10">
        <v>45983.676588773145</v>
      </c>
      <c r="B70" s="11" t="s">
        <v>164</v>
      </c>
      <c r="C70" s="11" t="s">
        <v>1</v>
      </c>
      <c r="D70" s="12"/>
      <c r="E70" s="12"/>
      <c r="F70" s="12"/>
      <c r="G70" s="12"/>
      <c r="H70" s="12"/>
      <c r="I70" s="12"/>
      <c r="J70" s="12"/>
      <c r="K70" s="12"/>
      <c r="L70" s="12"/>
      <c r="M70" s="12"/>
      <c r="N70" s="12"/>
      <c r="O70" s="12"/>
      <c r="P70" s="12"/>
      <c r="Q70" s="12"/>
      <c r="R70" s="12"/>
      <c r="S70" s="12"/>
      <c r="T70" s="12"/>
      <c r="U70" s="12"/>
      <c r="V70" s="12"/>
      <c r="W70" s="12"/>
      <c r="X70" s="12"/>
      <c r="Y70" s="12"/>
      <c r="Z70" s="12"/>
      <c r="AA70" s="12"/>
      <c r="AB70" s="12"/>
      <c r="AC70" s="12"/>
      <c r="AD70" s="12"/>
      <c r="AE70" s="12"/>
      <c r="AF70" s="12"/>
      <c r="AG70" s="12"/>
      <c r="AH70" s="12"/>
      <c r="AI70" s="12"/>
      <c r="AJ70" s="12"/>
      <c r="AK70" s="12"/>
      <c r="AL70" s="12"/>
      <c r="AM70" s="12"/>
      <c r="AN70" s="12"/>
      <c r="AO70" s="12"/>
      <c r="AP70" s="12"/>
      <c r="AQ70" s="12"/>
      <c r="AR70" s="12"/>
      <c r="AS70" s="12"/>
      <c r="AT70" s="12"/>
      <c r="AU70" s="12"/>
      <c r="AV70" s="12"/>
      <c r="AW70" s="12"/>
      <c r="AX70" s="12"/>
      <c r="AY70" s="12"/>
      <c r="AZ70" s="12"/>
      <c r="BA70" s="12"/>
      <c r="BB70" s="12"/>
      <c r="BC70" s="12"/>
      <c r="BD70" s="12"/>
      <c r="BE70" s="12"/>
      <c r="BF70" s="12"/>
      <c r="BG70" s="12"/>
      <c r="BH70" s="12"/>
      <c r="BI70" s="12"/>
      <c r="BJ70" s="12"/>
      <c r="BK70" s="12"/>
      <c r="BL70" s="12"/>
      <c r="BM70" s="12"/>
      <c r="BN70" s="12"/>
      <c r="BO70" s="12"/>
      <c r="BP70" s="12"/>
      <c r="BQ70" s="12"/>
      <c r="BR70" s="12"/>
      <c r="BS70" s="12"/>
      <c r="BT70" s="12"/>
      <c r="BU70" s="12"/>
      <c r="BV70" s="12"/>
      <c r="BW70" s="12"/>
      <c r="BX70" s="12"/>
      <c r="BY70" s="12"/>
      <c r="BZ70" s="12"/>
      <c r="CA70" s="12"/>
      <c r="CB70" s="12"/>
      <c r="CC70" s="12"/>
      <c r="CD70" s="12"/>
      <c r="CE70" s="12"/>
      <c r="CF70" s="12"/>
      <c r="CG70" s="12"/>
      <c r="CH70" s="12"/>
      <c r="CI70" s="12"/>
      <c r="CJ70" s="12"/>
      <c r="CK70" s="12"/>
      <c r="CL70" s="12"/>
      <c r="CM70" s="12"/>
      <c r="CN70" s="12"/>
      <c r="CO70" s="12"/>
      <c r="CP70" s="12"/>
      <c r="CQ70" s="12"/>
      <c r="CR70" s="12"/>
      <c r="CS70" s="12"/>
      <c r="CT70" s="12"/>
      <c r="CU70" s="16">
        <v>45352.0</v>
      </c>
      <c r="CV70" s="11" t="s">
        <v>157</v>
      </c>
      <c r="CW70" s="11" t="s">
        <v>422</v>
      </c>
      <c r="CX70" s="11" t="s">
        <v>318</v>
      </c>
      <c r="CY70" s="11" t="s">
        <v>423</v>
      </c>
      <c r="CZ70" s="11" t="s">
        <v>403</v>
      </c>
      <c r="DA70" s="11" t="s">
        <v>334</v>
      </c>
      <c r="DB70" s="11" t="s">
        <v>162</v>
      </c>
      <c r="DC70" s="12"/>
      <c r="DD70" s="12"/>
    </row>
    <row r="71" ht="22.5" customHeight="1">
      <c r="A71" s="10">
        <v>45983.67781907407</v>
      </c>
      <c r="B71" s="11" t="s">
        <v>164</v>
      </c>
      <c r="C71" s="11" t="s">
        <v>1</v>
      </c>
      <c r="D71" s="12"/>
      <c r="E71" s="12"/>
      <c r="F71" s="12"/>
      <c r="G71" s="12"/>
      <c r="H71" s="12"/>
      <c r="I71" s="12"/>
      <c r="J71" s="12"/>
      <c r="K71" s="12"/>
      <c r="L71" s="12"/>
      <c r="M71" s="12"/>
      <c r="N71" s="12"/>
      <c r="O71" s="12"/>
      <c r="P71" s="12"/>
      <c r="Q71" s="12"/>
      <c r="R71" s="12"/>
      <c r="S71" s="12"/>
      <c r="T71" s="12"/>
      <c r="U71" s="12"/>
      <c r="V71" s="12"/>
      <c r="W71" s="12"/>
      <c r="X71" s="12"/>
      <c r="Y71" s="12"/>
      <c r="Z71" s="12"/>
      <c r="AA71" s="12"/>
      <c r="AB71" s="12"/>
      <c r="AC71" s="12"/>
      <c r="AD71" s="12"/>
      <c r="AE71" s="12"/>
      <c r="AF71" s="12"/>
      <c r="AG71" s="12"/>
      <c r="AH71" s="12"/>
      <c r="AI71" s="12"/>
      <c r="AJ71" s="12"/>
      <c r="AK71" s="12"/>
      <c r="AL71" s="12"/>
      <c r="AM71" s="12"/>
      <c r="AN71" s="12"/>
      <c r="AO71" s="12"/>
      <c r="AP71" s="12"/>
      <c r="AQ71" s="12"/>
      <c r="AR71" s="12"/>
      <c r="AS71" s="12"/>
      <c r="AT71" s="12"/>
      <c r="AU71" s="12"/>
      <c r="AV71" s="12"/>
      <c r="AW71" s="12"/>
      <c r="AX71" s="12"/>
      <c r="AY71" s="12"/>
      <c r="AZ71" s="12"/>
      <c r="BA71" s="12"/>
      <c r="BB71" s="12"/>
      <c r="BC71" s="12"/>
      <c r="BD71" s="12"/>
      <c r="BE71" s="12"/>
      <c r="BF71" s="12"/>
      <c r="BG71" s="12"/>
      <c r="BH71" s="12"/>
      <c r="BI71" s="12"/>
      <c r="BJ71" s="12"/>
      <c r="BK71" s="12"/>
      <c r="BL71" s="12"/>
      <c r="BM71" s="12"/>
      <c r="BN71" s="12"/>
      <c r="BO71" s="12"/>
      <c r="BP71" s="12"/>
      <c r="BQ71" s="12"/>
      <c r="BR71" s="12"/>
      <c r="BS71" s="12"/>
      <c r="BT71" s="12"/>
      <c r="BU71" s="12"/>
      <c r="BV71" s="12"/>
      <c r="BW71" s="12"/>
      <c r="BX71" s="12"/>
      <c r="BY71" s="12"/>
      <c r="BZ71" s="12"/>
      <c r="CA71" s="12"/>
      <c r="CB71" s="12"/>
      <c r="CC71" s="12"/>
      <c r="CD71" s="12"/>
      <c r="CE71" s="12"/>
      <c r="CF71" s="12"/>
      <c r="CG71" s="12"/>
      <c r="CH71" s="12"/>
      <c r="CI71" s="12"/>
      <c r="CJ71" s="12"/>
      <c r="CK71" s="12"/>
      <c r="CL71" s="12"/>
      <c r="CM71" s="12"/>
      <c r="CN71" s="12"/>
      <c r="CO71" s="12"/>
      <c r="CP71" s="12"/>
      <c r="CQ71" s="12"/>
      <c r="CR71" s="12"/>
      <c r="CS71" s="12"/>
      <c r="CT71" s="12"/>
      <c r="CU71" s="16">
        <v>45372.0</v>
      </c>
      <c r="CV71" s="11" t="s">
        <v>157</v>
      </c>
      <c r="CW71" s="11" t="s">
        <v>424</v>
      </c>
      <c r="CX71" s="11" t="s">
        <v>151</v>
      </c>
      <c r="CY71" s="11" t="s">
        <v>425</v>
      </c>
      <c r="CZ71" s="11" t="s">
        <v>380</v>
      </c>
      <c r="DA71" s="11" t="s">
        <v>334</v>
      </c>
      <c r="DB71" s="11" t="s">
        <v>267</v>
      </c>
      <c r="DC71" s="12"/>
      <c r="DD71" s="12"/>
    </row>
    <row r="72" ht="22.5" customHeight="1">
      <c r="A72" s="10">
        <v>45983.67970641203</v>
      </c>
      <c r="B72" s="11" t="s">
        <v>207</v>
      </c>
      <c r="C72" s="11" t="s">
        <v>6</v>
      </c>
      <c r="D72" s="12"/>
      <c r="E72" s="12"/>
      <c r="F72" s="12"/>
      <c r="G72" s="12"/>
      <c r="H72" s="12"/>
      <c r="I72" s="12"/>
      <c r="J72" s="12"/>
      <c r="K72" s="12"/>
      <c r="L72" s="12"/>
      <c r="M72" s="12"/>
      <c r="N72" s="12"/>
      <c r="O72" s="12"/>
      <c r="P72" s="12"/>
      <c r="Q72" s="12"/>
      <c r="R72" s="12"/>
      <c r="S72" s="12"/>
      <c r="T72" s="12"/>
      <c r="U72" s="12"/>
      <c r="V72" s="12"/>
      <c r="W72" s="12"/>
      <c r="X72" s="12"/>
      <c r="Y72" s="12"/>
      <c r="Z72" s="12"/>
      <c r="AA72" s="12"/>
      <c r="AB72" s="12"/>
      <c r="AC72" s="12"/>
      <c r="AD72" s="12"/>
      <c r="AE72" s="12"/>
      <c r="AF72" s="12"/>
      <c r="AG72" s="12"/>
      <c r="AH72" s="12"/>
      <c r="AI72" s="12"/>
      <c r="AJ72" s="12"/>
      <c r="AK72" s="12"/>
      <c r="AL72" s="12"/>
      <c r="AM72" s="12"/>
      <c r="AN72" s="12"/>
      <c r="AO72" s="12"/>
      <c r="AP72" s="12"/>
      <c r="AQ72" s="12"/>
      <c r="AR72" s="12"/>
      <c r="AS72" s="12"/>
      <c r="AT72" s="12"/>
      <c r="AU72" s="12"/>
      <c r="AV72" s="12"/>
      <c r="AW72" s="12"/>
      <c r="AX72" s="12"/>
      <c r="AY72" s="12"/>
      <c r="AZ72" s="16">
        <v>45047.0</v>
      </c>
      <c r="BA72" s="11" t="s">
        <v>396</v>
      </c>
      <c r="BB72" s="11" t="s">
        <v>426</v>
      </c>
      <c r="BC72" s="11" t="s">
        <v>217</v>
      </c>
      <c r="BD72" s="16">
        <v>45108.0</v>
      </c>
      <c r="BE72" s="11" t="s">
        <v>122</v>
      </c>
      <c r="BF72" s="11" t="s">
        <v>427</v>
      </c>
      <c r="BG72" s="11" t="s">
        <v>428</v>
      </c>
      <c r="BH72" s="11" t="s">
        <v>212</v>
      </c>
      <c r="BI72" s="11" t="s">
        <v>294</v>
      </c>
      <c r="BJ72" s="11" t="s">
        <v>214</v>
      </c>
      <c r="BK72" s="15" t="s">
        <v>429</v>
      </c>
      <c r="BL72" s="12"/>
      <c r="BM72" s="12"/>
      <c r="BN72" s="12"/>
      <c r="BO72" s="12"/>
      <c r="BP72" s="12"/>
      <c r="BQ72" s="12"/>
      <c r="BR72" s="12"/>
      <c r="BS72" s="12"/>
      <c r="BT72" s="12"/>
      <c r="BU72" s="12"/>
      <c r="BV72" s="12"/>
      <c r="BW72" s="12"/>
      <c r="BX72" s="12"/>
      <c r="BY72" s="12"/>
      <c r="BZ72" s="12"/>
      <c r="CA72" s="12"/>
      <c r="CB72" s="12"/>
      <c r="CC72" s="12"/>
      <c r="CD72" s="12"/>
      <c r="CE72" s="12"/>
      <c r="CF72" s="12"/>
      <c r="CG72" s="12"/>
      <c r="CH72" s="12"/>
      <c r="CI72" s="12"/>
      <c r="CJ72" s="12"/>
      <c r="CK72" s="12"/>
      <c r="CL72" s="12"/>
      <c r="CM72" s="12"/>
      <c r="CN72" s="12"/>
      <c r="CO72" s="12"/>
      <c r="CP72" s="12"/>
      <c r="CQ72" s="12"/>
      <c r="CR72" s="12"/>
      <c r="CS72" s="12"/>
      <c r="CT72" s="12"/>
      <c r="CU72" s="12"/>
      <c r="CV72" s="12"/>
      <c r="CW72" s="12"/>
      <c r="CX72" s="12"/>
      <c r="CY72" s="12"/>
      <c r="CZ72" s="12"/>
      <c r="DA72" s="12"/>
      <c r="DB72" s="12"/>
      <c r="DC72" s="12"/>
      <c r="DD72" s="12"/>
    </row>
    <row r="73" ht="22.5" customHeight="1">
      <c r="A73" s="10">
        <v>45983.68118027778</v>
      </c>
      <c r="B73" s="11" t="s">
        <v>369</v>
      </c>
      <c r="C73" s="11" t="s">
        <v>6</v>
      </c>
      <c r="D73" s="12"/>
      <c r="E73" s="12"/>
      <c r="F73" s="12"/>
      <c r="G73" s="12"/>
      <c r="H73" s="12"/>
      <c r="I73" s="12"/>
      <c r="J73" s="12"/>
      <c r="K73" s="12"/>
      <c r="L73" s="12"/>
      <c r="M73" s="12"/>
      <c r="N73" s="12"/>
      <c r="O73" s="12"/>
      <c r="P73" s="12"/>
      <c r="Q73" s="12"/>
      <c r="R73" s="12"/>
      <c r="S73" s="12"/>
      <c r="T73" s="12"/>
      <c r="U73" s="12"/>
      <c r="V73" s="12"/>
      <c r="W73" s="12"/>
      <c r="X73" s="12"/>
      <c r="Y73" s="12"/>
      <c r="Z73" s="12"/>
      <c r="AA73" s="12"/>
      <c r="AB73" s="12"/>
      <c r="AC73" s="12"/>
      <c r="AD73" s="12"/>
      <c r="AE73" s="12"/>
      <c r="AF73" s="12"/>
      <c r="AG73" s="12"/>
      <c r="AH73" s="12"/>
      <c r="AI73" s="12"/>
      <c r="AJ73" s="12"/>
      <c r="AK73" s="12"/>
      <c r="AL73" s="12"/>
      <c r="AM73" s="12"/>
      <c r="AN73" s="12"/>
      <c r="AO73" s="12"/>
      <c r="AP73" s="12"/>
      <c r="AQ73" s="12"/>
      <c r="AR73" s="12"/>
      <c r="AS73" s="12"/>
      <c r="AT73" s="12"/>
      <c r="AU73" s="12"/>
      <c r="AV73" s="12"/>
      <c r="AW73" s="12"/>
      <c r="AX73" s="12"/>
      <c r="AY73" s="12"/>
      <c r="AZ73" s="16">
        <v>45984.0</v>
      </c>
      <c r="BA73" s="11" t="s">
        <v>430</v>
      </c>
      <c r="BB73" s="11" t="s">
        <v>431</v>
      </c>
      <c r="BC73" s="11" t="s">
        <v>432</v>
      </c>
      <c r="BD73" s="16">
        <v>45711.0</v>
      </c>
      <c r="BE73" s="11" t="s">
        <v>122</v>
      </c>
      <c r="BF73" s="11" t="s">
        <v>433</v>
      </c>
      <c r="BG73" s="11" t="s">
        <v>434</v>
      </c>
      <c r="BH73" s="11" t="s">
        <v>212</v>
      </c>
      <c r="BI73" s="11">
        <v>5.0</v>
      </c>
      <c r="BJ73" s="11" t="s">
        <v>214</v>
      </c>
      <c r="BK73" s="15" t="s">
        <v>435</v>
      </c>
      <c r="BL73" s="12"/>
      <c r="BM73" s="12"/>
      <c r="BN73" s="12"/>
      <c r="BO73" s="12"/>
      <c r="BP73" s="12"/>
      <c r="BQ73" s="12"/>
      <c r="BR73" s="12"/>
      <c r="BS73" s="12"/>
      <c r="BT73" s="12"/>
      <c r="BU73" s="12"/>
      <c r="BV73" s="12"/>
      <c r="BW73" s="12"/>
      <c r="BX73" s="12"/>
      <c r="BY73" s="12"/>
      <c r="BZ73" s="12"/>
      <c r="CA73" s="12"/>
      <c r="CB73" s="12"/>
      <c r="CC73" s="12"/>
      <c r="CD73" s="12"/>
      <c r="CE73" s="12"/>
      <c r="CF73" s="12"/>
      <c r="CG73" s="12"/>
      <c r="CH73" s="12"/>
      <c r="CI73" s="12"/>
      <c r="CJ73" s="12"/>
      <c r="CK73" s="12"/>
      <c r="CL73" s="12"/>
      <c r="CM73" s="12"/>
      <c r="CN73" s="12"/>
      <c r="CO73" s="12"/>
      <c r="CP73" s="12"/>
      <c r="CQ73" s="12"/>
      <c r="CR73" s="12"/>
      <c r="CS73" s="12"/>
      <c r="CT73" s="12"/>
      <c r="CU73" s="12"/>
      <c r="CV73" s="12"/>
      <c r="CW73" s="12"/>
      <c r="CX73" s="12"/>
      <c r="CY73" s="12"/>
      <c r="CZ73" s="12"/>
      <c r="DA73" s="12"/>
      <c r="DB73" s="12"/>
      <c r="DC73" s="12"/>
      <c r="DD73" s="12"/>
    </row>
    <row r="74" ht="22.5" customHeight="1">
      <c r="A74" s="10">
        <v>45983.68170714121</v>
      </c>
      <c r="B74" s="11" t="s">
        <v>207</v>
      </c>
      <c r="C74" s="11" t="s">
        <v>6</v>
      </c>
      <c r="D74" s="12"/>
      <c r="E74" s="12"/>
      <c r="F74" s="12"/>
      <c r="G74" s="12"/>
      <c r="H74" s="12"/>
      <c r="I74" s="12"/>
      <c r="J74" s="12"/>
      <c r="K74" s="12"/>
      <c r="L74" s="12"/>
      <c r="M74" s="12"/>
      <c r="N74" s="12"/>
      <c r="O74" s="12"/>
      <c r="P74" s="12"/>
      <c r="Q74" s="12"/>
      <c r="R74" s="12"/>
      <c r="S74" s="12"/>
      <c r="T74" s="12"/>
      <c r="U74" s="12"/>
      <c r="V74" s="12"/>
      <c r="W74" s="12"/>
      <c r="X74" s="12"/>
      <c r="Y74" s="12"/>
      <c r="Z74" s="12"/>
      <c r="AA74" s="12"/>
      <c r="AB74" s="12"/>
      <c r="AC74" s="12"/>
      <c r="AD74" s="12"/>
      <c r="AE74" s="12"/>
      <c r="AF74" s="12"/>
      <c r="AG74" s="12"/>
      <c r="AH74" s="12"/>
      <c r="AI74" s="12"/>
      <c r="AJ74" s="12"/>
      <c r="AK74" s="12"/>
      <c r="AL74" s="12"/>
      <c r="AM74" s="12"/>
      <c r="AN74" s="12"/>
      <c r="AO74" s="12"/>
      <c r="AP74" s="12"/>
      <c r="AQ74" s="12"/>
      <c r="AR74" s="12"/>
      <c r="AS74" s="12"/>
      <c r="AT74" s="12"/>
      <c r="AU74" s="12"/>
      <c r="AV74" s="12"/>
      <c r="AW74" s="12"/>
      <c r="AX74" s="12"/>
      <c r="AY74" s="12"/>
      <c r="AZ74" s="16">
        <v>45047.0</v>
      </c>
      <c r="BA74" s="11" t="s">
        <v>396</v>
      </c>
      <c r="BB74" s="11" t="s">
        <v>426</v>
      </c>
      <c r="BC74" s="11" t="s">
        <v>217</v>
      </c>
      <c r="BD74" s="16">
        <v>45108.0</v>
      </c>
      <c r="BE74" s="11" t="s">
        <v>122</v>
      </c>
      <c r="BF74" s="11" t="s">
        <v>427</v>
      </c>
      <c r="BG74" s="11" t="s">
        <v>428</v>
      </c>
      <c r="BH74" s="11" t="s">
        <v>8</v>
      </c>
      <c r="BI74" s="11" t="s">
        <v>294</v>
      </c>
      <c r="BJ74" s="11" t="s">
        <v>214</v>
      </c>
      <c r="BK74" s="15" t="s">
        <v>436</v>
      </c>
      <c r="BL74" s="12"/>
      <c r="BM74" s="12"/>
      <c r="BN74" s="12"/>
      <c r="BO74" s="12"/>
      <c r="BP74" s="12"/>
      <c r="BQ74" s="12"/>
      <c r="BR74" s="12"/>
      <c r="BS74" s="12"/>
      <c r="BT74" s="12"/>
      <c r="BU74" s="12"/>
      <c r="BV74" s="12"/>
      <c r="BW74" s="12"/>
      <c r="BX74" s="12"/>
      <c r="BY74" s="12"/>
      <c r="BZ74" s="12"/>
      <c r="CA74" s="12"/>
      <c r="CB74" s="12"/>
      <c r="CC74" s="12"/>
      <c r="CD74" s="12"/>
      <c r="CE74" s="12"/>
      <c r="CF74" s="12"/>
      <c r="CG74" s="12"/>
      <c r="CH74" s="12"/>
      <c r="CI74" s="12"/>
      <c r="CJ74" s="12"/>
      <c r="CK74" s="12"/>
      <c r="CL74" s="12"/>
      <c r="CM74" s="12"/>
      <c r="CN74" s="12"/>
      <c r="CO74" s="12"/>
      <c r="CP74" s="12"/>
      <c r="CQ74" s="12"/>
      <c r="CR74" s="12"/>
      <c r="CS74" s="12"/>
      <c r="CT74" s="12"/>
      <c r="CU74" s="12"/>
      <c r="CV74" s="12"/>
      <c r="CW74" s="12"/>
      <c r="CX74" s="12"/>
      <c r="CY74" s="12"/>
      <c r="CZ74" s="12"/>
      <c r="DA74" s="12"/>
      <c r="DB74" s="12"/>
      <c r="DC74" s="12"/>
      <c r="DD74" s="12"/>
    </row>
    <row r="75" ht="22.5" customHeight="1">
      <c r="A75" s="10">
        <v>45983.6849625</v>
      </c>
      <c r="B75" s="11" t="s">
        <v>369</v>
      </c>
      <c r="C75" s="11" t="s">
        <v>6</v>
      </c>
      <c r="D75" s="12"/>
      <c r="E75" s="12"/>
      <c r="F75" s="12"/>
      <c r="G75" s="12"/>
      <c r="H75" s="12"/>
      <c r="I75" s="12"/>
      <c r="J75" s="12"/>
      <c r="K75" s="12"/>
      <c r="L75" s="12"/>
      <c r="M75" s="12"/>
      <c r="N75" s="12"/>
      <c r="O75" s="12"/>
      <c r="P75" s="12"/>
      <c r="Q75" s="12"/>
      <c r="R75" s="12"/>
      <c r="S75" s="12"/>
      <c r="T75" s="12"/>
      <c r="U75" s="12"/>
      <c r="V75" s="12"/>
      <c r="W75" s="12"/>
      <c r="X75" s="12"/>
      <c r="Y75" s="12"/>
      <c r="Z75" s="12"/>
      <c r="AA75" s="12"/>
      <c r="AB75" s="12"/>
      <c r="AC75" s="12"/>
      <c r="AD75" s="12"/>
      <c r="AE75" s="12"/>
      <c r="AF75" s="12"/>
      <c r="AG75" s="12"/>
      <c r="AH75" s="12"/>
      <c r="AI75" s="12"/>
      <c r="AJ75" s="12"/>
      <c r="AK75" s="12"/>
      <c r="AL75" s="12"/>
      <c r="AM75" s="12"/>
      <c r="AN75" s="12"/>
      <c r="AO75" s="12"/>
      <c r="AP75" s="12"/>
      <c r="AQ75" s="12"/>
      <c r="AR75" s="12"/>
      <c r="AS75" s="12"/>
      <c r="AT75" s="12"/>
      <c r="AU75" s="12"/>
      <c r="AV75" s="12"/>
      <c r="AW75" s="12"/>
      <c r="AX75" s="12"/>
      <c r="AY75" s="12"/>
      <c r="AZ75" s="16">
        <v>44980.0</v>
      </c>
      <c r="BA75" s="11" t="s">
        <v>430</v>
      </c>
      <c r="BB75" s="11" t="s">
        <v>437</v>
      </c>
      <c r="BC75" s="11" t="s">
        <v>432</v>
      </c>
      <c r="BD75" s="16">
        <v>45711.0</v>
      </c>
      <c r="BE75" s="11" t="s">
        <v>122</v>
      </c>
      <c r="BF75" s="11" t="s">
        <v>433</v>
      </c>
      <c r="BG75" s="11" t="s">
        <v>434</v>
      </c>
      <c r="BH75" s="11" t="s">
        <v>8</v>
      </c>
      <c r="BI75" s="11">
        <v>5.0</v>
      </c>
      <c r="BJ75" s="11" t="s">
        <v>214</v>
      </c>
      <c r="BK75" s="15" t="s">
        <v>438</v>
      </c>
      <c r="BL75" s="12"/>
      <c r="BM75" s="12"/>
      <c r="BN75" s="12"/>
      <c r="BO75" s="12"/>
      <c r="BP75" s="12"/>
      <c r="BQ75" s="12"/>
      <c r="BR75" s="12"/>
      <c r="BS75" s="12"/>
      <c r="BT75" s="12"/>
      <c r="BU75" s="12"/>
      <c r="BV75" s="12"/>
      <c r="BW75" s="12"/>
      <c r="BX75" s="12"/>
      <c r="BY75" s="12"/>
      <c r="BZ75" s="12"/>
      <c r="CA75" s="12"/>
      <c r="CB75" s="12"/>
      <c r="CC75" s="12"/>
      <c r="CD75" s="12"/>
      <c r="CE75" s="12"/>
      <c r="CF75" s="12"/>
      <c r="CG75" s="12"/>
      <c r="CH75" s="12"/>
      <c r="CI75" s="12"/>
      <c r="CJ75" s="12"/>
      <c r="CK75" s="12"/>
      <c r="CL75" s="12"/>
      <c r="CM75" s="12"/>
      <c r="CN75" s="12"/>
      <c r="CO75" s="12"/>
      <c r="CP75" s="12"/>
      <c r="CQ75" s="12"/>
      <c r="CR75" s="12"/>
      <c r="CS75" s="12"/>
      <c r="CT75" s="12"/>
      <c r="CU75" s="12"/>
      <c r="CV75" s="12"/>
      <c r="CW75" s="12"/>
      <c r="CX75" s="12"/>
      <c r="CY75" s="12"/>
      <c r="CZ75" s="12"/>
      <c r="DA75" s="12"/>
      <c r="DB75" s="12"/>
      <c r="DC75" s="12"/>
      <c r="DD75" s="12"/>
    </row>
    <row r="76" ht="22.5" customHeight="1">
      <c r="A76" s="10">
        <v>45983.68750237269</v>
      </c>
      <c r="B76" s="11" t="s">
        <v>369</v>
      </c>
      <c r="C76" s="11" t="s">
        <v>1</v>
      </c>
      <c r="D76" s="12"/>
      <c r="E76" s="12"/>
      <c r="F76" s="12"/>
      <c r="G76" s="12"/>
      <c r="H76" s="12"/>
      <c r="I76" s="12"/>
      <c r="J76" s="12"/>
      <c r="K76" s="12"/>
      <c r="L76" s="12"/>
      <c r="M76" s="12"/>
      <c r="N76" s="12"/>
      <c r="O76" s="12"/>
      <c r="P76" s="12"/>
      <c r="Q76" s="12"/>
      <c r="R76" s="12"/>
      <c r="S76" s="12"/>
      <c r="T76" s="12"/>
      <c r="U76" s="12"/>
      <c r="V76" s="12"/>
      <c r="W76" s="12"/>
      <c r="X76" s="12"/>
      <c r="Y76" s="12"/>
      <c r="Z76" s="12"/>
      <c r="AA76" s="12"/>
      <c r="AB76" s="12"/>
      <c r="AC76" s="12"/>
      <c r="AD76" s="12"/>
      <c r="AE76" s="12"/>
      <c r="AF76" s="12"/>
      <c r="AG76" s="12"/>
      <c r="AH76" s="12"/>
      <c r="AI76" s="12"/>
      <c r="AJ76" s="12"/>
      <c r="AK76" s="12"/>
      <c r="AL76" s="12"/>
      <c r="AM76" s="12"/>
      <c r="AN76" s="12"/>
      <c r="AO76" s="12"/>
      <c r="AP76" s="12"/>
      <c r="AQ76" s="12"/>
      <c r="AR76" s="12"/>
      <c r="AS76" s="12"/>
      <c r="AT76" s="12"/>
      <c r="AU76" s="12"/>
      <c r="AV76" s="12"/>
      <c r="AW76" s="12"/>
      <c r="AX76" s="12"/>
      <c r="AY76" s="12"/>
      <c r="AZ76" s="12"/>
      <c r="BA76" s="12"/>
      <c r="BB76" s="12"/>
      <c r="BC76" s="12"/>
      <c r="BD76" s="12"/>
      <c r="BE76" s="12"/>
      <c r="BF76" s="12"/>
      <c r="BG76" s="12"/>
      <c r="BH76" s="12"/>
      <c r="BI76" s="12"/>
      <c r="BJ76" s="12"/>
      <c r="BK76" s="12"/>
      <c r="BL76" s="12"/>
      <c r="BM76" s="12"/>
      <c r="BN76" s="12"/>
      <c r="BO76" s="12"/>
      <c r="BP76" s="12"/>
      <c r="BQ76" s="12"/>
      <c r="BR76" s="12"/>
      <c r="BS76" s="12"/>
      <c r="BT76" s="12"/>
      <c r="BU76" s="12"/>
      <c r="BV76" s="12"/>
      <c r="BW76" s="12"/>
      <c r="BX76" s="12"/>
      <c r="BY76" s="12"/>
      <c r="BZ76" s="12"/>
      <c r="CA76" s="12"/>
      <c r="CB76" s="12"/>
      <c r="CC76" s="12"/>
      <c r="CD76" s="12"/>
      <c r="CE76" s="12"/>
      <c r="CF76" s="12"/>
      <c r="CG76" s="12"/>
      <c r="CH76" s="12"/>
      <c r="CI76" s="12"/>
      <c r="CJ76" s="12"/>
      <c r="CK76" s="12"/>
      <c r="CL76" s="12"/>
      <c r="CM76" s="12"/>
      <c r="CN76" s="12"/>
      <c r="CO76" s="12"/>
      <c r="CP76" s="12"/>
      <c r="CQ76" s="12"/>
      <c r="CR76" s="12"/>
      <c r="CS76" s="12"/>
      <c r="CT76" s="12"/>
      <c r="CU76" s="16">
        <v>45684.0</v>
      </c>
      <c r="CV76" s="11" t="s">
        <v>157</v>
      </c>
      <c r="CW76" s="11" t="s">
        <v>439</v>
      </c>
      <c r="CX76" s="11" t="s">
        <v>318</v>
      </c>
      <c r="CY76" s="11" t="s">
        <v>440</v>
      </c>
      <c r="CZ76" s="11" t="s">
        <v>380</v>
      </c>
      <c r="DA76" s="11" t="s">
        <v>334</v>
      </c>
      <c r="DB76" s="11" t="s">
        <v>162</v>
      </c>
      <c r="DC76" s="12"/>
      <c r="DD76" s="12"/>
    </row>
    <row r="77" ht="22.5" customHeight="1">
      <c r="A77" s="10">
        <v>45983.68853034722</v>
      </c>
      <c r="B77" s="11" t="s">
        <v>207</v>
      </c>
      <c r="C77" s="11" t="s">
        <v>6</v>
      </c>
      <c r="D77" s="12"/>
      <c r="E77" s="12"/>
      <c r="F77" s="12"/>
      <c r="G77" s="12"/>
      <c r="H77" s="12"/>
      <c r="I77" s="12"/>
      <c r="J77" s="12"/>
      <c r="K77" s="12"/>
      <c r="L77" s="12"/>
      <c r="M77" s="12"/>
      <c r="N77" s="12"/>
      <c r="O77" s="12"/>
      <c r="P77" s="12"/>
      <c r="Q77" s="12"/>
      <c r="R77" s="12"/>
      <c r="S77" s="12"/>
      <c r="T77" s="12"/>
      <c r="U77" s="12"/>
      <c r="V77" s="12"/>
      <c r="W77" s="12"/>
      <c r="X77" s="12"/>
      <c r="Y77" s="12"/>
      <c r="Z77" s="12"/>
      <c r="AA77" s="12"/>
      <c r="AB77" s="12"/>
      <c r="AC77" s="12"/>
      <c r="AD77" s="12"/>
      <c r="AE77" s="12"/>
      <c r="AF77" s="12"/>
      <c r="AG77" s="12"/>
      <c r="AH77" s="12"/>
      <c r="AI77" s="12"/>
      <c r="AJ77" s="12"/>
      <c r="AK77" s="12"/>
      <c r="AL77" s="12"/>
      <c r="AM77" s="12"/>
      <c r="AN77" s="12"/>
      <c r="AO77" s="12"/>
      <c r="AP77" s="12"/>
      <c r="AQ77" s="12"/>
      <c r="AR77" s="12"/>
      <c r="AS77" s="12"/>
      <c r="AT77" s="12"/>
      <c r="AU77" s="12"/>
      <c r="AV77" s="12"/>
      <c r="AW77" s="12"/>
      <c r="AX77" s="12"/>
      <c r="AY77" s="12"/>
      <c r="AZ77" s="16">
        <v>45064.0</v>
      </c>
      <c r="BA77" s="11" t="s">
        <v>404</v>
      </c>
      <c r="BB77" s="11" t="s">
        <v>441</v>
      </c>
      <c r="BC77" s="11" t="s">
        <v>217</v>
      </c>
      <c r="BD77" s="16">
        <v>45115.0</v>
      </c>
      <c r="BE77" s="11" t="s">
        <v>122</v>
      </c>
      <c r="BF77" s="11" t="s">
        <v>442</v>
      </c>
      <c r="BG77" s="11" t="s">
        <v>428</v>
      </c>
      <c r="BH77" s="11" t="s">
        <v>8</v>
      </c>
      <c r="BI77" s="11" t="s">
        <v>294</v>
      </c>
      <c r="BJ77" s="11" t="s">
        <v>214</v>
      </c>
      <c r="BK77" s="15" t="s">
        <v>443</v>
      </c>
      <c r="BL77" s="12"/>
      <c r="BM77" s="12"/>
      <c r="BN77" s="12"/>
      <c r="BO77" s="12"/>
      <c r="BP77" s="12"/>
      <c r="BQ77" s="12"/>
      <c r="BR77" s="12"/>
      <c r="BS77" s="12"/>
      <c r="BT77" s="12"/>
      <c r="BU77" s="12"/>
      <c r="BV77" s="12"/>
      <c r="BW77" s="12"/>
      <c r="BX77" s="12"/>
      <c r="BY77" s="12"/>
      <c r="BZ77" s="12"/>
      <c r="CA77" s="12"/>
      <c r="CB77" s="12"/>
      <c r="CC77" s="12"/>
      <c r="CD77" s="12"/>
      <c r="CE77" s="12"/>
      <c r="CF77" s="12"/>
      <c r="CG77" s="12"/>
      <c r="CH77" s="12"/>
      <c r="CI77" s="12"/>
      <c r="CJ77" s="12"/>
      <c r="CK77" s="12"/>
      <c r="CL77" s="12"/>
      <c r="CM77" s="12"/>
      <c r="CN77" s="12"/>
      <c r="CO77" s="12"/>
      <c r="CP77" s="12"/>
      <c r="CQ77" s="12"/>
      <c r="CR77" s="12"/>
      <c r="CS77" s="12"/>
      <c r="CT77" s="12"/>
      <c r="CU77" s="12"/>
      <c r="CV77" s="12"/>
      <c r="CW77" s="12"/>
      <c r="CX77" s="12"/>
      <c r="CY77" s="12"/>
      <c r="CZ77" s="12"/>
      <c r="DA77" s="12"/>
      <c r="DB77" s="12"/>
      <c r="DC77" s="12"/>
      <c r="DD77" s="12"/>
    </row>
    <row r="78" ht="22.5" customHeight="1">
      <c r="A78" s="10">
        <v>45983.69183109954</v>
      </c>
      <c r="B78" s="11" t="s">
        <v>207</v>
      </c>
      <c r="C78" s="11" t="s">
        <v>6</v>
      </c>
      <c r="D78" s="12"/>
      <c r="E78" s="12"/>
      <c r="F78" s="12"/>
      <c r="G78" s="12"/>
      <c r="H78" s="12"/>
      <c r="I78" s="12"/>
      <c r="J78" s="12"/>
      <c r="K78" s="12"/>
      <c r="L78" s="12"/>
      <c r="M78" s="12"/>
      <c r="N78" s="12"/>
      <c r="O78" s="12"/>
      <c r="P78" s="12"/>
      <c r="Q78" s="12"/>
      <c r="R78" s="12"/>
      <c r="S78" s="12"/>
      <c r="T78" s="12"/>
      <c r="U78" s="12"/>
      <c r="V78" s="12"/>
      <c r="W78" s="12"/>
      <c r="X78" s="12"/>
      <c r="Y78" s="12"/>
      <c r="Z78" s="12"/>
      <c r="AA78" s="12"/>
      <c r="AB78" s="12"/>
      <c r="AC78" s="12"/>
      <c r="AD78" s="12"/>
      <c r="AE78" s="12"/>
      <c r="AF78" s="12"/>
      <c r="AG78" s="12"/>
      <c r="AH78" s="12"/>
      <c r="AI78" s="12"/>
      <c r="AJ78" s="12"/>
      <c r="AK78" s="12"/>
      <c r="AL78" s="12"/>
      <c r="AM78" s="12"/>
      <c r="AN78" s="12"/>
      <c r="AO78" s="12"/>
      <c r="AP78" s="12"/>
      <c r="AQ78" s="12"/>
      <c r="AR78" s="12"/>
      <c r="AS78" s="12"/>
      <c r="AT78" s="12"/>
      <c r="AU78" s="12"/>
      <c r="AV78" s="12"/>
      <c r="AW78" s="12"/>
      <c r="AX78" s="12"/>
      <c r="AY78" s="12"/>
      <c r="AZ78" s="16">
        <v>45205.0</v>
      </c>
      <c r="BA78" s="11" t="s">
        <v>396</v>
      </c>
      <c r="BB78" s="11" t="s">
        <v>444</v>
      </c>
      <c r="BC78" s="11" t="s">
        <v>343</v>
      </c>
      <c r="BD78" s="16">
        <v>45261.0</v>
      </c>
      <c r="BE78" s="11" t="s">
        <v>122</v>
      </c>
      <c r="BF78" s="11" t="s">
        <v>445</v>
      </c>
      <c r="BG78" s="11" t="s">
        <v>446</v>
      </c>
      <c r="BH78" s="11" t="s">
        <v>212</v>
      </c>
      <c r="BI78" s="11" t="s">
        <v>294</v>
      </c>
      <c r="BJ78" s="11" t="s">
        <v>214</v>
      </c>
      <c r="BK78" s="15" t="s">
        <v>447</v>
      </c>
      <c r="BL78" s="12"/>
      <c r="BM78" s="12"/>
      <c r="BN78" s="12"/>
      <c r="BO78" s="12"/>
      <c r="BP78" s="12"/>
      <c r="BQ78" s="12"/>
      <c r="BR78" s="12"/>
      <c r="BS78" s="12"/>
      <c r="BT78" s="12"/>
      <c r="BU78" s="12"/>
      <c r="BV78" s="12"/>
      <c r="BW78" s="12"/>
      <c r="BX78" s="12"/>
      <c r="BY78" s="12"/>
      <c r="BZ78" s="12"/>
      <c r="CA78" s="12"/>
      <c r="CB78" s="12"/>
      <c r="CC78" s="12"/>
      <c r="CD78" s="12"/>
      <c r="CE78" s="12"/>
      <c r="CF78" s="12"/>
      <c r="CG78" s="12"/>
      <c r="CH78" s="12"/>
      <c r="CI78" s="12"/>
      <c r="CJ78" s="12"/>
      <c r="CK78" s="12"/>
      <c r="CL78" s="12"/>
      <c r="CM78" s="12"/>
      <c r="CN78" s="12"/>
      <c r="CO78" s="12"/>
      <c r="CP78" s="12"/>
      <c r="CQ78" s="12"/>
      <c r="CR78" s="12"/>
      <c r="CS78" s="12"/>
      <c r="CT78" s="12"/>
      <c r="CU78" s="12"/>
      <c r="CV78" s="12"/>
      <c r="CW78" s="12"/>
      <c r="CX78" s="12"/>
      <c r="CY78" s="12"/>
      <c r="CZ78" s="12"/>
      <c r="DA78" s="12"/>
      <c r="DB78" s="12"/>
      <c r="DC78" s="12"/>
      <c r="DD78" s="12"/>
    </row>
    <row r="79" ht="22.5" customHeight="1">
      <c r="A79" s="10">
        <v>45983.69207763889</v>
      </c>
      <c r="B79" s="11" t="s">
        <v>369</v>
      </c>
      <c r="C79" s="11" t="s">
        <v>1</v>
      </c>
      <c r="D79" s="12"/>
      <c r="E79" s="12"/>
      <c r="F79" s="12"/>
      <c r="G79" s="12"/>
      <c r="H79" s="12"/>
      <c r="I79" s="12"/>
      <c r="J79" s="12"/>
      <c r="K79" s="12"/>
      <c r="L79" s="12"/>
      <c r="M79" s="12"/>
      <c r="N79" s="12"/>
      <c r="O79" s="12"/>
      <c r="P79" s="12"/>
      <c r="Q79" s="12"/>
      <c r="R79" s="12"/>
      <c r="S79" s="12"/>
      <c r="T79" s="12"/>
      <c r="U79" s="12"/>
      <c r="V79" s="12"/>
      <c r="W79" s="12"/>
      <c r="X79" s="12"/>
      <c r="Y79" s="12"/>
      <c r="Z79" s="12"/>
      <c r="AA79" s="12"/>
      <c r="AB79" s="12"/>
      <c r="AC79" s="12"/>
      <c r="AD79" s="12"/>
      <c r="AE79" s="12"/>
      <c r="AF79" s="12"/>
      <c r="AG79" s="12"/>
      <c r="AH79" s="12"/>
      <c r="AI79" s="12"/>
      <c r="AJ79" s="12"/>
      <c r="AK79" s="12"/>
      <c r="AL79" s="12"/>
      <c r="AM79" s="12"/>
      <c r="AN79" s="12"/>
      <c r="AO79" s="12"/>
      <c r="AP79" s="12"/>
      <c r="AQ79" s="12"/>
      <c r="AR79" s="12"/>
      <c r="AS79" s="12"/>
      <c r="AT79" s="12"/>
      <c r="AU79" s="12"/>
      <c r="AV79" s="12"/>
      <c r="AW79" s="12"/>
      <c r="AX79" s="12"/>
      <c r="AY79" s="12"/>
      <c r="AZ79" s="12"/>
      <c r="BA79" s="12"/>
      <c r="BB79" s="12"/>
      <c r="BC79" s="12"/>
      <c r="BD79" s="12"/>
      <c r="BE79" s="12"/>
      <c r="BF79" s="12"/>
      <c r="BG79" s="12"/>
      <c r="BH79" s="12"/>
      <c r="BI79" s="12"/>
      <c r="BJ79" s="12"/>
      <c r="BK79" s="12"/>
      <c r="BL79" s="12"/>
      <c r="BM79" s="12"/>
      <c r="BN79" s="12"/>
      <c r="BO79" s="12"/>
      <c r="BP79" s="12"/>
      <c r="BQ79" s="12"/>
      <c r="BR79" s="12"/>
      <c r="BS79" s="12"/>
      <c r="BT79" s="12"/>
      <c r="BU79" s="12"/>
      <c r="BV79" s="12"/>
      <c r="BW79" s="12"/>
      <c r="BX79" s="12"/>
      <c r="BY79" s="12"/>
      <c r="BZ79" s="12"/>
      <c r="CA79" s="12"/>
      <c r="CB79" s="12"/>
      <c r="CC79" s="12"/>
      <c r="CD79" s="12"/>
      <c r="CE79" s="12"/>
      <c r="CF79" s="12"/>
      <c r="CG79" s="12"/>
      <c r="CH79" s="17"/>
      <c r="CI79" s="17"/>
      <c r="CJ79" s="12"/>
      <c r="CK79" s="12"/>
      <c r="CL79" s="12"/>
      <c r="CM79" s="12"/>
      <c r="CN79" s="12"/>
      <c r="CO79" s="12"/>
      <c r="CP79" s="12"/>
      <c r="CQ79" s="12"/>
      <c r="CR79" s="12"/>
      <c r="CS79" s="12"/>
      <c r="CT79" s="12"/>
      <c r="CU79" s="16">
        <v>45686.0</v>
      </c>
      <c r="CV79" s="11" t="s">
        <v>157</v>
      </c>
      <c r="CW79" s="11" t="s">
        <v>448</v>
      </c>
      <c r="CX79" s="11" t="s">
        <v>449</v>
      </c>
      <c r="CY79" s="11" t="s">
        <v>450</v>
      </c>
      <c r="CZ79" s="11" t="s">
        <v>403</v>
      </c>
      <c r="DA79" s="11" t="s">
        <v>334</v>
      </c>
      <c r="DB79" s="11" t="s">
        <v>267</v>
      </c>
      <c r="DC79" s="15" t="s">
        <v>451</v>
      </c>
      <c r="DD79" s="17"/>
    </row>
    <row r="80" ht="22.5" customHeight="1">
      <c r="A80" s="10">
        <v>45983.97712603009</v>
      </c>
      <c r="B80" s="11" t="s">
        <v>207</v>
      </c>
      <c r="C80" s="11" t="s">
        <v>6</v>
      </c>
      <c r="D80" s="12"/>
      <c r="E80" s="12"/>
      <c r="F80" s="12"/>
      <c r="G80" s="12"/>
      <c r="H80" s="12"/>
      <c r="I80" s="12"/>
      <c r="J80" s="12"/>
      <c r="K80" s="12"/>
      <c r="L80" s="12"/>
      <c r="M80" s="12"/>
      <c r="N80" s="12"/>
      <c r="O80" s="12"/>
      <c r="P80" s="12"/>
      <c r="Q80" s="12"/>
      <c r="R80" s="12"/>
      <c r="S80" s="12"/>
      <c r="T80" s="12"/>
      <c r="U80" s="12"/>
      <c r="V80" s="12"/>
      <c r="W80" s="12"/>
      <c r="X80" s="12"/>
      <c r="Y80" s="12"/>
      <c r="Z80" s="12"/>
      <c r="AA80" s="12"/>
      <c r="AB80" s="12"/>
      <c r="AC80" s="12"/>
      <c r="AD80" s="12"/>
      <c r="AE80" s="12"/>
      <c r="AF80" s="12"/>
      <c r="AG80" s="12"/>
      <c r="AH80" s="12"/>
      <c r="AI80" s="12"/>
      <c r="AJ80" s="12"/>
      <c r="AK80" s="12"/>
      <c r="AL80" s="12"/>
      <c r="AM80" s="12"/>
      <c r="AN80" s="12"/>
      <c r="AO80" s="12"/>
      <c r="AP80" s="12"/>
      <c r="AQ80" s="12"/>
      <c r="AR80" s="12"/>
      <c r="AS80" s="12"/>
      <c r="AT80" s="12"/>
      <c r="AU80" s="12"/>
      <c r="AV80" s="12"/>
      <c r="AW80" s="12"/>
      <c r="AX80" s="12"/>
      <c r="AY80" s="12"/>
      <c r="AZ80" s="16">
        <v>45819.0</v>
      </c>
      <c r="BA80" s="11" t="s">
        <v>452</v>
      </c>
      <c r="BB80" s="11" t="s">
        <v>453</v>
      </c>
      <c r="BC80" s="11" t="s">
        <v>454</v>
      </c>
      <c r="BD80" s="16">
        <v>45824.0</v>
      </c>
      <c r="BE80" s="11" t="s">
        <v>122</v>
      </c>
      <c r="BF80" s="11" t="s">
        <v>455</v>
      </c>
      <c r="BG80" s="11" t="s">
        <v>456</v>
      </c>
      <c r="BH80" s="11" t="s">
        <v>212</v>
      </c>
      <c r="BI80" s="11" t="s">
        <v>294</v>
      </c>
      <c r="BJ80" s="11" t="s">
        <v>214</v>
      </c>
      <c r="BK80" s="15" t="s">
        <v>457</v>
      </c>
      <c r="BL80" s="12"/>
      <c r="BM80" s="12"/>
      <c r="BN80" s="12"/>
      <c r="BO80" s="12"/>
      <c r="BP80" s="12"/>
      <c r="BQ80" s="12"/>
      <c r="BR80" s="12"/>
      <c r="BS80" s="12"/>
      <c r="BT80" s="12"/>
      <c r="BU80" s="12"/>
      <c r="BV80" s="12"/>
      <c r="BW80" s="12"/>
      <c r="BX80" s="12"/>
      <c r="BY80" s="12"/>
      <c r="BZ80" s="12"/>
      <c r="CA80" s="12"/>
      <c r="CB80" s="12"/>
      <c r="CC80" s="12"/>
      <c r="CD80" s="12"/>
      <c r="CE80" s="12"/>
      <c r="CF80" s="12"/>
      <c r="CG80" s="12"/>
      <c r="CH80" s="12"/>
      <c r="CI80" s="12"/>
      <c r="CJ80" s="12"/>
      <c r="CK80" s="12"/>
      <c r="CL80" s="12"/>
      <c r="CM80" s="12"/>
      <c r="CN80" s="12"/>
      <c r="CO80" s="12"/>
      <c r="CP80" s="12"/>
      <c r="CQ80" s="12"/>
      <c r="CR80" s="12"/>
      <c r="CS80" s="12"/>
      <c r="CT80" s="12"/>
      <c r="CU80" s="12"/>
      <c r="CV80" s="12"/>
      <c r="CW80" s="12"/>
      <c r="CX80" s="12"/>
      <c r="CY80" s="12"/>
      <c r="CZ80" s="12"/>
      <c r="DA80" s="12"/>
      <c r="DB80" s="12"/>
      <c r="DC80" s="12"/>
      <c r="DD80" s="12"/>
    </row>
    <row r="81" ht="22.5" customHeight="1">
      <c r="A81" s="10">
        <v>45983.98481259259</v>
      </c>
      <c r="B81" s="11" t="s">
        <v>207</v>
      </c>
      <c r="C81" s="11" t="s">
        <v>6</v>
      </c>
      <c r="D81" s="12"/>
      <c r="E81" s="12"/>
      <c r="F81" s="12"/>
      <c r="G81" s="12"/>
      <c r="H81" s="12"/>
      <c r="I81" s="12"/>
      <c r="J81" s="12"/>
      <c r="K81" s="12"/>
      <c r="L81" s="12"/>
      <c r="M81" s="12"/>
      <c r="N81" s="12"/>
      <c r="O81" s="12"/>
      <c r="P81" s="12"/>
      <c r="Q81" s="12"/>
      <c r="R81" s="12"/>
      <c r="S81" s="12"/>
      <c r="T81" s="12"/>
      <c r="U81" s="12"/>
      <c r="V81" s="12"/>
      <c r="W81" s="12"/>
      <c r="X81" s="12"/>
      <c r="Y81" s="12"/>
      <c r="Z81" s="12"/>
      <c r="AA81" s="12"/>
      <c r="AB81" s="12"/>
      <c r="AC81" s="12"/>
      <c r="AD81" s="12"/>
      <c r="AE81" s="12"/>
      <c r="AF81" s="12"/>
      <c r="AG81" s="12"/>
      <c r="AH81" s="12"/>
      <c r="AI81" s="12"/>
      <c r="AJ81" s="12"/>
      <c r="AK81" s="12"/>
      <c r="AL81" s="12"/>
      <c r="AM81" s="12"/>
      <c r="AN81" s="12"/>
      <c r="AO81" s="12"/>
      <c r="AP81" s="12"/>
      <c r="AQ81" s="12"/>
      <c r="AR81" s="12"/>
      <c r="AS81" s="12"/>
      <c r="AT81" s="12"/>
      <c r="AU81" s="12"/>
      <c r="AV81" s="12"/>
      <c r="AW81" s="12"/>
      <c r="AX81" s="12"/>
      <c r="AY81" s="12"/>
      <c r="AZ81" s="16">
        <v>45775.0</v>
      </c>
      <c r="BA81" s="11" t="s">
        <v>458</v>
      </c>
      <c r="BB81" s="11" t="s">
        <v>459</v>
      </c>
      <c r="BC81" s="11" t="s">
        <v>217</v>
      </c>
      <c r="BD81" s="16">
        <v>45800.0</v>
      </c>
      <c r="BE81" s="11" t="s">
        <v>122</v>
      </c>
      <c r="BF81" s="11" t="s">
        <v>460</v>
      </c>
      <c r="BG81" s="11" t="s">
        <v>461</v>
      </c>
      <c r="BH81" s="11" t="s">
        <v>212</v>
      </c>
      <c r="BI81" s="11" t="s">
        <v>294</v>
      </c>
      <c r="BJ81" s="11" t="s">
        <v>214</v>
      </c>
      <c r="BK81" s="15" t="s">
        <v>462</v>
      </c>
      <c r="BL81" s="12"/>
      <c r="BM81" s="12"/>
      <c r="BN81" s="12"/>
      <c r="BO81" s="12"/>
      <c r="BP81" s="12"/>
      <c r="BQ81" s="12"/>
      <c r="BR81" s="12"/>
      <c r="BS81" s="12"/>
      <c r="BT81" s="12"/>
      <c r="BU81" s="12"/>
      <c r="BV81" s="12"/>
      <c r="BW81" s="12"/>
      <c r="BX81" s="12"/>
      <c r="BY81" s="12"/>
      <c r="BZ81" s="12"/>
      <c r="CA81" s="12"/>
      <c r="CB81" s="12"/>
      <c r="CC81" s="12"/>
      <c r="CD81" s="12"/>
      <c r="CE81" s="12"/>
      <c r="CF81" s="12"/>
      <c r="CG81" s="12"/>
      <c r="CH81" s="12"/>
      <c r="CI81" s="12"/>
      <c r="CJ81" s="12"/>
      <c r="CK81" s="12"/>
      <c r="CL81" s="12"/>
      <c r="CM81" s="12"/>
      <c r="CN81" s="12"/>
      <c r="CO81" s="12"/>
      <c r="CP81" s="12"/>
      <c r="CQ81" s="12"/>
      <c r="CR81" s="12"/>
      <c r="CS81" s="12"/>
      <c r="CT81" s="12"/>
      <c r="CU81" s="12"/>
      <c r="CV81" s="12"/>
      <c r="CW81" s="12"/>
      <c r="CX81" s="12"/>
      <c r="CY81" s="12"/>
      <c r="CZ81" s="12"/>
      <c r="DA81" s="12"/>
      <c r="DB81" s="12"/>
      <c r="DC81" s="12"/>
      <c r="DD81" s="12"/>
    </row>
    <row r="82" ht="22.5" customHeight="1">
      <c r="A82" s="10">
        <v>45983.989429548616</v>
      </c>
      <c r="B82" s="11" t="s">
        <v>207</v>
      </c>
      <c r="C82" s="11" t="s">
        <v>6</v>
      </c>
      <c r="D82" s="12"/>
      <c r="E82" s="12"/>
      <c r="F82" s="12"/>
      <c r="G82" s="12"/>
      <c r="H82" s="12"/>
      <c r="I82" s="12"/>
      <c r="J82" s="12"/>
      <c r="K82" s="12"/>
      <c r="L82" s="12"/>
      <c r="M82" s="12"/>
      <c r="N82" s="12"/>
      <c r="O82" s="12"/>
      <c r="P82" s="12"/>
      <c r="Q82" s="12"/>
      <c r="R82" s="12"/>
      <c r="S82" s="12"/>
      <c r="T82" s="12"/>
      <c r="U82" s="12"/>
      <c r="V82" s="12"/>
      <c r="W82" s="12"/>
      <c r="X82" s="12"/>
      <c r="Y82" s="12"/>
      <c r="Z82" s="12"/>
      <c r="AA82" s="12"/>
      <c r="AB82" s="12"/>
      <c r="AC82" s="12"/>
      <c r="AD82" s="12"/>
      <c r="AE82" s="12"/>
      <c r="AF82" s="12"/>
      <c r="AG82" s="12"/>
      <c r="AH82" s="12"/>
      <c r="AI82" s="12"/>
      <c r="AJ82" s="12"/>
      <c r="AK82" s="12"/>
      <c r="AL82" s="12"/>
      <c r="AM82" s="12"/>
      <c r="AN82" s="12"/>
      <c r="AO82" s="12"/>
      <c r="AP82" s="12"/>
      <c r="AQ82" s="12"/>
      <c r="AR82" s="12"/>
      <c r="AS82" s="12"/>
      <c r="AT82" s="12"/>
      <c r="AU82" s="12"/>
      <c r="AV82" s="12"/>
      <c r="AW82" s="12"/>
      <c r="AX82" s="12"/>
      <c r="AY82" s="12"/>
      <c r="AZ82" s="16">
        <v>44958.0</v>
      </c>
      <c r="BA82" s="11" t="s">
        <v>458</v>
      </c>
      <c r="BB82" s="11" t="s">
        <v>463</v>
      </c>
      <c r="BC82" s="11" t="s">
        <v>418</v>
      </c>
      <c r="BD82" s="16">
        <v>44969.0</v>
      </c>
      <c r="BE82" s="11" t="s">
        <v>122</v>
      </c>
      <c r="BF82" s="11" t="s">
        <v>464</v>
      </c>
      <c r="BG82" s="11" t="s">
        <v>465</v>
      </c>
      <c r="BH82" s="11" t="s">
        <v>212</v>
      </c>
      <c r="BI82" s="11" t="s">
        <v>294</v>
      </c>
      <c r="BJ82" s="11" t="s">
        <v>214</v>
      </c>
      <c r="BK82" s="15" t="s">
        <v>466</v>
      </c>
      <c r="BL82" s="12"/>
      <c r="BM82" s="12"/>
      <c r="BN82" s="12"/>
      <c r="BO82" s="12"/>
      <c r="BP82" s="12"/>
      <c r="BQ82" s="12"/>
      <c r="BR82" s="12"/>
      <c r="BS82" s="12"/>
      <c r="BT82" s="12"/>
      <c r="BU82" s="12"/>
      <c r="BV82" s="12"/>
      <c r="BW82" s="12"/>
      <c r="BX82" s="12"/>
      <c r="BY82" s="12"/>
      <c r="BZ82" s="12"/>
      <c r="CA82" s="12"/>
      <c r="CB82" s="12"/>
      <c r="CC82" s="12"/>
      <c r="CD82" s="12"/>
      <c r="CE82" s="12"/>
      <c r="CF82" s="12"/>
      <c r="CG82" s="12"/>
      <c r="CH82" s="12"/>
      <c r="CI82" s="12"/>
      <c r="CJ82" s="12"/>
      <c r="CK82" s="12"/>
      <c r="CL82" s="12"/>
      <c r="CM82" s="12"/>
      <c r="CN82" s="12"/>
      <c r="CO82" s="12"/>
      <c r="CP82" s="12"/>
      <c r="CQ82" s="12"/>
      <c r="CR82" s="12"/>
      <c r="CS82" s="12"/>
      <c r="CT82" s="12"/>
      <c r="CU82" s="12"/>
      <c r="CV82" s="12"/>
      <c r="CW82" s="12"/>
      <c r="CX82" s="12"/>
      <c r="CY82" s="12"/>
      <c r="CZ82" s="12"/>
      <c r="DA82" s="12"/>
      <c r="DB82" s="12"/>
      <c r="DC82" s="12"/>
      <c r="DD82" s="12"/>
    </row>
    <row r="83" ht="22.5" customHeight="1">
      <c r="A83" s="10">
        <v>45983.99191435185</v>
      </c>
      <c r="B83" s="11" t="s">
        <v>207</v>
      </c>
      <c r="C83" s="11" t="s">
        <v>6</v>
      </c>
      <c r="D83" s="12"/>
      <c r="E83" s="12"/>
      <c r="F83" s="12"/>
      <c r="G83" s="12"/>
      <c r="H83" s="12"/>
      <c r="I83" s="12"/>
      <c r="J83" s="12"/>
      <c r="K83" s="12"/>
      <c r="L83" s="12"/>
      <c r="M83" s="12"/>
      <c r="N83" s="12"/>
      <c r="O83" s="12"/>
      <c r="P83" s="12"/>
      <c r="Q83" s="12"/>
      <c r="R83" s="12"/>
      <c r="S83" s="12"/>
      <c r="T83" s="12"/>
      <c r="U83" s="12"/>
      <c r="V83" s="12"/>
      <c r="W83" s="12"/>
      <c r="X83" s="12"/>
      <c r="Y83" s="12"/>
      <c r="Z83" s="12"/>
      <c r="AA83" s="12"/>
      <c r="AB83" s="12"/>
      <c r="AC83" s="12"/>
      <c r="AD83" s="12"/>
      <c r="AE83" s="12"/>
      <c r="AF83" s="12"/>
      <c r="AG83" s="12"/>
      <c r="AH83" s="12"/>
      <c r="AI83" s="12"/>
      <c r="AJ83" s="12"/>
      <c r="AK83" s="12"/>
      <c r="AL83" s="12"/>
      <c r="AM83" s="12"/>
      <c r="AN83" s="12"/>
      <c r="AO83" s="12"/>
      <c r="AP83" s="12"/>
      <c r="AQ83" s="12"/>
      <c r="AR83" s="12"/>
      <c r="AS83" s="12"/>
      <c r="AT83" s="12"/>
      <c r="AU83" s="12"/>
      <c r="AV83" s="12"/>
      <c r="AW83" s="12"/>
      <c r="AX83" s="12"/>
      <c r="AY83" s="12"/>
      <c r="AZ83" s="16">
        <v>45819.0</v>
      </c>
      <c r="BA83" s="11" t="s">
        <v>133</v>
      </c>
      <c r="BB83" s="11" t="s">
        <v>467</v>
      </c>
      <c r="BC83" s="11" t="s">
        <v>454</v>
      </c>
      <c r="BD83" s="16">
        <v>45826.0</v>
      </c>
      <c r="BE83" s="11" t="s">
        <v>122</v>
      </c>
      <c r="BF83" s="11" t="s">
        <v>468</v>
      </c>
      <c r="BG83" s="11" t="s">
        <v>469</v>
      </c>
      <c r="BH83" s="11" t="s">
        <v>212</v>
      </c>
      <c r="BI83" s="11" t="s">
        <v>294</v>
      </c>
      <c r="BJ83" s="11" t="s">
        <v>214</v>
      </c>
      <c r="BK83" s="15" t="s">
        <v>470</v>
      </c>
      <c r="BL83" s="12"/>
      <c r="BM83" s="12"/>
      <c r="BN83" s="12"/>
      <c r="BO83" s="12"/>
      <c r="BP83" s="12"/>
      <c r="BQ83" s="12"/>
      <c r="BR83" s="12"/>
      <c r="BS83" s="12"/>
      <c r="BT83" s="12"/>
      <c r="BU83" s="12"/>
      <c r="BV83" s="12"/>
      <c r="BW83" s="12"/>
      <c r="BX83" s="12"/>
      <c r="BY83" s="12"/>
      <c r="BZ83" s="12"/>
      <c r="CA83" s="12"/>
      <c r="CB83" s="12"/>
      <c r="CC83" s="12"/>
      <c r="CD83" s="12"/>
      <c r="CE83" s="12"/>
      <c r="CF83" s="12"/>
      <c r="CG83" s="12"/>
      <c r="CH83" s="12"/>
      <c r="CI83" s="12"/>
      <c r="CJ83" s="12"/>
      <c r="CK83" s="12"/>
      <c r="CL83" s="12"/>
      <c r="CM83" s="12"/>
      <c r="CN83" s="12"/>
      <c r="CO83" s="12"/>
      <c r="CP83" s="12"/>
      <c r="CQ83" s="12"/>
      <c r="CR83" s="12"/>
      <c r="CS83" s="12"/>
      <c r="CT83" s="12"/>
      <c r="CU83" s="12"/>
      <c r="CV83" s="12"/>
      <c r="CW83" s="12"/>
      <c r="CX83" s="12"/>
      <c r="CY83" s="12"/>
      <c r="CZ83" s="12"/>
      <c r="DA83" s="12"/>
      <c r="DB83" s="12"/>
      <c r="DC83" s="12"/>
      <c r="DD83" s="12"/>
    </row>
    <row r="84" ht="22.5" customHeight="1">
      <c r="A84" s="10">
        <v>45983.99834146991</v>
      </c>
      <c r="B84" s="11" t="s">
        <v>207</v>
      </c>
      <c r="C84" s="11" t="s">
        <v>6</v>
      </c>
      <c r="D84" s="12"/>
      <c r="E84" s="12"/>
      <c r="F84" s="12"/>
      <c r="G84" s="12"/>
      <c r="H84" s="12"/>
      <c r="I84" s="12"/>
      <c r="J84" s="12"/>
      <c r="K84" s="12"/>
      <c r="L84" s="12"/>
      <c r="M84" s="12"/>
      <c r="N84" s="12"/>
      <c r="O84" s="12"/>
      <c r="P84" s="12"/>
      <c r="Q84" s="12"/>
      <c r="R84" s="12"/>
      <c r="S84" s="12"/>
      <c r="T84" s="12"/>
      <c r="U84" s="12"/>
      <c r="V84" s="12"/>
      <c r="W84" s="12"/>
      <c r="X84" s="12"/>
      <c r="Y84" s="12"/>
      <c r="Z84" s="12"/>
      <c r="AA84" s="12"/>
      <c r="AB84" s="12"/>
      <c r="AC84" s="12"/>
      <c r="AD84" s="12"/>
      <c r="AE84" s="12"/>
      <c r="AF84" s="12"/>
      <c r="AG84" s="12"/>
      <c r="AH84" s="12"/>
      <c r="AI84" s="12"/>
      <c r="AJ84" s="12"/>
      <c r="AK84" s="12"/>
      <c r="AL84" s="12"/>
      <c r="AM84" s="12"/>
      <c r="AN84" s="12"/>
      <c r="AO84" s="12"/>
      <c r="AP84" s="12"/>
      <c r="AQ84" s="12"/>
      <c r="AR84" s="12"/>
      <c r="AS84" s="12"/>
      <c r="AT84" s="12"/>
      <c r="AU84" s="12"/>
      <c r="AV84" s="12"/>
      <c r="AW84" s="12"/>
      <c r="AX84" s="12"/>
      <c r="AY84" s="12"/>
      <c r="AZ84" s="16">
        <v>45838.0</v>
      </c>
      <c r="BA84" s="11" t="s">
        <v>471</v>
      </c>
      <c r="BB84" s="11" t="s">
        <v>472</v>
      </c>
      <c r="BC84" s="11" t="s">
        <v>454</v>
      </c>
      <c r="BD84" s="16">
        <v>45840.0</v>
      </c>
      <c r="BE84" s="11" t="s">
        <v>122</v>
      </c>
      <c r="BF84" s="11" t="s">
        <v>473</v>
      </c>
      <c r="BG84" s="11" t="s">
        <v>474</v>
      </c>
      <c r="BH84" s="11" t="s">
        <v>212</v>
      </c>
      <c r="BI84" s="11" t="s">
        <v>294</v>
      </c>
      <c r="BJ84" s="11" t="s">
        <v>214</v>
      </c>
      <c r="BK84" s="15" t="s">
        <v>475</v>
      </c>
      <c r="BL84" s="12"/>
      <c r="BM84" s="12"/>
      <c r="BN84" s="12"/>
      <c r="BO84" s="12"/>
      <c r="BP84" s="12"/>
      <c r="BQ84" s="12"/>
      <c r="BR84" s="12"/>
      <c r="BS84" s="12"/>
      <c r="BT84" s="12"/>
      <c r="BU84" s="12"/>
      <c r="BV84" s="12"/>
      <c r="BW84" s="12"/>
      <c r="BX84" s="12"/>
      <c r="BY84" s="12"/>
      <c r="BZ84" s="12"/>
      <c r="CA84" s="12"/>
      <c r="CB84" s="12"/>
      <c r="CC84" s="12"/>
      <c r="CD84" s="12"/>
      <c r="CE84" s="12"/>
      <c r="CF84" s="12"/>
      <c r="CG84" s="12"/>
      <c r="CH84" s="12"/>
      <c r="CI84" s="12"/>
      <c r="CJ84" s="12"/>
      <c r="CK84" s="12"/>
      <c r="CL84" s="12"/>
      <c r="CM84" s="12"/>
      <c r="CN84" s="12"/>
      <c r="CO84" s="12"/>
      <c r="CP84" s="12"/>
      <c r="CQ84" s="12"/>
      <c r="CR84" s="12"/>
      <c r="CS84" s="12"/>
      <c r="CT84" s="12"/>
      <c r="CU84" s="12"/>
      <c r="CV84" s="12"/>
      <c r="CW84" s="12"/>
      <c r="CX84" s="12"/>
      <c r="CY84" s="12"/>
      <c r="CZ84" s="12"/>
      <c r="DA84" s="12"/>
      <c r="DB84" s="12"/>
      <c r="DC84" s="12"/>
      <c r="DD84" s="12"/>
    </row>
    <row r="85" ht="22.5" customHeight="1">
      <c r="A85" s="10">
        <v>45984.001624004624</v>
      </c>
      <c r="B85" s="11" t="s">
        <v>207</v>
      </c>
      <c r="C85" s="11" t="s">
        <v>6</v>
      </c>
      <c r="D85" s="12"/>
      <c r="E85" s="12"/>
      <c r="F85" s="12"/>
      <c r="G85" s="12"/>
      <c r="H85" s="12"/>
      <c r="I85" s="12"/>
      <c r="J85" s="12"/>
      <c r="K85" s="12"/>
      <c r="L85" s="12"/>
      <c r="M85" s="12"/>
      <c r="N85" s="12"/>
      <c r="O85" s="12"/>
      <c r="P85" s="12"/>
      <c r="Q85" s="12"/>
      <c r="R85" s="12"/>
      <c r="S85" s="12"/>
      <c r="T85" s="12"/>
      <c r="U85" s="12"/>
      <c r="V85" s="12"/>
      <c r="W85" s="12"/>
      <c r="X85" s="12"/>
      <c r="Y85" s="12"/>
      <c r="Z85" s="12"/>
      <c r="AA85" s="12"/>
      <c r="AB85" s="12"/>
      <c r="AC85" s="12"/>
      <c r="AD85" s="12"/>
      <c r="AE85" s="12"/>
      <c r="AF85" s="12"/>
      <c r="AG85" s="12"/>
      <c r="AH85" s="12"/>
      <c r="AI85" s="12"/>
      <c r="AJ85" s="12"/>
      <c r="AK85" s="12"/>
      <c r="AL85" s="12"/>
      <c r="AM85" s="12"/>
      <c r="AN85" s="12"/>
      <c r="AO85" s="12"/>
      <c r="AP85" s="12"/>
      <c r="AQ85" s="12"/>
      <c r="AR85" s="12"/>
      <c r="AS85" s="12"/>
      <c r="AT85" s="12"/>
      <c r="AU85" s="12"/>
      <c r="AV85" s="12"/>
      <c r="AW85" s="12"/>
      <c r="AX85" s="12"/>
      <c r="AY85" s="12"/>
      <c r="AZ85" s="16">
        <v>45173.0</v>
      </c>
      <c r="BA85" s="11" t="s">
        <v>471</v>
      </c>
      <c r="BB85" s="11" t="s">
        <v>476</v>
      </c>
      <c r="BC85" s="11" t="s">
        <v>305</v>
      </c>
      <c r="BD85" s="16">
        <v>45323.0</v>
      </c>
      <c r="BE85" s="11" t="s">
        <v>122</v>
      </c>
      <c r="BF85" s="11" t="s">
        <v>477</v>
      </c>
      <c r="BG85" s="11" t="s">
        <v>478</v>
      </c>
      <c r="BH85" s="11" t="s">
        <v>212</v>
      </c>
      <c r="BI85" s="11" t="s">
        <v>294</v>
      </c>
      <c r="BJ85" s="11" t="s">
        <v>214</v>
      </c>
      <c r="BK85" s="15" t="s">
        <v>479</v>
      </c>
      <c r="BL85" s="12"/>
      <c r="BM85" s="12"/>
      <c r="BN85" s="12"/>
      <c r="BO85" s="12"/>
      <c r="BP85" s="12"/>
      <c r="BQ85" s="12"/>
      <c r="BR85" s="12"/>
      <c r="BS85" s="12"/>
      <c r="BT85" s="12"/>
      <c r="BU85" s="12"/>
      <c r="BV85" s="12"/>
      <c r="BW85" s="12"/>
      <c r="BX85" s="12"/>
      <c r="BY85" s="12"/>
      <c r="BZ85" s="12"/>
      <c r="CA85" s="12"/>
      <c r="CB85" s="12"/>
      <c r="CC85" s="12"/>
      <c r="CD85" s="12"/>
      <c r="CE85" s="12"/>
      <c r="CF85" s="12"/>
      <c r="CG85" s="12"/>
      <c r="CH85" s="12"/>
      <c r="CI85" s="12"/>
      <c r="CJ85" s="12"/>
      <c r="CK85" s="12"/>
      <c r="CL85" s="12"/>
      <c r="CM85" s="12"/>
      <c r="CN85" s="12"/>
      <c r="CO85" s="12"/>
      <c r="CP85" s="12"/>
      <c r="CQ85" s="12"/>
      <c r="CR85" s="12"/>
      <c r="CS85" s="12"/>
      <c r="CT85" s="12"/>
      <c r="CU85" s="12"/>
      <c r="CV85" s="12"/>
      <c r="CW85" s="12"/>
      <c r="CX85" s="12"/>
      <c r="CY85" s="12"/>
      <c r="CZ85" s="12"/>
      <c r="DA85" s="12"/>
      <c r="DB85" s="12"/>
      <c r="DC85" s="12"/>
      <c r="DD85" s="12"/>
    </row>
    <row r="86" ht="22.5" customHeight="1">
      <c r="A86" s="10">
        <v>45984.004316921295</v>
      </c>
      <c r="B86" s="11" t="s">
        <v>207</v>
      </c>
      <c r="C86" s="11" t="s">
        <v>6</v>
      </c>
      <c r="D86" s="12"/>
      <c r="E86" s="12"/>
      <c r="F86" s="12"/>
      <c r="G86" s="12"/>
      <c r="H86" s="12"/>
      <c r="I86" s="12"/>
      <c r="J86" s="12"/>
      <c r="K86" s="12"/>
      <c r="L86" s="12"/>
      <c r="M86" s="12"/>
      <c r="N86" s="12"/>
      <c r="O86" s="12"/>
      <c r="P86" s="12"/>
      <c r="Q86" s="12"/>
      <c r="R86" s="12"/>
      <c r="S86" s="12"/>
      <c r="T86" s="12"/>
      <c r="U86" s="12"/>
      <c r="V86" s="12"/>
      <c r="W86" s="12"/>
      <c r="X86" s="12"/>
      <c r="Y86" s="12"/>
      <c r="Z86" s="12"/>
      <c r="AA86" s="12"/>
      <c r="AB86" s="12"/>
      <c r="AC86" s="12"/>
      <c r="AD86" s="12"/>
      <c r="AE86" s="12"/>
      <c r="AF86" s="12"/>
      <c r="AG86" s="12"/>
      <c r="AH86" s="12"/>
      <c r="AI86" s="12"/>
      <c r="AJ86" s="12"/>
      <c r="AK86" s="12"/>
      <c r="AL86" s="12"/>
      <c r="AM86" s="12"/>
      <c r="AN86" s="12"/>
      <c r="AO86" s="12"/>
      <c r="AP86" s="12"/>
      <c r="AQ86" s="12"/>
      <c r="AR86" s="12"/>
      <c r="AS86" s="12"/>
      <c r="AT86" s="12"/>
      <c r="AU86" s="12"/>
      <c r="AV86" s="12"/>
      <c r="AW86" s="12"/>
      <c r="AX86" s="12"/>
      <c r="AY86" s="12"/>
      <c r="AZ86" s="16">
        <v>45202.0</v>
      </c>
      <c r="BA86" s="11" t="s">
        <v>471</v>
      </c>
      <c r="BB86" s="11" t="s">
        <v>480</v>
      </c>
      <c r="BC86" s="11" t="s">
        <v>343</v>
      </c>
      <c r="BD86" s="16">
        <v>45555.0</v>
      </c>
      <c r="BE86" s="11" t="s">
        <v>122</v>
      </c>
      <c r="BF86" s="11" t="s">
        <v>481</v>
      </c>
      <c r="BG86" s="11" t="s">
        <v>482</v>
      </c>
      <c r="BH86" s="11" t="s">
        <v>212</v>
      </c>
      <c r="BI86" s="11" t="s">
        <v>220</v>
      </c>
      <c r="BJ86" s="11" t="s">
        <v>214</v>
      </c>
      <c r="BK86" s="15" t="s">
        <v>483</v>
      </c>
      <c r="BL86" s="12"/>
      <c r="BM86" s="12"/>
      <c r="BN86" s="12"/>
      <c r="BO86" s="12"/>
      <c r="BP86" s="12"/>
      <c r="BQ86" s="12"/>
      <c r="BR86" s="12"/>
      <c r="BS86" s="12"/>
      <c r="BT86" s="12"/>
      <c r="BU86" s="12"/>
      <c r="BV86" s="12"/>
      <c r="BW86" s="12"/>
      <c r="BX86" s="12"/>
      <c r="BY86" s="12"/>
      <c r="BZ86" s="12"/>
      <c r="CA86" s="12"/>
      <c r="CB86" s="12"/>
      <c r="CC86" s="12"/>
      <c r="CD86" s="12"/>
      <c r="CE86" s="12"/>
      <c r="CF86" s="12"/>
      <c r="CG86" s="12"/>
      <c r="CH86" s="12"/>
      <c r="CI86" s="12"/>
      <c r="CJ86" s="12"/>
      <c r="CK86" s="12"/>
      <c r="CL86" s="12"/>
      <c r="CM86" s="12"/>
      <c r="CN86" s="12"/>
      <c r="CO86" s="12"/>
      <c r="CP86" s="12"/>
      <c r="CQ86" s="12"/>
      <c r="CR86" s="12"/>
      <c r="CS86" s="12"/>
      <c r="CT86" s="12"/>
      <c r="CU86" s="12"/>
      <c r="CV86" s="12"/>
      <c r="CW86" s="12"/>
      <c r="CX86" s="12"/>
      <c r="CY86" s="12"/>
      <c r="CZ86" s="12"/>
      <c r="DA86" s="12"/>
      <c r="DB86" s="12"/>
      <c r="DC86" s="12"/>
      <c r="DD86" s="12"/>
    </row>
    <row r="87" ht="22.5" customHeight="1">
      <c r="A87" s="10">
        <v>45984.01013618056</v>
      </c>
      <c r="B87" s="11" t="s">
        <v>207</v>
      </c>
      <c r="C87" s="11" t="s">
        <v>6</v>
      </c>
      <c r="D87" s="12"/>
      <c r="E87" s="12"/>
      <c r="F87" s="12"/>
      <c r="G87" s="12"/>
      <c r="H87" s="12"/>
      <c r="I87" s="12"/>
      <c r="J87" s="12"/>
      <c r="K87" s="12"/>
      <c r="L87" s="12"/>
      <c r="M87" s="12"/>
      <c r="N87" s="12"/>
      <c r="O87" s="12"/>
      <c r="P87" s="12"/>
      <c r="Q87" s="12"/>
      <c r="R87" s="12"/>
      <c r="S87" s="12"/>
      <c r="T87" s="12"/>
      <c r="U87" s="12"/>
      <c r="V87" s="12"/>
      <c r="W87" s="12"/>
      <c r="X87" s="12"/>
      <c r="Y87" s="12"/>
      <c r="Z87" s="12"/>
      <c r="AA87" s="12"/>
      <c r="AB87" s="12"/>
      <c r="AC87" s="12"/>
      <c r="AD87" s="12"/>
      <c r="AE87" s="12"/>
      <c r="AF87" s="12"/>
      <c r="AG87" s="12"/>
      <c r="AH87" s="12"/>
      <c r="AI87" s="12"/>
      <c r="AJ87" s="12"/>
      <c r="AK87" s="12"/>
      <c r="AL87" s="12"/>
      <c r="AM87" s="12"/>
      <c r="AN87" s="12"/>
      <c r="AO87" s="12"/>
      <c r="AP87" s="12"/>
      <c r="AQ87" s="12"/>
      <c r="AR87" s="12"/>
      <c r="AS87" s="12"/>
      <c r="AT87" s="12"/>
      <c r="AU87" s="12"/>
      <c r="AV87" s="12"/>
      <c r="AW87" s="12"/>
      <c r="AX87" s="12"/>
      <c r="AY87" s="12"/>
      <c r="AZ87" s="16">
        <v>44971.0</v>
      </c>
      <c r="BA87" s="11" t="s">
        <v>484</v>
      </c>
      <c r="BB87" s="11" t="s">
        <v>485</v>
      </c>
      <c r="BC87" s="11" t="s">
        <v>418</v>
      </c>
      <c r="BD87" s="16">
        <v>45045.0</v>
      </c>
      <c r="BE87" s="11" t="s">
        <v>122</v>
      </c>
      <c r="BF87" s="11" t="s">
        <v>486</v>
      </c>
      <c r="BG87" s="11" t="s">
        <v>487</v>
      </c>
      <c r="BH87" s="11" t="s">
        <v>212</v>
      </c>
      <c r="BI87" s="11" t="s">
        <v>488</v>
      </c>
      <c r="BJ87" s="11" t="s">
        <v>214</v>
      </c>
      <c r="BK87" s="15" t="s">
        <v>489</v>
      </c>
      <c r="BL87" s="12"/>
      <c r="BM87" s="12"/>
      <c r="BN87" s="12"/>
      <c r="BO87" s="12"/>
      <c r="BP87" s="12"/>
      <c r="BQ87" s="12"/>
      <c r="BR87" s="12"/>
      <c r="BS87" s="12"/>
      <c r="BT87" s="12"/>
      <c r="BU87" s="12"/>
      <c r="BV87" s="12"/>
      <c r="BW87" s="12"/>
      <c r="BX87" s="12"/>
      <c r="BY87" s="12"/>
      <c r="BZ87" s="12"/>
      <c r="CA87" s="12"/>
      <c r="CB87" s="12"/>
      <c r="CC87" s="12"/>
      <c r="CD87" s="12"/>
      <c r="CE87" s="12"/>
      <c r="CF87" s="12"/>
      <c r="CG87" s="12"/>
      <c r="CH87" s="12"/>
      <c r="CI87" s="12"/>
      <c r="CJ87" s="12"/>
      <c r="CK87" s="12"/>
      <c r="CL87" s="12"/>
      <c r="CM87" s="12"/>
      <c r="CN87" s="12"/>
      <c r="CO87" s="12"/>
      <c r="CP87" s="12"/>
      <c r="CQ87" s="12"/>
      <c r="CR87" s="12"/>
      <c r="CS87" s="12"/>
      <c r="CT87" s="12"/>
      <c r="CU87" s="12"/>
      <c r="CV87" s="12"/>
      <c r="CW87" s="12"/>
      <c r="CX87" s="12"/>
      <c r="CY87" s="12"/>
      <c r="CZ87" s="12"/>
      <c r="DA87" s="12"/>
      <c r="DB87" s="12"/>
      <c r="DC87" s="12"/>
      <c r="DD87" s="12"/>
    </row>
    <row r="88" ht="22.5" customHeight="1">
      <c r="A88" s="10">
        <v>45984.416830381946</v>
      </c>
      <c r="B88" s="11" t="s">
        <v>207</v>
      </c>
      <c r="C88" s="11" t="s">
        <v>6</v>
      </c>
      <c r="D88" s="12"/>
      <c r="E88" s="12"/>
      <c r="F88" s="12"/>
      <c r="G88" s="12"/>
      <c r="H88" s="12"/>
      <c r="I88" s="12"/>
      <c r="J88" s="12"/>
      <c r="K88" s="12"/>
      <c r="L88" s="12"/>
      <c r="M88" s="12"/>
      <c r="N88" s="12"/>
      <c r="O88" s="12"/>
      <c r="P88" s="12"/>
      <c r="Q88" s="12"/>
      <c r="R88" s="12"/>
      <c r="S88" s="12"/>
      <c r="T88" s="12"/>
      <c r="U88" s="12"/>
      <c r="V88" s="12"/>
      <c r="W88" s="12"/>
      <c r="X88" s="12"/>
      <c r="Y88" s="12"/>
      <c r="Z88" s="12"/>
      <c r="AA88" s="12"/>
      <c r="AB88" s="12"/>
      <c r="AC88" s="12"/>
      <c r="AD88" s="12"/>
      <c r="AE88" s="12"/>
      <c r="AF88" s="12"/>
      <c r="AG88" s="12"/>
      <c r="AH88" s="12"/>
      <c r="AI88" s="12"/>
      <c r="AJ88" s="12"/>
      <c r="AK88" s="12"/>
      <c r="AL88" s="12"/>
      <c r="AM88" s="12"/>
      <c r="AN88" s="12"/>
      <c r="AO88" s="12"/>
      <c r="AP88" s="12"/>
      <c r="AQ88" s="12"/>
      <c r="AR88" s="12"/>
      <c r="AS88" s="12"/>
      <c r="AT88" s="12"/>
      <c r="AU88" s="12"/>
      <c r="AV88" s="12"/>
      <c r="AW88" s="12"/>
      <c r="AX88" s="12"/>
      <c r="AY88" s="12"/>
      <c r="AZ88" s="16">
        <v>44999.0</v>
      </c>
      <c r="BA88" s="11" t="s">
        <v>151</v>
      </c>
      <c r="BB88" s="11" t="s">
        <v>490</v>
      </c>
      <c r="BC88" s="11" t="s">
        <v>383</v>
      </c>
      <c r="BD88" s="16">
        <v>45008.0</v>
      </c>
      <c r="BE88" s="11" t="s">
        <v>122</v>
      </c>
      <c r="BF88" s="11" t="s">
        <v>491</v>
      </c>
      <c r="BG88" s="11" t="s">
        <v>492</v>
      </c>
      <c r="BH88" s="11" t="s">
        <v>212</v>
      </c>
      <c r="BI88" s="11" t="s">
        <v>493</v>
      </c>
      <c r="BJ88" s="11" t="s">
        <v>494</v>
      </c>
      <c r="BK88" s="15" t="s">
        <v>495</v>
      </c>
      <c r="BL88" s="12"/>
      <c r="BM88" s="12"/>
      <c r="BN88" s="12"/>
      <c r="BO88" s="12"/>
      <c r="BP88" s="12"/>
      <c r="BQ88" s="12"/>
      <c r="BR88" s="12"/>
      <c r="BS88" s="12"/>
      <c r="BT88" s="12"/>
      <c r="BU88" s="12"/>
      <c r="BV88" s="12"/>
      <c r="BW88" s="12"/>
      <c r="BX88" s="12"/>
      <c r="BY88" s="12"/>
      <c r="BZ88" s="12"/>
      <c r="CA88" s="12"/>
      <c r="CB88" s="12"/>
      <c r="CC88" s="12"/>
      <c r="CD88" s="12"/>
      <c r="CE88" s="12"/>
      <c r="CF88" s="12"/>
      <c r="CG88" s="12"/>
      <c r="CH88" s="12"/>
      <c r="CI88" s="12"/>
      <c r="CJ88" s="12"/>
      <c r="CK88" s="12"/>
      <c r="CL88" s="12"/>
      <c r="CM88" s="12"/>
      <c r="CN88" s="12"/>
      <c r="CO88" s="12"/>
      <c r="CP88" s="12"/>
      <c r="CQ88" s="12"/>
      <c r="CR88" s="12"/>
      <c r="CS88" s="12"/>
      <c r="CT88" s="12"/>
      <c r="CU88" s="12"/>
      <c r="CV88" s="12"/>
      <c r="CW88" s="12"/>
      <c r="CX88" s="12"/>
      <c r="CY88" s="12"/>
      <c r="CZ88" s="12"/>
      <c r="DA88" s="12"/>
      <c r="DB88" s="12"/>
      <c r="DC88" s="12"/>
      <c r="DD88" s="12"/>
    </row>
    <row r="89" ht="22.5" customHeight="1">
      <c r="A89" s="10">
        <v>45984.42054943287</v>
      </c>
      <c r="B89" s="11" t="s">
        <v>207</v>
      </c>
      <c r="C89" s="11" t="s">
        <v>6</v>
      </c>
      <c r="D89" s="12"/>
      <c r="E89" s="12"/>
      <c r="F89" s="12"/>
      <c r="G89" s="12"/>
      <c r="H89" s="12"/>
      <c r="I89" s="12"/>
      <c r="J89" s="12"/>
      <c r="K89" s="12"/>
      <c r="L89" s="12"/>
      <c r="M89" s="12"/>
      <c r="N89" s="12"/>
      <c r="O89" s="12"/>
      <c r="P89" s="12"/>
      <c r="Q89" s="12"/>
      <c r="R89" s="12"/>
      <c r="S89" s="12"/>
      <c r="T89" s="12"/>
      <c r="U89" s="12"/>
      <c r="V89" s="12"/>
      <c r="W89" s="12"/>
      <c r="X89" s="12"/>
      <c r="Y89" s="12"/>
      <c r="Z89" s="12"/>
      <c r="AA89" s="12"/>
      <c r="AB89" s="12"/>
      <c r="AC89" s="12"/>
      <c r="AD89" s="12"/>
      <c r="AE89" s="12"/>
      <c r="AF89" s="12"/>
      <c r="AG89" s="12"/>
      <c r="AH89" s="12"/>
      <c r="AI89" s="12"/>
      <c r="AJ89" s="12"/>
      <c r="AK89" s="12"/>
      <c r="AL89" s="12"/>
      <c r="AM89" s="12"/>
      <c r="AN89" s="12"/>
      <c r="AO89" s="12"/>
      <c r="AP89" s="12"/>
      <c r="AQ89" s="12"/>
      <c r="AR89" s="12"/>
      <c r="AS89" s="12"/>
      <c r="AT89" s="12"/>
      <c r="AU89" s="12"/>
      <c r="AV89" s="12"/>
      <c r="AW89" s="12"/>
      <c r="AX89" s="12"/>
      <c r="AY89" s="12"/>
      <c r="AZ89" s="16">
        <v>45052.0</v>
      </c>
      <c r="BA89" s="11" t="s">
        <v>151</v>
      </c>
      <c r="BB89" s="11" t="s">
        <v>496</v>
      </c>
      <c r="BC89" s="11" t="s">
        <v>217</v>
      </c>
      <c r="BD89" s="16">
        <v>45104.0</v>
      </c>
      <c r="BE89" s="11" t="s">
        <v>122</v>
      </c>
      <c r="BF89" s="11" t="s">
        <v>497</v>
      </c>
      <c r="BG89" s="11" t="s">
        <v>498</v>
      </c>
      <c r="BH89" s="11" t="s">
        <v>212</v>
      </c>
      <c r="BI89" s="11" t="s">
        <v>499</v>
      </c>
      <c r="BJ89" s="11" t="s">
        <v>214</v>
      </c>
      <c r="BK89" s="15" t="s">
        <v>500</v>
      </c>
      <c r="BL89" s="12"/>
      <c r="BM89" s="12"/>
      <c r="BN89" s="12"/>
      <c r="BO89" s="12"/>
      <c r="BP89" s="12"/>
      <c r="BQ89" s="12"/>
      <c r="BR89" s="12"/>
      <c r="BS89" s="12"/>
      <c r="BT89" s="12"/>
      <c r="BU89" s="12"/>
      <c r="BV89" s="12"/>
      <c r="BW89" s="12"/>
      <c r="BX89" s="12"/>
      <c r="BY89" s="12"/>
      <c r="BZ89" s="12"/>
      <c r="CA89" s="12"/>
      <c r="CB89" s="12"/>
      <c r="CC89" s="12"/>
      <c r="CD89" s="12"/>
      <c r="CE89" s="12"/>
      <c r="CF89" s="12"/>
      <c r="CG89" s="12"/>
      <c r="CH89" s="12"/>
      <c r="CI89" s="12"/>
      <c r="CJ89" s="12"/>
      <c r="CK89" s="12"/>
      <c r="CL89" s="12"/>
      <c r="CM89" s="12"/>
      <c r="CN89" s="12"/>
      <c r="CO89" s="12"/>
      <c r="CP89" s="12"/>
      <c r="CQ89" s="12"/>
      <c r="CR89" s="12"/>
      <c r="CS89" s="12"/>
      <c r="CT89" s="12"/>
      <c r="CU89" s="12"/>
      <c r="CV89" s="12"/>
      <c r="CW89" s="12"/>
      <c r="CX89" s="12"/>
      <c r="CY89" s="12"/>
      <c r="CZ89" s="12"/>
      <c r="DA89" s="12"/>
      <c r="DB89" s="12"/>
      <c r="DC89" s="12"/>
      <c r="DD89" s="12"/>
    </row>
    <row r="90" ht="22.5" customHeight="1">
      <c r="A90" s="10">
        <v>45986.37168445602</v>
      </c>
      <c r="B90" s="11" t="s">
        <v>501</v>
      </c>
      <c r="C90" s="11" t="s">
        <v>11</v>
      </c>
      <c r="D90" s="16">
        <v>45967.0</v>
      </c>
      <c r="E90" s="11" t="s">
        <v>502</v>
      </c>
      <c r="F90" s="15" t="s">
        <v>503</v>
      </c>
      <c r="G90" s="11" t="s">
        <v>504</v>
      </c>
      <c r="H90" s="11" t="s">
        <v>505</v>
      </c>
      <c r="I90" s="11" t="s">
        <v>506</v>
      </c>
      <c r="J90" s="15" t="s">
        <v>507</v>
      </c>
      <c r="K90" s="12"/>
      <c r="L90" s="12"/>
      <c r="M90" s="12"/>
      <c r="N90" s="12"/>
      <c r="O90" s="12"/>
      <c r="P90" s="12"/>
      <c r="Q90" s="12"/>
      <c r="R90" s="12"/>
      <c r="S90" s="12"/>
      <c r="T90" s="12"/>
      <c r="U90" s="12"/>
      <c r="V90" s="12"/>
      <c r="W90" s="12"/>
      <c r="X90" s="12"/>
      <c r="Y90" s="12"/>
      <c r="Z90" s="12"/>
      <c r="AA90" s="12"/>
      <c r="AB90" s="12"/>
      <c r="AC90" s="12"/>
      <c r="AD90" s="12"/>
      <c r="AE90" s="12"/>
      <c r="AF90" s="12"/>
      <c r="AG90" s="12"/>
      <c r="AH90" s="12"/>
      <c r="AI90" s="12"/>
      <c r="AJ90" s="12"/>
      <c r="AK90" s="12"/>
      <c r="AL90" s="12"/>
      <c r="AM90" s="12"/>
      <c r="AN90" s="12"/>
      <c r="AO90" s="12"/>
      <c r="AP90" s="12"/>
      <c r="AQ90" s="12"/>
      <c r="AR90" s="12"/>
      <c r="AS90" s="12"/>
      <c r="AT90" s="12"/>
      <c r="AU90" s="12"/>
      <c r="AV90" s="12"/>
      <c r="AW90" s="12"/>
      <c r="AX90" s="12"/>
      <c r="AY90" s="12"/>
      <c r="AZ90" s="12"/>
      <c r="BA90" s="12"/>
      <c r="BB90" s="12"/>
      <c r="BC90" s="12"/>
      <c r="BD90" s="12"/>
      <c r="BE90" s="12"/>
      <c r="BF90" s="12"/>
      <c r="BG90" s="12"/>
      <c r="BH90" s="12"/>
      <c r="BI90" s="12"/>
      <c r="BJ90" s="12"/>
      <c r="BK90" s="12"/>
      <c r="BL90" s="12"/>
      <c r="BM90" s="12"/>
      <c r="BN90" s="12"/>
      <c r="BO90" s="12"/>
      <c r="BP90" s="12"/>
      <c r="BQ90" s="12"/>
      <c r="BR90" s="12"/>
      <c r="BS90" s="12"/>
      <c r="BT90" s="12"/>
      <c r="BU90" s="12"/>
      <c r="BV90" s="12"/>
      <c r="BW90" s="12"/>
      <c r="BX90" s="12"/>
      <c r="BY90" s="12"/>
      <c r="BZ90" s="12"/>
      <c r="CA90" s="12"/>
      <c r="CB90" s="12"/>
      <c r="CC90" s="12"/>
      <c r="CD90" s="12"/>
      <c r="CE90" s="12"/>
      <c r="CF90" s="12"/>
      <c r="CG90" s="12"/>
      <c r="CH90" s="12"/>
      <c r="CI90" s="12"/>
      <c r="CJ90" s="12"/>
      <c r="CK90" s="12"/>
      <c r="CL90" s="12"/>
      <c r="CM90" s="12"/>
      <c r="CN90" s="12"/>
      <c r="CO90" s="12"/>
      <c r="CP90" s="12"/>
      <c r="CQ90" s="12"/>
      <c r="CR90" s="12"/>
      <c r="CS90" s="12"/>
      <c r="CT90" s="12"/>
      <c r="CU90" s="12"/>
      <c r="CV90" s="12"/>
      <c r="CW90" s="12"/>
      <c r="CX90" s="12"/>
      <c r="CY90" s="12"/>
      <c r="CZ90" s="12"/>
      <c r="DA90" s="12"/>
      <c r="DB90" s="12"/>
      <c r="DC90" s="12"/>
      <c r="DD90" s="12"/>
    </row>
    <row r="91" ht="22.5" customHeight="1">
      <c r="A91" s="10">
        <v>45986.38441186343</v>
      </c>
      <c r="B91" s="11" t="s">
        <v>501</v>
      </c>
      <c r="C91" s="11" t="s">
        <v>11</v>
      </c>
      <c r="D91" s="16">
        <v>45873.0</v>
      </c>
      <c r="E91" s="11" t="s">
        <v>508</v>
      </c>
      <c r="F91" s="15" t="s">
        <v>509</v>
      </c>
      <c r="G91" s="11" t="s">
        <v>510</v>
      </c>
      <c r="H91" s="11">
        <v>40000.0</v>
      </c>
      <c r="I91" s="11" t="s">
        <v>511</v>
      </c>
      <c r="J91" s="15" t="s">
        <v>512</v>
      </c>
      <c r="K91" s="12"/>
      <c r="L91" s="12"/>
      <c r="M91" s="12"/>
      <c r="N91" s="12"/>
      <c r="O91" s="12"/>
      <c r="P91" s="12"/>
      <c r="Q91" s="12"/>
      <c r="R91" s="12"/>
      <c r="S91" s="12"/>
      <c r="T91" s="12"/>
      <c r="U91" s="12"/>
      <c r="V91" s="12"/>
      <c r="W91" s="12"/>
      <c r="X91" s="12"/>
      <c r="Y91" s="12"/>
      <c r="Z91" s="12"/>
      <c r="AA91" s="12"/>
      <c r="AB91" s="12"/>
      <c r="AC91" s="12"/>
      <c r="AD91" s="12"/>
      <c r="AE91" s="12"/>
      <c r="AF91" s="12"/>
      <c r="AG91" s="12"/>
      <c r="AH91" s="12"/>
      <c r="AI91" s="12"/>
      <c r="AJ91" s="12"/>
      <c r="AK91" s="12"/>
      <c r="AL91" s="12"/>
      <c r="AM91" s="12"/>
      <c r="AN91" s="12"/>
      <c r="AO91" s="12"/>
      <c r="AP91" s="12"/>
      <c r="AQ91" s="12"/>
      <c r="AR91" s="12"/>
      <c r="AS91" s="12"/>
      <c r="AT91" s="12"/>
      <c r="AU91" s="12"/>
      <c r="AV91" s="12"/>
      <c r="AW91" s="12"/>
      <c r="AX91" s="12"/>
      <c r="AY91" s="12"/>
      <c r="AZ91" s="12"/>
      <c r="BA91" s="12"/>
      <c r="BB91" s="12"/>
      <c r="BC91" s="12"/>
      <c r="BD91" s="12"/>
      <c r="BE91" s="12"/>
      <c r="BF91" s="12"/>
      <c r="BG91" s="12"/>
      <c r="BH91" s="12"/>
      <c r="BI91" s="12"/>
      <c r="BJ91" s="12"/>
      <c r="BK91" s="12"/>
      <c r="BL91" s="12"/>
      <c r="BM91" s="12"/>
      <c r="BN91" s="12"/>
      <c r="BO91" s="12"/>
      <c r="BP91" s="12"/>
      <c r="BQ91" s="12"/>
      <c r="BR91" s="12"/>
      <c r="BS91" s="12"/>
      <c r="BT91" s="12"/>
      <c r="BU91" s="12"/>
      <c r="BV91" s="12"/>
      <c r="BW91" s="12"/>
      <c r="BX91" s="12"/>
      <c r="BY91" s="12"/>
      <c r="BZ91" s="12"/>
      <c r="CA91" s="12"/>
      <c r="CB91" s="12"/>
      <c r="CC91" s="12"/>
      <c r="CD91" s="12"/>
      <c r="CE91" s="12"/>
      <c r="CF91" s="12"/>
      <c r="CG91" s="12"/>
      <c r="CH91" s="12"/>
      <c r="CI91" s="12"/>
      <c r="CJ91" s="12"/>
      <c r="CK91" s="12"/>
      <c r="CL91" s="12"/>
      <c r="CM91" s="12"/>
      <c r="CN91" s="12"/>
      <c r="CO91" s="12"/>
      <c r="CP91" s="12"/>
      <c r="CQ91" s="12"/>
      <c r="CR91" s="12"/>
      <c r="CS91" s="12"/>
      <c r="CT91" s="12"/>
      <c r="CU91" s="12"/>
      <c r="CV91" s="12"/>
      <c r="CW91" s="12"/>
      <c r="CX91" s="12"/>
      <c r="CY91" s="12"/>
      <c r="CZ91" s="12"/>
      <c r="DA91" s="12"/>
      <c r="DB91" s="12"/>
      <c r="DC91" s="12"/>
      <c r="DD91" s="12"/>
    </row>
    <row r="92" ht="22.5" customHeight="1">
      <c r="A92" s="10">
        <v>45986.389217916665</v>
      </c>
      <c r="B92" s="11" t="s">
        <v>501</v>
      </c>
      <c r="C92" s="11" t="s">
        <v>11</v>
      </c>
      <c r="D92" s="16">
        <v>45873.0</v>
      </c>
      <c r="E92" s="11" t="s">
        <v>513</v>
      </c>
      <c r="F92" s="15" t="s">
        <v>514</v>
      </c>
      <c r="G92" s="11" t="s">
        <v>515</v>
      </c>
      <c r="H92" s="11">
        <v>40000.0</v>
      </c>
      <c r="I92" s="11" t="s">
        <v>516</v>
      </c>
      <c r="J92" s="15" t="s">
        <v>517</v>
      </c>
      <c r="K92" s="12"/>
      <c r="L92" s="12"/>
      <c r="M92" s="12"/>
      <c r="N92" s="12"/>
      <c r="O92" s="12"/>
      <c r="P92" s="12"/>
      <c r="Q92" s="12"/>
      <c r="R92" s="12"/>
      <c r="S92" s="12"/>
      <c r="T92" s="12"/>
      <c r="U92" s="12"/>
      <c r="V92" s="12"/>
      <c r="W92" s="12"/>
      <c r="X92" s="12"/>
      <c r="Y92" s="12"/>
      <c r="Z92" s="12"/>
      <c r="AA92" s="12"/>
      <c r="AB92" s="12"/>
      <c r="AC92" s="12"/>
      <c r="AD92" s="12"/>
      <c r="AE92" s="12"/>
      <c r="AF92" s="12"/>
      <c r="AG92" s="12"/>
      <c r="AH92" s="12"/>
      <c r="AI92" s="12"/>
      <c r="AJ92" s="12"/>
      <c r="AK92" s="12"/>
      <c r="AL92" s="12"/>
      <c r="AM92" s="12"/>
      <c r="AN92" s="12"/>
      <c r="AO92" s="12"/>
      <c r="AP92" s="12"/>
      <c r="AQ92" s="12"/>
      <c r="AR92" s="12"/>
      <c r="AS92" s="12"/>
      <c r="AT92" s="12"/>
      <c r="AU92" s="12"/>
      <c r="AV92" s="12"/>
      <c r="AW92" s="12"/>
      <c r="AX92" s="12"/>
      <c r="AY92" s="12"/>
      <c r="AZ92" s="12"/>
      <c r="BA92" s="12"/>
      <c r="BB92" s="12"/>
      <c r="BC92" s="12"/>
      <c r="BD92" s="12"/>
      <c r="BE92" s="12"/>
      <c r="BF92" s="12"/>
      <c r="BG92" s="12"/>
      <c r="BH92" s="12"/>
      <c r="BI92" s="12"/>
      <c r="BJ92" s="12"/>
      <c r="BK92" s="12"/>
      <c r="BL92" s="12"/>
      <c r="BM92" s="12"/>
      <c r="BN92" s="12"/>
      <c r="BO92" s="12"/>
      <c r="BP92" s="12"/>
      <c r="BQ92" s="12"/>
      <c r="BR92" s="12"/>
      <c r="BS92" s="12"/>
      <c r="BT92" s="12"/>
      <c r="BU92" s="12"/>
      <c r="BV92" s="12"/>
      <c r="BW92" s="12"/>
      <c r="BX92" s="12"/>
      <c r="BY92" s="12"/>
      <c r="BZ92" s="12"/>
      <c r="CA92" s="12"/>
      <c r="CB92" s="12"/>
      <c r="CC92" s="12"/>
      <c r="CD92" s="12"/>
      <c r="CE92" s="12"/>
      <c r="CF92" s="12"/>
      <c r="CG92" s="12"/>
      <c r="CH92" s="12"/>
      <c r="CI92" s="12"/>
      <c r="CJ92" s="12"/>
      <c r="CK92" s="12"/>
      <c r="CL92" s="12"/>
      <c r="CM92" s="12"/>
      <c r="CN92" s="12"/>
      <c r="CO92" s="12"/>
      <c r="CP92" s="12"/>
      <c r="CQ92" s="12"/>
      <c r="CR92" s="12"/>
      <c r="CS92" s="12"/>
      <c r="CT92" s="12"/>
      <c r="CU92" s="12"/>
      <c r="CV92" s="12"/>
      <c r="CW92" s="12"/>
      <c r="CX92" s="12"/>
      <c r="CY92" s="12"/>
      <c r="CZ92" s="12"/>
      <c r="DA92" s="12"/>
      <c r="DB92" s="12"/>
      <c r="DC92" s="12"/>
      <c r="DD92" s="12"/>
    </row>
    <row r="93" ht="22.5" customHeight="1">
      <c r="A93" s="10">
        <v>45986.392913460644</v>
      </c>
      <c r="B93" s="11" t="s">
        <v>501</v>
      </c>
      <c r="C93" s="11" t="s">
        <v>11</v>
      </c>
      <c r="D93" s="16">
        <v>45873.0</v>
      </c>
      <c r="E93" s="11" t="s">
        <v>518</v>
      </c>
      <c r="F93" s="15" t="s">
        <v>509</v>
      </c>
      <c r="G93" s="11" t="s">
        <v>519</v>
      </c>
      <c r="H93" s="11" t="s">
        <v>505</v>
      </c>
      <c r="I93" s="11" t="s">
        <v>511</v>
      </c>
      <c r="J93" s="15" t="s">
        <v>520</v>
      </c>
      <c r="K93" s="12"/>
      <c r="L93" s="12"/>
      <c r="M93" s="12"/>
      <c r="N93" s="12"/>
      <c r="O93" s="12"/>
      <c r="P93" s="12"/>
      <c r="Q93" s="12"/>
      <c r="R93" s="12"/>
      <c r="S93" s="12"/>
      <c r="T93" s="12"/>
      <c r="U93" s="12"/>
      <c r="V93" s="12"/>
      <c r="W93" s="12"/>
      <c r="X93" s="12"/>
      <c r="Y93" s="12"/>
      <c r="Z93" s="12"/>
      <c r="AA93" s="12"/>
      <c r="AB93" s="12"/>
      <c r="AC93" s="12"/>
      <c r="AD93" s="12"/>
      <c r="AE93" s="12"/>
      <c r="AF93" s="12"/>
      <c r="AG93" s="12"/>
      <c r="AH93" s="12"/>
      <c r="AI93" s="12"/>
      <c r="AJ93" s="12"/>
      <c r="AK93" s="12"/>
      <c r="AL93" s="12"/>
      <c r="AM93" s="12"/>
      <c r="AN93" s="12"/>
      <c r="AO93" s="12"/>
      <c r="AP93" s="12"/>
      <c r="AQ93" s="12"/>
      <c r="AR93" s="12"/>
      <c r="AS93" s="12"/>
      <c r="AT93" s="12"/>
      <c r="AU93" s="12"/>
      <c r="AV93" s="12"/>
      <c r="AW93" s="12"/>
      <c r="AX93" s="12"/>
      <c r="AY93" s="12"/>
      <c r="AZ93" s="12"/>
      <c r="BA93" s="12"/>
      <c r="BB93" s="12"/>
      <c r="BC93" s="12"/>
      <c r="BD93" s="12"/>
      <c r="BE93" s="12"/>
      <c r="BF93" s="12"/>
      <c r="BG93" s="12"/>
      <c r="BH93" s="12"/>
      <c r="BI93" s="12"/>
      <c r="BJ93" s="12"/>
      <c r="BK93" s="12"/>
      <c r="BL93" s="12"/>
      <c r="BM93" s="12"/>
      <c r="BN93" s="12"/>
      <c r="BO93" s="12"/>
      <c r="BP93" s="12"/>
      <c r="BQ93" s="12"/>
      <c r="BR93" s="12"/>
      <c r="BS93" s="12"/>
      <c r="BT93" s="12"/>
      <c r="BU93" s="12"/>
      <c r="BV93" s="12"/>
      <c r="BW93" s="12"/>
      <c r="BX93" s="12"/>
      <c r="BY93" s="12"/>
      <c r="BZ93" s="12"/>
      <c r="CA93" s="12"/>
      <c r="CB93" s="12"/>
      <c r="CC93" s="12"/>
      <c r="CD93" s="12"/>
      <c r="CE93" s="12"/>
      <c r="CF93" s="12"/>
      <c r="CG93" s="12"/>
      <c r="CH93" s="12"/>
      <c r="CI93" s="12"/>
      <c r="CJ93" s="12"/>
      <c r="CK93" s="12"/>
      <c r="CL93" s="12"/>
      <c r="CM93" s="12"/>
      <c r="CN93" s="12"/>
      <c r="CO93" s="12"/>
      <c r="CP93" s="12"/>
      <c r="CQ93" s="12"/>
      <c r="CR93" s="12"/>
      <c r="CS93" s="12"/>
      <c r="CT93" s="12"/>
      <c r="CU93" s="12"/>
      <c r="CV93" s="12"/>
      <c r="CW93" s="12"/>
      <c r="CX93" s="12"/>
      <c r="CY93" s="12"/>
      <c r="CZ93" s="12"/>
      <c r="DA93" s="12"/>
      <c r="DB93" s="12"/>
      <c r="DC93" s="12"/>
      <c r="DD93" s="12"/>
    </row>
    <row r="94" ht="22.5" customHeight="1">
      <c r="A94" s="10">
        <v>45986.39936267361</v>
      </c>
      <c r="B94" s="11" t="s">
        <v>501</v>
      </c>
      <c r="C94" s="11" t="s">
        <v>11</v>
      </c>
      <c r="D94" s="16">
        <v>45861.0</v>
      </c>
      <c r="E94" s="11" t="s">
        <v>521</v>
      </c>
      <c r="F94" s="15" t="s">
        <v>522</v>
      </c>
      <c r="G94" s="11" t="s">
        <v>523</v>
      </c>
      <c r="H94" s="11">
        <v>40000.0</v>
      </c>
      <c r="I94" s="11" t="s">
        <v>524</v>
      </c>
      <c r="J94" s="15" t="s">
        <v>525</v>
      </c>
      <c r="K94" s="12"/>
      <c r="L94" s="12"/>
      <c r="M94" s="12"/>
      <c r="N94" s="12"/>
      <c r="O94" s="12"/>
      <c r="P94" s="12"/>
      <c r="Q94" s="12"/>
      <c r="R94" s="12"/>
      <c r="S94" s="12"/>
      <c r="T94" s="12"/>
      <c r="U94" s="12"/>
      <c r="V94" s="12"/>
      <c r="W94" s="12"/>
      <c r="X94" s="12"/>
      <c r="Y94" s="12"/>
      <c r="Z94" s="12"/>
      <c r="AA94" s="12"/>
      <c r="AB94" s="12"/>
      <c r="AC94" s="12"/>
      <c r="AD94" s="12"/>
      <c r="AE94" s="12"/>
      <c r="AF94" s="12"/>
      <c r="AG94" s="12"/>
      <c r="AH94" s="12"/>
      <c r="AI94" s="12"/>
      <c r="AJ94" s="12"/>
      <c r="AK94" s="12"/>
      <c r="AL94" s="12"/>
      <c r="AM94" s="12"/>
      <c r="AN94" s="12"/>
      <c r="AO94" s="12"/>
      <c r="AP94" s="12"/>
      <c r="AQ94" s="12"/>
      <c r="AR94" s="12"/>
      <c r="AS94" s="12"/>
      <c r="AT94" s="12"/>
      <c r="AU94" s="12"/>
      <c r="AV94" s="12"/>
      <c r="AW94" s="12"/>
      <c r="AX94" s="12"/>
      <c r="AY94" s="12"/>
      <c r="AZ94" s="12"/>
      <c r="BA94" s="12"/>
      <c r="BB94" s="12"/>
      <c r="BC94" s="12"/>
      <c r="BD94" s="12"/>
      <c r="BE94" s="12"/>
      <c r="BF94" s="12"/>
      <c r="BG94" s="12"/>
      <c r="BH94" s="12"/>
      <c r="BI94" s="12"/>
      <c r="BJ94" s="12"/>
      <c r="BK94" s="12"/>
      <c r="BL94" s="12"/>
      <c r="BM94" s="12"/>
      <c r="BN94" s="12"/>
      <c r="BO94" s="12"/>
      <c r="BP94" s="12"/>
      <c r="BQ94" s="12"/>
      <c r="BR94" s="12"/>
      <c r="BS94" s="12"/>
      <c r="BT94" s="12"/>
      <c r="BU94" s="12"/>
      <c r="BV94" s="12"/>
      <c r="BW94" s="12"/>
      <c r="BX94" s="12"/>
      <c r="BY94" s="12"/>
      <c r="BZ94" s="12"/>
      <c r="CA94" s="12"/>
      <c r="CB94" s="12"/>
      <c r="CC94" s="12"/>
      <c r="CD94" s="12"/>
      <c r="CE94" s="12"/>
      <c r="CF94" s="12"/>
      <c r="CG94" s="12"/>
      <c r="CH94" s="12"/>
      <c r="CI94" s="12"/>
      <c r="CJ94" s="12"/>
      <c r="CK94" s="12"/>
      <c r="CL94" s="12"/>
      <c r="CM94" s="12"/>
      <c r="CN94" s="12"/>
      <c r="CO94" s="12"/>
      <c r="CP94" s="12"/>
      <c r="CQ94" s="12"/>
      <c r="CR94" s="12"/>
      <c r="CS94" s="12"/>
      <c r="CT94" s="12"/>
      <c r="CU94" s="12"/>
      <c r="CV94" s="12"/>
      <c r="CW94" s="12"/>
      <c r="CX94" s="12"/>
      <c r="CY94" s="12"/>
      <c r="CZ94" s="12"/>
      <c r="DA94" s="12"/>
      <c r="DB94" s="12"/>
      <c r="DC94" s="12"/>
      <c r="DD94" s="12"/>
    </row>
    <row r="95" ht="22.5" customHeight="1">
      <c r="A95" s="10">
        <v>45986.41479502315</v>
      </c>
      <c r="B95" s="11" t="s">
        <v>164</v>
      </c>
      <c r="C95" s="11" t="s">
        <v>1</v>
      </c>
      <c r="D95" s="12"/>
      <c r="E95" s="12"/>
      <c r="F95" s="12"/>
      <c r="G95" s="12"/>
      <c r="H95" s="12"/>
      <c r="I95" s="12"/>
      <c r="J95" s="12"/>
      <c r="K95" s="12"/>
      <c r="L95" s="12"/>
      <c r="M95" s="12"/>
      <c r="N95" s="12"/>
      <c r="O95" s="12"/>
      <c r="P95" s="12"/>
      <c r="Q95" s="12"/>
      <c r="R95" s="12"/>
      <c r="S95" s="12"/>
      <c r="T95" s="12"/>
      <c r="U95" s="12"/>
      <c r="V95" s="12"/>
      <c r="W95" s="12"/>
      <c r="X95" s="12"/>
      <c r="Y95" s="12"/>
      <c r="Z95" s="12"/>
      <c r="AA95" s="12"/>
      <c r="AB95" s="12"/>
      <c r="AC95" s="12"/>
      <c r="AD95" s="12"/>
      <c r="AE95" s="12"/>
      <c r="AF95" s="12"/>
      <c r="AG95" s="12"/>
      <c r="AH95" s="12"/>
      <c r="AI95" s="12"/>
      <c r="AJ95" s="12"/>
      <c r="AK95" s="12"/>
      <c r="AL95" s="12"/>
      <c r="AM95" s="12"/>
      <c r="AN95" s="12"/>
      <c r="AO95" s="12"/>
      <c r="AP95" s="12"/>
      <c r="AQ95" s="12"/>
      <c r="AR95" s="12"/>
      <c r="AS95" s="12"/>
      <c r="AT95" s="12"/>
      <c r="AU95" s="12"/>
      <c r="AV95" s="12"/>
      <c r="AW95" s="12"/>
      <c r="AX95" s="12"/>
      <c r="AY95" s="12"/>
      <c r="AZ95" s="12"/>
      <c r="BA95" s="12"/>
      <c r="BB95" s="12"/>
      <c r="BC95" s="12"/>
      <c r="BD95" s="12"/>
      <c r="BE95" s="12"/>
      <c r="BF95" s="12"/>
      <c r="BG95" s="12"/>
      <c r="BH95" s="12"/>
      <c r="BI95" s="12"/>
      <c r="BJ95" s="12"/>
      <c r="BK95" s="12"/>
      <c r="BL95" s="12"/>
      <c r="BM95" s="12"/>
      <c r="BN95" s="12"/>
      <c r="BO95" s="12"/>
      <c r="BP95" s="12"/>
      <c r="BQ95" s="12"/>
      <c r="BR95" s="12"/>
      <c r="BS95" s="12"/>
      <c r="BT95" s="12"/>
      <c r="BU95" s="12"/>
      <c r="BV95" s="12"/>
      <c r="BW95" s="12"/>
      <c r="BX95" s="12"/>
      <c r="BY95" s="12"/>
      <c r="BZ95" s="12"/>
      <c r="CA95" s="12"/>
      <c r="CB95" s="12"/>
      <c r="CC95" s="12"/>
      <c r="CD95" s="12"/>
      <c r="CE95" s="12"/>
      <c r="CF95" s="12"/>
      <c r="CG95" s="12"/>
      <c r="CH95" s="17"/>
      <c r="CI95" s="17"/>
      <c r="CJ95" s="12"/>
      <c r="CK95" s="12"/>
      <c r="CL95" s="12"/>
      <c r="CM95" s="12"/>
      <c r="CN95" s="12"/>
      <c r="CO95" s="12"/>
      <c r="CP95" s="12"/>
      <c r="CQ95" s="12"/>
      <c r="CR95" s="12"/>
      <c r="CS95" s="12"/>
      <c r="CT95" s="12"/>
      <c r="CU95" s="16">
        <v>45377.0</v>
      </c>
      <c r="CV95" s="11" t="s">
        <v>157</v>
      </c>
      <c r="CW95" s="11" t="s">
        <v>526</v>
      </c>
      <c r="CX95" s="11" t="s">
        <v>318</v>
      </c>
      <c r="CY95" s="11" t="s">
        <v>527</v>
      </c>
      <c r="CZ95" s="11" t="s">
        <v>528</v>
      </c>
      <c r="DA95" s="11" t="s">
        <v>334</v>
      </c>
      <c r="DB95" s="11" t="s">
        <v>267</v>
      </c>
      <c r="DC95" s="15" t="s">
        <v>529</v>
      </c>
      <c r="DD95" s="17"/>
    </row>
    <row r="96" ht="22.5" customHeight="1">
      <c r="A96" s="10">
        <v>45986.41639627315</v>
      </c>
      <c r="B96" s="11" t="s">
        <v>164</v>
      </c>
      <c r="C96" s="11" t="s">
        <v>1</v>
      </c>
      <c r="D96" s="12"/>
      <c r="E96" s="12"/>
      <c r="F96" s="12"/>
      <c r="G96" s="12"/>
      <c r="H96" s="12"/>
      <c r="I96" s="12"/>
      <c r="J96" s="12"/>
      <c r="K96" s="12"/>
      <c r="L96" s="12"/>
      <c r="M96" s="12"/>
      <c r="N96" s="12"/>
      <c r="O96" s="12"/>
      <c r="P96" s="12"/>
      <c r="Q96" s="12"/>
      <c r="R96" s="12"/>
      <c r="S96" s="12"/>
      <c r="T96" s="12"/>
      <c r="U96" s="12"/>
      <c r="V96" s="12"/>
      <c r="W96" s="12"/>
      <c r="X96" s="12"/>
      <c r="Y96" s="12"/>
      <c r="Z96" s="12"/>
      <c r="AA96" s="12"/>
      <c r="AB96" s="12"/>
      <c r="AC96" s="12"/>
      <c r="AD96" s="12"/>
      <c r="AE96" s="12"/>
      <c r="AF96" s="12"/>
      <c r="AG96" s="12"/>
      <c r="AH96" s="12"/>
      <c r="AI96" s="12"/>
      <c r="AJ96" s="12"/>
      <c r="AK96" s="12"/>
      <c r="AL96" s="12"/>
      <c r="AM96" s="12"/>
      <c r="AN96" s="12"/>
      <c r="AO96" s="12"/>
      <c r="AP96" s="12"/>
      <c r="AQ96" s="12"/>
      <c r="AR96" s="12"/>
      <c r="AS96" s="12"/>
      <c r="AT96" s="12"/>
      <c r="AU96" s="12"/>
      <c r="AV96" s="12"/>
      <c r="AW96" s="12"/>
      <c r="AX96" s="12"/>
      <c r="AY96" s="12"/>
      <c r="AZ96" s="12"/>
      <c r="BA96" s="12"/>
      <c r="BB96" s="12"/>
      <c r="BC96" s="12"/>
      <c r="BD96" s="12"/>
      <c r="BE96" s="12"/>
      <c r="BF96" s="12"/>
      <c r="BG96" s="12"/>
      <c r="BH96" s="12"/>
      <c r="BI96" s="12"/>
      <c r="BJ96" s="12"/>
      <c r="BK96" s="12"/>
      <c r="BL96" s="12"/>
      <c r="BM96" s="12"/>
      <c r="BN96" s="12"/>
      <c r="BO96" s="12"/>
      <c r="BP96" s="12"/>
      <c r="BQ96" s="12"/>
      <c r="BR96" s="12"/>
      <c r="BS96" s="12"/>
      <c r="BT96" s="12"/>
      <c r="BU96" s="12"/>
      <c r="BV96" s="12"/>
      <c r="BW96" s="12"/>
      <c r="BX96" s="12"/>
      <c r="BY96" s="12"/>
      <c r="BZ96" s="12"/>
      <c r="CA96" s="12"/>
      <c r="CB96" s="12"/>
      <c r="CC96" s="12"/>
      <c r="CD96" s="12"/>
      <c r="CE96" s="12"/>
      <c r="CF96" s="12"/>
      <c r="CG96" s="12"/>
      <c r="CH96" s="17"/>
      <c r="CI96" s="17"/>
      <c r="CJ96" s="12"/>
      <c r="CK96" s="12"/>
      <c r="CL96" s="12"/>
      <c r="CM96" s="12"/>
      <c r="CN96" s="12"/>
      <c r="CO96" s="12"/>
      <c r="CP96" s="12"/>
      <c r="CQ96" s="12"/>
      <c r="CR96" s="12"/>
      <c r="CS96" s="12"/>
      <c r="CT96" s="12"/>
      <c r="CU96" s="16">
        <v>45384.0</v>
      </c>
      <c r="CV96" s="11" t="s">
        <v>406</v>
      </c>
      <c r="CW96" s="11" t="s">
        <v>530</v>
      </c>
      <c r="CX96" s="11" t="s">
        <v>147</v>
      </c>
      <c r="CY96" s="11" t="s">
        <v>148</v>
      </c>
      <c r="CZ96" s="11" t="s">
        <v>531</v>
      </c>
      <c r="DA96" s="11" t="s">
        <v>532</v>
      </c>
      <c r="DB96" s="11" t="s">
        <v>162</v>
      </c>
      <c r="DC96" s="15" t="s">
        <v>533</v>
      </c>
      <c r="DD96" s="17"/>
    </row>
    <row r="97" ht="22.5" customHeight="1">
      <c r="A97" s="10">
        <v>45986.41674586806</v>
      </c>
      <c r="B97" s="11" t="s">
        <v>501</v>
      </c>
      <c r="C97" s="11" t="s">
        <v>11</v>
      </c>
      <c r="D97" s="16">
        <v>45784.0</v>
      </c>
      <c r="E97" s="11" t="s">
        <v>534</v>
      </c>
      <c r="F97" s="15" t="s">
        <v>535</v>
      </c>
      <c r="G97" s="11" t="s">
        <v>536</v>
      </c>
      <c r="H97" s="11">
        <v>40000.0</v>
      </c>
      <c r="I97" s="11" t="s">
        <v>537</v>
      </c>
      <c r="J97" s="15" t="s">
        <v>538</v>
      </c>
      <c r="K97" s="12"/>
      <c r="L97" s="12"/>
      <c r="M97" s="12"/>
      <c r="N97" s="12"/>
      <c r="O97" s="12"/>
      <c r="P97" s="12"/>
      <c r="Q97" s="12"/>
      <c r="R97" s="12"/>
      <c r="S97" s="12"/>
      <c r="T97" s="12"/>
      <c r="U97" s="12"/>
      <c r="V97" s="12"/>
      <c r="W97" s="12"/>
      <c r="X97" s="12"/>
      <c r="Y97" s="12"/>
      <c r="Z97" s="12"/>
      <c r="AA97" s="12"/>
      <c r="AB97" s="12"/>
      <c r="AC97" s="12"/>
      <c r="AD97" s="12"/>
      <c r="AE97" s="12"/>
      <c r="AF97" s="12"/>
      <c r="AG97" s="12"/>
      <c r="AH97" s="12"/>
      <c r="AI97" s="12"/>
      <c r="AJ97" s="12"/>
      <c r="AK97" s="12"/>
      <c r="AL97" s="12"/>
      <c r="AM97" s="12"/>
      <c r="AN97" s="12"/>
      <c r="AO97" s="12"/>
      <c r="AP97" s="12"/>
      <c r="AQ97" s="12"/>
      <c r="AR97" s="12"/>
      <c r="AS97" s="12"/>
      <c r="AT97" s="12"/>
      <c r="AU97" s="12"/>
      <c r="AV97" s="12"/>
      <c r="AW97" s="12"/>
      <c r="AX97" s="12"/>
      <c r="AY97" s="12"/>
      <c r="AZ97" s="12"/>
      <c r="BA97" s="12"/>
      <c r="BB97" s="12"/>
      <c r="BC97" s="12"/>
      <c r="BD97" s="12"/>
      <c r="BE97" s="12"/>
      <c r="BF97" s="12"/>
      <c r="BG97" s="12"/>
      <c r="BH97" s="12"/>
      <c r="BI97" s="12"/>
      <c r="BJ97" s="12"/>
      <c r="BK97" s="12"/>
      <c r="BL97" s="12"/>
      <c r="BM97" s="12"/>
      <c r="BN97" s="12"/>
      <c r="BO97" s="12"/>
      <c r="BP97" s="12"/>
      <c r="BQ97" s="12"/>
      <c r="BR97" s="12"/>
      <c r="BS97" s="12"/>
      <c r="BT97" s="12"/>
      <c r="BU97" s="12"/>
      <c r="BV97" s="12"/>
      <c r="BW97" s="12"/>
      <c r="BX97" s="12"/>
      <c r="BY97" s="12"/>
      <c r="BZ97" s="12"/>
      <c r="CA97" s="12"/>
      <c r="CB97" s="12"/>
      <c r="CC97" s="12"/>
      <c r="CD97" s="12"/>
      <c r="CE97" s="12"/>
      <c r="CF97" s="12"/>
      <c r="CG97" s="12"/>
      <c r="CH97" s="12"/>
      <c r="CI97" s="12"/>
      <c r="CJ97" s="12"/>
      <c r="CK97" s="12"/>
      <c r="CL97" s="12"/>
      <c r="CM97" s="12"/>
      <c r="CN97" s="12"/>
      <c r="CO97" s="12"/>
      <c r="CP97" s="12"/>
      <c r="CQ97" s="12"/>
      <c r="CR97" s="12"/>
      <c r="CS97" s="12"/>
      <c r="CT97" s="12"/>
      <c r="CU97" s="12"/>
      <c r="CV97" s="12"/>
      <c r="CW97" s="12"/>
      <c r="CX97" s="12"/>
      <c r="CY97" s="12"/>
      <c r="CZ97" s="12"/>
      <c r="DA97" s="12"/>
      <c r="DB97" s="12"/>
      <c r="DC97" s="12"/>
      <c r="DD97" s="12"/>
    </row>
    <row r="98" ht="22.5" customHeight="1">
      <c r="A98" s="10">
        <v>45986.41819765046</v>
      </c>
      <c r="B98" s="11" t="s">
        <v>164</v>
      </c>
      <c r="C98" s="11" t="s">
        <v>1</v>
      </c>
      <c r="D98" s="12"/>
      <c r="E98" s="12"/>
      <c r="F98" s="12"/>
      <c r="G98" s="12"/>
      <c r="H98" s="12"/>
      <c r="I98" s="12"/>
      <c r="J98" s="12"/>
      <c r="K98" s="12"/>
      <c r="L98" s="12"/>
      <c r="M98" s="12"/>
      <c r="N98" s="12"/>
      <c r="O98" s="12"/>
      <c r="P98" s="12"/>
      <c r="Q98" s="12"/>
      <c r="R98" s="12"/>
      <c r="S98" s="12"/>
      <c r="T98" s="12"/>
      <c r="U98" s="12"/>
      <c r="V98" s="12"/>
      <c r="W98" s="12"/>
      <c r="X98" s="12"/>
      <c r="Y98" s="12"/>
      <c r="Z98" s="12"/>
      <c r="AA98" s="12"/>
      <c r="AB98" s="12"/>
      <c r="AC98" s="12"/>
      <c r="AD98" s="12"/>
      <c r="AE98" s="12"/>
      <c r="AF98" s="12"/>
      <c r="AG98" s="12"/>
      <c r="AH98" s="12"/>
      <c r="AI98" s="12"/>
      <c r="AJ98" s="12"/>
      <c r="AK98" s="12"/>
      <c r="AL98" s="12"/>
      <c r="AM98" s="12"/>
      <c r="AN98" s="12"/>
      <c r="AO98" s="12"/>
      <c r="AP98" s="12"/>
      <c r="AQ98" s="12"/>
      <c r="AR98" s="12"/>
      <c r="AS98" s="12"/>
      <c r="AT98" s="12"/>
      <c r="AU98" s="12"/>
      <c r="AV98" s="12"/>
      <c r="AW98" s="12"/>
      <c r="AX98" s="12"/>
      <c r="AY98" s="12"/>
      <c r="AZ98" s="12"/>
      <c r="BA98" s="12"/>
      <c r="BB98" s="12"/>
      <c r="BC98" s="12"/>
      <c r="BD98" s="12"/>
      <c r="BE98" s="12"/>
      <c r="BF98" s="12"/>
      <c r="BG98" s="12"/>
      <c r="BH98" s="12"/>
      <c r="BI98" s="12"/>
      <c r="BJ98" s="12"/>
      <c r="BK98" s="12"/>
      <c r="BL98" s="12"/>
      <c r="BM98" s="12"/>
      <c r="BN98" s="12"/>
      <c r="BO98" s="12"/>
      <c r="BP98" s="12"/>
      <c r="BQ98" s="12"/>
      <c r="BR98" s="12"/>
      <c r="BS98" s="12"/>
      <c r="BT98" s="12"/>
      <c r="BU98" s="12"/>
      <c r="BV98" s="12"/>
      <c r="BW98" s="12"/>
      <c r="BX98" s="12"/>
      <c r="BY98" s="12"/>
      <c r="BZ98" s="12"/>
      <c r="CA98" s="12"/>
      <c r="CB98" s="12"/>
      <c r="CC98" s="12"/>
      <c r="CD98" s="12"/>
      <c r="CE98" s="12"/>
      <c r="CF98" s="12"/>
      <c r="CG98" s="12"/>
      <c r="CH98" s="12"/>
      <c r="CI98" s="12"/>
      <c r="CJ98" s="12"/>
      <c r="CK98" s="12"/>
      <c r="CL98" s="12"/>
      <c r="CM98" s="12"/>
      <c r="CN98" s="12"/>
      <c r="CO98" s="12"/>
      <c r="CP98" s="12"/>
      <c r="CQ98" s="12"/>
      <c r="CR98" s="12"/>
      <c r="CS98" s="12"/>
      <c r="CT98" s="12"/>
      <c r="CU98" s="16">
        <v>45395.0</v>
      </c>
      <c r="CV98" s="11" t="s">
        <v>157</v>
      </c>
      <c r="CW98" s="11" t="s">
        <v>539</v>
      </c>
      <c r="CX98" s="11" t="s">
        <v>540</v>
      </c>
      <c r="CY98" s="11" t="s">
        <v>541</v>
      </c>
      <c r="CZ98" s="11" t="s">
        <v>380</v>
      </c>
      <c r="DA98" s="11" t="s">
        <v>334</v>
      </c>
      <c r="DB98" s="11" t="s">
        <v>267</v>
      </c>
      <c r="DC98" s="12"/>
      <c r="DD98" s="12"/>
    </row>
    <row r="99" ht="22.5" customHeight="1">
      <c r="A99" s="10">
        <v>45986.419786886574</v>
      </c>
      <c r="B99" s="11" t="s">
        <v>164</v>
      </c>
      <c r="C99" s="11" t="s">
        <v>1</v>
      </c>
      <c r="D99" s="12"/>
      <c r="E99" s="12"/>
      <c r="F99" s="12"/>
      <c r="G99" s="12"/>
      <c r="H99" s="12"/>
      <c r="I99" s="12"/>
      <c r="J99" s="12"/>
      <c r="K99" s="12"/>
      <c r="L99" s="12"/>
      <c r="M99" s="12"/>
      <c r="N99" s="12"/>
      <c r="O99" s="12"/>
      <c r="P99" s="12"/>
      <c r="Q99" s="12"/>
      <c r="R99" s="12"/>
      <c r="S99" s="12"/>
      <c r="T99" s="12"/>
      <c r="U99" s="12"/>
      <c r="V99" s="12"/>
      <c r="W99" s="12"/>
      <c r="X99" s="12"/>
      <c r="Y99" s="12"/>
      <c r="Z99" s="12"/>
      <c r="AA99" s="12"/>
      <c r="AB99" s="12"/>
      <c r="AC99" s="12"/>
      <c r="AD99" s="12"/>
      <c r="AE99" s="12"/>
      <c r="AF99" s="12"/>
      <c r="AG99" s="12"/>
      <c r="AH99" s="12"/>
      <c r="AI99" s="12"/>
      <c r="AJ99" s="12"/>
      <c r="AK99" s="12"/>
      <c r="AL99" s="12"/>
      <c r="AM99" s="12"/>
      <c r="AN99" s="12"/>
      <c r="AO99" s="12"/>
      <c r="AP99" s="12"/>
      <c r="AQ99" s="12"/>
      <c r="AR99" s="12"/>
      <c r="AS99" s="12"/>
      <c r="AT99" s="12"/>
      <c r="AU99" s="12"/>
      <c r="AV99" s="12"/>
      <c r="AW99" s="12"/>
      <c r="AX99" s="12"/>
      <c r="AY99" s="12"/>
      <c r="AZ99" s="12"/>
      <c r="BA99" s="12"/>
      <c r="BB99" s="12"/>
      <c r="BC99" s="12"/>
      <c r="BD99" s="12"/>
      <c r="BE99" s="12"/>
      <c r="BF99" s="12"/>
      <c r="BG99" s="12"/>
      <c r="BH99" s="12"/>
      <c r="BI99" s="12"/>
      <c r="BJ99" s="12"/>
      <c r="BK99" s="12"/>
      <c r="BL99" s="12"/>
      <c r="BM99" s="12"/>
      <c r="BN99" s="12"/>
      <c r="BO99" s="12"/>
      <c r="BP99" s="12"/>
      <c r="BQ99" s="12"/>
      <c r="BR99" s="12"/>
      <c r="BS99" s="12"/>
      <c r="BT99" s="12"/>
      <c r="BU99" s="12"/>
      <c r="BV99" s="12"/>
      <c r="BW99" s="12"/>
      <c r="BX99" s="12"/>
      <c r="BY99" s="12"/>
      <c r="BZ99" s="12"/>
      <c r="CA99" s="12"/>
      <c r="CB99" s="12"/>
      <c r="CC99" s="12"/>
      <c r="CD99" s="12"/>
      <c r="CE99" s="12"/>
      <c r="CF99" s="12"/>
      <c r="CG99" s="12"/>
      <c r="CH99" s="17"/>
      <c r="CI99" s="17"/>
      <c r="CJ99" s="12"/>
      <c r="CK99" s="12"/>
      <c r="CL99" s="12"/>
      <c r="CM99" s="12"/>
      <c r="CN99" s="12"/>
      <c r="CO99" s="12"/>
      <c r="CP99" s="12"/>
      <c r="CQ99" s="12"/>
      <c r="CR99" s="12"/>
      <c r="CS99" s="12"/>
      <c r="CT99" s="12"/>
      <c r="CU99" s="16">
        <v>45396.0</v>
      </c>
      <c r="CV99" s="11" t="s">
        <v>157</v>
      </c>
      <c r="CW99" s="11" t="s">
        <v>542</v>
      </c>
      <c r="CX99" s="11" t="s">
        <v>396</v>
      </c>
      <c r="CY99" s="11" t="s">
        <v>543</v>
      </c>
      <c r="CZ99" s="11" t="s">
        <v>544</v>
      </c>
      <c r="DA99" s="11" t="s">
        <v>334</v>
      </c>
      <c r="DB99" s="11" t="s">
        <v>267</v>
      </c>
      <c r="DC99" s="15" t="s">
        <v>545</v>
      </c>
      <c r="DD99" s="17"/>
    </row>
    <row r="100" ht="22.5" customHeight="1">
      <c r="A100" s="10">
        <v>45986.42180614584</v>
      </c>
      <c r="B100" s="11" t="s">
        <v>164</v>
      </c>
      <c r="C100" s="11" t="s">
        <v>1</v>
      </c>
      <c r="D100" s="12"/>
      <c r="E100" s="12"/>
      <c r="F100" s="12"/>
      <c r="G100" s="12"/>
      <c r="H100" s="12"/>
      <c r="I100" s="12"/>
      <c r="J100" s="12"/>
      <c r="K100" s="12"/>
      <c r="L100" s="12"/>
      <c r="M100" s="12"/>
      <c r="N100" s="12"/>
      <c r="O100" s="12"/>
      <c r="P100" s="12"/>
      <c r="Q100" s="12"/>
      <c r="R100" s="12"/>
      <c r="S100" s="12"/>
      <c r="T100" s="12"/>
      <c r="U100" s="12"/>
      <c r="V100" s="12"/>
      <c r="W100" s="12"/>
      <c r="X100" s="12"/>
      <c r="Y100" s="12"/>
      <c r="Z100" s="12"/>
      <c r="AA100" s="12"/>
      <c r="AB100" s="12"/>
      <c r="AC100" s="12"/>
      <c r="AD100" s="12"/>
      <c r="AE100" s="12"/>
      <c r="AF100" s="12"/>
      <c r="AG100" s="12"/>
      <c r="AH100" s="12"/>
      <c r="AI100" s="12"/>
      <c r="AJ100" s="12"/>
      <c r="AK100" s="12"/>
      <c r="AL100" s="12"/>
      <c r="AM100" s="12"/>
      <c r="AN100" s="12"/>
      <c r="AO100" s="12"/>
      <c r="AP100" s="12"/>
      <c r="AQ100" s="12"/>
      <c r="AR100" s="12"/>
      <c r="AS100" s="12"/>
      <c r="AT100" s="12"/>
      <c r="AU100" s="12"/>
      <c r="AV100" s="12"/>
      <c r="AW100" s="12"/>
      <c r="AX100" s="12"/>
      <c r="AY100" s="12"/>
      <c r="AZ100" s="12"/>
      <c r="BA100" s="12"/>
      <c r="BB100" s="12"/>
      <c r="BC100" s="12"/>
      <c r="BD100" s="12"/>
      <c r="BE100" s="12"/>
      <c r="BF100" s="12"/>
      <c r="BG100" s="12"/>
      <c r="BH100" s="12"/>
      <c r="BI100" s="12"/>
      <c r="BJ100" s="12"/>
      <c r="BK100" s="12"/>
      <c r="BL100" s="12"/>
      <c r="BM100" s="12"/>
      <c r="BN100" s="12"/>
      <c r="BO100" s="12"/>
      <c r="BP100" s="12"/>
      <c r="BQ100" s="12"/>
      <c r="BR100" s="12"/>
      <c r="BS100" s="12"/>
      <c r="BT100" s="12"/>
      <c r="BU100" s="12"/>
      <c r="BV100" s="12"/>
      <c r="BW100" s="12"/>
      <c r="BX100" s="12"/>
      <c r="BY100" s="12"/>
      <c r="BZ100" s="12"/>
      <c r="CA100" s="12"/>
      <c r="CB100" s="12"/>
      <c r="CC100" s="12"/>
      <c r="CD100" s="12"/>
      <c r="CE100" s="12"/>
      <c r="CF100" s="12"/>
      <c r="CG100" s="12"/>
      <c r="CH100" s="17"/>
      <c r="CI100" s="17"/>
      <c r="CJ100" s="12"/>
      <c r="CK100" s="12"/>
      <c r="CL100" s="12"/>
      <c r="CM100" s="12"/>
      <c r="CN100" s="12"/>
      <c r="CO100" s="12"/>
      <c r="CP100" s="12"/>
      <c r="CQ100" s="12"/>
      <c r="CR100" s="12"/>
      <c r="CS100" s="12"/>
      <c r="CT100" s="12"/>
      <c r="CU100" s="16">
        <v>45401.0</v>
      </c>
      <c r="CV100" s="11" t="s">
        <v>406</v>
      </c>
      <c r="CW100" s="11" t="s">
        <v>546</v>
      </c>
      <c r="CX100" s="11" t="s">
        <v>151</v>
      </c>
      <c r="CY100" s="11" t="s">
        <v>547</v>
      </c>
      <c r="CZ100" s="11" t="s">
        <v>548</v>
      </c>
      <c r="DA100" s="11" t="s">
        <v>549</v>
      </c>
      <c r="DB100" s="11" t="s">
        <v>162</v>
      </c>
      <c r="DC100" s="15" t="s">
        <v>550</v>
      </c>
      <c r="DD100" s="17"/>
    </row>
    <row r="101" ht="22.5" customHeight="1">
      <c r="A101" s="10">
        <v>45986.43767128472</v>
      </c>
      <c r="B101" s="11" t="s">
        <v>164</v>
      </c>
      <c r="C101" s="11" t="s">
        <v>1</v>
      </c>
      <c r="D101" s="12"/>
      <c r="E101" s="12"/>
      <c r="F101" s="12"/>
      <c r="G101" s="12"/>
      <c r="H101" s="12"/>
      <c r="I101" s="12"/>
      <c r="J101" s="12"/>
      <c r="K101" s="12"/>
      <c r="L101" s="12"/>
      <c r="M101" s="12"/>
      <c r="N101" s="12"/>
      <c r="O101" s="12"/>
      <c r="P101" s="12"/>
      <c r="Q101" s="12"/>
      <c r="R101" s="12"/>
      <c r="S101" s="12"/>
      <c r="T101" s="12"/>
      <c r="U101" s="12"/>
      <c r="V101" s="12"/>
      <c r="W101" s="12"/>
      <c r="X101" s="12"/>
      <c r="Y101" s="12"/>
      <c r="Z101" s="12"/>
      <c r="AA101" s="12"/>
      <c r="AB101" s="12"/>
      <c r="AC101" s="12"/>
      <c r="AD101" s="12"/>
      <c r="AE101" s="12"/>
      <c r="AF101" s="12"/>
      <c r="AG101" s="12"/>
      <c r="AH101" s="12"/>
      <c r="AI101" s="12"/>
      <c r="AJ101" s="12"/>
      <c r="AK101" s="12"/>
      <c r="AL101" s="12"/>
      <c r="AM101" s="12"/>
      <c r="AN101" s="12"/>
      <c r="AO101" s="12"/>
      <c r="AP101" s="12"/>
      <c r="AQ101" s="12"/>
      <c r="AR101" s="12"/>
      <c r="AS101" s="12"/>
      <c r="AT101" s="12"/>
      <c r="AU101" s="12"/>
      <c r="AV101" s="12"/>
      <c r="AW101" s="12"/>
      <c r="AX101" s="12"/>
      <c r="AY101" s="12"/>
      <c r="AZ101" s="12"/>
      <c r="BA101" s="12"/>
      <c r="BB101" s="12"/>
      <c r="BC101" s="12"/>
      <c r="BD101" s="12"/>
      <c r="BE101" s="12"/>
      <c r="BF101" s="12"/>
      <c r="BG101" s="12"/>
      <c r="BH101" s="12"/>
      <c r="BI101" s="12"/>
      <c r="BJ101" s="12"/>
      <c r="BK101" s="12"/>
      <c r="BL101" s="12"/>
      <c r="BM101" s="12"/>
      <c r="BN101" s="12"/>
      <c r="BO101" s="12"/>
      <c r="BP101" s="12"/>
      <c r="BQ101" s="12"/>
      <c r="BR101" s="12"/>
      <c r="BS101" s="12"/>
      <c r="BT101" s="12"/>
      <c r="BU101" s="12"/>
      <c r="BV101" s="12"/>
      <c r="BW101" s="12"/>
      <c r="BX101" s="12"/>
      <c r="BY101" s="12"/>
      <c r="BZ101" s="12"/>
      <c r="CA101" s="12"/>
      <c r="CB101" s="12"/>
      <c r="CC101" s="12"/>
      <c r="CD101" s="12"/>
      <c r="CE101" s="12"/>
      <c r="CF101" s="12"/>
      <c r="CG101" s="12"/>
      <c r="CH101" s="17"/>
      <c r="CI101" s="17"/>
      <c r="CJ101" s="12"/>
      <c r="CK101" s="12"/>
      <c r="CL101" s="12"/>
      <c r="CM101" s="12"/>
      <c r="CN101" s="12"/>
      <c r="CO101" s="12"/>
      <c r="CP101" s="12"/>
      <c r="CQ101" s="12"/>
      <c r="CR101" s="12"/>
      <c r="CS101" s="12"/>
      <c r="CT101" s="12"/>
      <c r="CU101" s="16">
        <v>45401.0</v>
      </c>
      <c r="CV101" s="11" t="s">
        <v>406</v>
      </c>
      <c r="CW101" s="11" t="s">
        <v>551</v>
      </c>
      <c r="CX101" s="11" t="s">
        <v>552</v>
      </c>
      <c r="CY101" s="11" t="s">
        <v>553</v>
      </c>
      <c r="CZ101" s="11" t="s">
        <v>554</v>
      </c>
      <c r="DA101" s="11" t="s">
        <v>334</v>
      </c>
      <c r="DB101" s="11" t="s">
        <v>162</v>
      </c>
      <c r="DC101" s="15" t="s">
        <v>555</v>
      </c>
      <c r="DD101" s="17"/>
    </row>
    <row r="102" ht="22.5" customHeight="1">
      <c r="A102" s="10">
        <v>45986.4399328588</v>
      </c>
      <c r="B102" s="11" t="s">
        <v>164</v>
      </c>
      <c r="C102" s="11" t="s">
        <v>1</v>
      </c>
      <c r="D102" s="12"/>
      <c r="E102" s="12"/>
      <c r="F102" s="12"/>
      <c r="G102" s="12"/>
      <c r="H102" s="12"/>
      <c r="I102" s="12"/>
      <c r="J102" s="12"/>
      <c r="K102" s="12"/>
      <c r="L102" s="12"/>
      <c r="M102" s="12"/>
      <c r="N102" s="12"/>
      <c r="O102" s="12"/>
      <c r="P102" s="12"/>
      <c r="Q102" s="12"/>
      <c r="R102" s="12"/>
      <c r="S102" s="12"/>
      <c r="T102" s="12"/>
      <c r="U102" s="12"/>
      <c r="V102" s="12"/>
      <c r="W102" s="12"/>
      <c r="X102" s="12"/>
      <c r="Y102" s="12"/>
      <c r="Z102" s="12"/>
      <c r="AA102" s="12"/>
      <c r="AB102" s="12"/>
      <c r="AC102" s="12"/>
      <c r="AD102" s="12"/>
      <c r="AE102" s="12"/>
      <c r="AF102" s="12"/>
      <c r="AG102" s="12"/>
      <c r="AH102" s="12"/>
      <c r="AI102" s="12"/>
      <c r="AJ102" s="12"/>
      <c r="AK102" s="12"/>
      <c r="AL102" s="12"/>
      <c r="AM102" s="12"/>
      <c r="AN102" s="12"/>
      <c r="AO102" s="12"/>
      <c r="AP102" s="12"/>
      <c r="AQ102" s="12"/>
      <c r="AR102" s="12"/>
      <c r="AS102" s="12"/>
      <c r="AT102" s="12"/>
      <c r="AU102" s="12"/>
      <c r="AV102" s="12"/>
      <c r="AW102" s="12"/>
      <c r="AX102" s="12"/>
      <c r="AY102" s="12"/>
      <c r="AZ102" s="12"/>
      <c r="BA102" s="12"/>
      <c r="BB102" s="12"/>
      <c r="BC102" s="12"/>
      <c r="BD102" s="12"/>
      <c r="BE102" s="12"/>
      <c r="BF102" s="12"/>
      <c r="BG102" s="12"/>
      <c r="BH102" s="12"/>
      <c r="BI102" s="12"/>
      <c r="BJ102" s="12"/>
      <c r="BK102" s="12"/>
      <c r="BL102" s="12"/>
      <c r="BM102" s="12"/>
      <c r="BN102" s="12"/>
      <c r="BO102" s="12"/>
      <c r="BP102" s="12"/>
      <c r="BQ102" s="12"/>
      <c r="BR102" s="12"/>
      <c r="BS102" s="12"/>
      <c r="BT102" s="12"/>
      <c r="BU102" s="12"/>
      <c r="BV102" s="12"/>
      <c r="BW102" s="12"/>
      <c r="BX102" s="12"/>
      <c r="BY102" s="12"/>
      <c r="BZ102" s="12"/>
      <c r="CA102" s="12"/>
      <c r="CB102" s="12"/>
      <c r="CC102" s="12"/>
      <c r="CD102" s="12"/>
      <c r="CE102" s="12"/>
      <c r="CF102" s="12"/>
      <c r="CG102" s="12"/>
      <c r="CH102" s="17"/>
      <c r="CI102" s="17"/>
      <c r="CJ102" s="12"/>
      <c r="CK102" s="12"/>
      <c r="CL102" s="12"/>
      <c r="CM102" s="12"/>
      <c r="CN102" s="12"/>
      <c r="CO102" s="12"/>
      <c r="CP102" s="12"/>
      <c r="CQ102" s="12"/>
      <c r="CR102" s="12"/>
      <c r="CS102" s="12"/>
      <c r="CT102" s="12"/>
      <c r="CU102" s="16">
        <v>45404.0</v>
      </c>
      <c r="CV102" s="11" t="s">
        <v>406</v>
      </c>
      <c r="CW102" s="11" t="s">
        <v>556</v>
      </c>
      <c r="CX102" s="11" t="s">
        <v>557</v>
      </c>
      <c r="CY102" s="11" t="s">
        <v>557</v>
      </c>
      <c r="CZ102" s="11" t="s">
        <v>558</v>
      </c>
      <c r="DA102" s="11" t="s">
        <v>559</v>
      </c>
      <c r="DB102" s="11" t="s">
        <v>162</v>
      </c>
      <c r="DC102" s="15" t="s">
        <v>560</v>
      </c>
      <c r="DD102" s="17"/>
    </row>
    <row r="103" ht="22.5" customHeight="1">
      <c r="A103" s="10">
        <v>45986.442459178244</v>
      </c>
      <c r="B103" s="11" t="s">
        <v>164</v>
      </c>
      <c r="C103" s="11" t="s">
        <v>1</v>
      </c>
      <c r="D103" s="12"/>
      <c r="E103" s="12"/>
      <c r="F103" s="12"/>
      <c r="G103" s="12"/>
      <c r="H103" s="12"/>
      <c r="I103" s="12"/>
      <c r="J103" s="12"/>
      <c r="K103" s="12"/>
      <c r="L103" s="12"/>
      <c r="M103" s="12"/>
      <c r="N103" s="12"/>
      <c r="O103" s="12"/>
      <c r="P103" s="12"/>
      <c r="Q103" s="12"/>
      <c r="R103" s="12"/>
      <c r="S103" s="12"/>
      <c r="T103" s="12"/>
      <c r="U103" s="12"/>
      <c r="V103" s="12"/>
      <c r="W103" s="12"/>
      <c r="X103" s="12"/>
      <c r="Y103" s="12"/>
      <c r="Z103" s="12"/>
      <c r="AA103" s="12"/>
      <c r="AB103" s="12"/>
      <c r="AC103" s="12"/>
      <c r="AD103" s="12"/>
      <c r="AE103" s="12"/>
      <c r="AF103" s="12"/>
      <c r="AG103" s="12"/>
      <c r="AH103" s="12"/>
      <c r="AI103" s="12"/>
      <c r="AJ103" s="12"/>
      <c r="AK103" s="12"/>
      <c r="AL103" s="12"/>
      <c r="AM103" s="12"/>
      <c r="AN103" s="12"/>
      <c r="AO103" s="12"/>
      <c r="AP103" s="12"/>
      <c r="AQ103" s="12"/>
      <c r="AR103" s="12"/>
      <c r="AS103" s="12"/>
      <c r="AT103" s="12"/>
      <c r="AU103" s="12"/>
      <c r="AV103" s="12"/>
      <c r="AW103" s="12"/>
      <c r="AX103" s="12"/>
      <c r="AY103" s="12"/>
      <c r="AZ103" s="12"/>
      <c r="BA103" s="12"/>
      <c r="BB103" s="12"/>
      <c r="BC103" s="12"/>
      <c r="BD103" s="12"/>
      <c r="BE103" s="12"/>
      <c r="BF103" s="12"/>
      <c r="BG103" s="12"/>
      <c r="BH103" s="12"/>
      <c r="BI103" s="12"/>
      <c r="BJ103" s="12"/>
      <c r="BK103" s="12"/>
      <c r="BL103" s="12"/>
      <c r="BM103" s="12"/>
      <c r="BN103" s="12"/>
      <c r="BO103" s="12"/>
      <c r="BP103" s="12"/>
      <c r="BQ103" s="12"/>
      <c r="BR103" s="12"/>
      <c r="BS103" s="12"/>
      <c r="BT103" s="12"/>
      <c r="BU103" s="12"/>
      <c r="BV103" s="12"/>
      <c r="BW103" s="12"/>
      <c r="BX103" s="12"/>
      <c r="BY103" s="12"/>
      <c r="BZ103" s="12"/>
      <c r="CA103" s="12"/>
      <c r="CB103" s="12"/>
      <c r="CC103" s="12"/>
      <c r="CD103" s="12"/>
      <c r="CE103" s="12"/>
      <c r="CF103" s="12"/>
      <c r="CG103" s="12"/>
      <c r="CH103" s="17"/>
      <c r="CI103" s="17"/>
      <c r="CJ103" s="12"/>
      <c r="CK103" s="12"/>
      <c r="CL103" s="12"/>
      <c r="CM103" s="12"/>
      <c r="CN103" s="12"/>
      <c r="CO103" s="12"/>
      <c r="CP103" s="12"/>
      <c r="CQ103" s="12"/>
      <c r="CR103" s="12"/>
      <c r="CS103" s="12"/>
      <c r="CT103" s="12"/>
      <c r="CU103" s="16">
        <v>45434.0</v>
      </c>
      <c r="CV103" s="11" t="s">
        <v>157</v>
      </c>
      <c r="CW103" s="11" t="s">
        <v>561</v>
      </c>
      <c r="CX103" s="11" t="s">
        <v>286</v>
      </c>
      <c r="CY103" s="11" t="s">
        <v>562</v>
      </c>
      <c r="CZ103" s="11" t="s">
        <v>380</v>
      </c>
      <c r="DA103" s="11" t="s">
        <v>334</v>
      </c>
      <c r="DB103" s="11" t="s">
        <v>267</v>
      </c>
      <c r="DC103" s="15" t="s">
        <v>563</v>
      </c>
      <c r="DD103" s="17"/>
    </row>
    <row r="104" ht="22.5" customHeight="1">
      <c r="A104" s="10">
        <v>45986.44577789352</v>
      </c>
      <c r="B104" s="11" t="s">
        <v>164</v>
      </c>
      <c r="C104" s="11" t="s">
        <v>1</v>
      </c>
      <c r="D104" s="12"/>
      <c r="E104" s="12"/>
      <c r="F104" s="12"/>
      <c r="G104" s="12"/>
      <c r="H104" s="12"/>
      <c r="I104" s="12"/>
      <c r="J104" s="12"/>
      <c r="K104" s="12"/>
      <c r="L104" s="12"/>
      <c r="M104" s="12"/>
      <c r="N104" s="12"/>
      <c r="O104" s="12"/>
      <c r="P104" s="12"/>
      <c r="Q104" s="12"/>
      <c r="R104" s="12"/>
      <c r="S104" s="12"/>
      <c r="T104" s="12"/>
      <c r="U104" s="12"/>
      <c r="V104" s="12"/>
      <c r="W104" s="12"/>
      <c r="X104" s="12"/>
      <c r="Y104" s="12"/>
      <c r="Z104" s="12"/>
      <c r="AA104" s="12"/>
      <c r="AB104" s="12"/>
      <c r="AC104" s="12"/>
      <c r="AD104" s="12"/>
      <c r="AE104" s="12"/>
      <c r="AF104" s="12"/>
      <c r="AG104" s="12"/>
      <c r="AH104" s="12"/>
      <c r="AI104" s="12"/>
      <c r="AJ104" s="12"/>
      <c r="AK104" s="12"/>
      <c r="AL104" s="12"/>
      <c r="AM104" s="12"/>
      <c r="AN104" s="12"/>
      <c r="AO104" s="12"/>
      <c r="AP104" s="12"/>
      <c r="AQ104" s="12"/>
      <c r="AR104" s="12"/>
      <c r="AS104" s="12"/>
      <c r="AT104" s="12"/>
      <c r="AU104" s="12"/>
      <c r="AV104" s="12"/>
      <c r="AW104" s="12"/>
      <c r="AX104" s="12"/>
      <c r="AY104" s="12"/>
      <c r="AZ104" s="12"/>
      <c r="BA104" s="12"/>
      <c r="BB104" s="12"/>
      <c r="BC104" s="12"/>
      <c r="BD104" s="12"/>
      <c r="BE104" s="12"/>
      <c r="BF104" s="12"/>
      <c r="BG104" s="12"/>
      <c r="BH104" s="12"/>
      <c r="BI104" s="12"/>
      <c r="BJ104" s="12"/>
      <c r="BK104" s="12"/>
      <c r="BL104" s="12"/>
      <c r="BM104" s="12"/>
      <c r="BN104" s="12"/>
      <c r="BO104" s="12"/>
      <c r="BP104" s="12"/>
      <c r="BQ104" s="12"/>
      <c r="BR104" s="12"/>
      <c r="BS104" s="12"/>
      <c r="BT104" s="12"/>
      <c r="BU104" s="12"/>
      <c r="BV104" s="12"/>
      <c r="BW104" s="12"/>
      <c r="BX104" s="12"/>
      <c r="BY104" s="12"/>
      <c r="BZ104" s="12"/>
      <c r="CA104" s="12"/>
      <c r="CB104" s="12"/>
      <c r="CC104" s="12"/>
      <c r="CD104" s="12"/>
      <c r="CE104" s="12"/>
      <c r="CF104" s="12"/>
      <c r="CG104" s="12"/>
      <c r="CH104" s="17"/>
      <c r="CI104" s="17"/>
      <c r="CJ104" s="12"/>
      <c r="CK104" s="12"/>
      <c r="CL104" s="12"/>
      <c r="CM104" s="12"/>
      <c r="CN104" s="12"/>
      <c r="CO104" s="12"/>
      <c r="CP104" s="12"/>
      <c r="CQ104" s="12"/>
      <c r="CR104" s="12"/>
      <c r="CS104" s="12"/>
      <c r="CT104" s="12"/>
      <c r="CU104" s="16">
        <v>45434.0</v>
      </c>
      <c r="CV104" s="11" t="s">
        <v>406</v>
      </c>
      <c r="CW104" s="11" t="s">
        <v>564</v>
      </c>
      <c r="CX104" s="11" t="s">
        <v>274</v>
      </c>
      <c r="CY104" s="11" t="s">
        <v>565</v>
      </c>
      <c r="CZ104" s="11" t="s">
        <v>566</v>
      </c>
      <c r="DA104" s="11" t="s">
        <v>567</v>
      </c>
      <c r="DB104" s="11" t="s">
        <v>267</v>
      </c>
      <c r="DC104" s="15" t="s">
        <v>568</v>
      </c>
      <c r="DD104" s="17"/>
    </row>
    <row r="105" ht="22.5" customHeight="1">
      <c r="A105" s="10">
        <v>45986.44780447916</v>
      </c>
      <c r="B105" s="11" t="s">
        <v>164</v>
      </c>
      <c r="C105" s="11" t="s">
        <v>1</v>
      </c>
      <c r="D105" s="12"/>
      <c r="E105" s="12"/>
      <c r="F105" s="12"/>
      <c r="G105" s="12"/>
      <c r="H105" s="12"/>
      <c r="I105" s="12"/>
      <c r="J105" s="12"/>
      <c r="K105" s="12"/>
      <c r="L105" s="12"/>
      <c r="M105" s="12"/>
      <c r="N105" s="12"/>
      <c r="O105" s="12"/>
      <c r="P105" s="12"/>
      <c r="Q105" s="12"/>
      <c r="R105" s="12"/>
      <c r="S105" s="12"/>
      <c r="T105" s="12"/>
      <c r="U105" s="12"/>
      <c r="V105" s="12"/>
      <c r="W105" s="12"/>
      <c r="X105" s="12"/>
      <c r="Y105" s="12"/>
      <c r="Z105" s="12"/>
      <c r="AA105" s="12"/>
      <c r="AB105" s="12"/>
      <c r="AC105" s="12"/>
      <c r="AD105" s="12"/>
      <c r="AE105" s="12"/>
      <c r="AF105" s="12"/>
      <c r="AG105" s="12"/>
      <c r="AH105" s="12"/>
      <c r="AI105" s="12"/>
      <c r="AJ105" s="12"/>
      <c r="AK105" s="12"/>
      <c r="AL105" s="12"/>
      <c r="AM105" s="12"/>
      <c r="AN105" s="12"/>
      <c r="AO105" s="12"/>
      <c r="AP105" s="12"/>
      <c r="AQ105" s="12"/>
      <c r="AR105" s="12"/>
      <c r="AS105" s="12"/>
      <c r="AT105" s="12"/>
      <c r="AU105" s="12"/>
      <c r="AV105" s="12"/>
      <c r="AW105" s="12"/>
      <c r="AX105" s="12"/>
      <c r="AY105" s="12"/>
      <c r="AZ105" s="12"/>
      <c r="BA105" s="12"/>
      <c r="BB105" s="12"/>
      <c r="BC105" s="12"/>
      <c r="BD105" s="12"/>
      <c r="BE105" s="12"/>
      <c r="BF105" s="12"/>
      <c r="BG105" s="12"/>
      <c r="BH105" s="12"/>
      <c r="BI105" s="12"/>
      <c r="BJ105" s="12"/>
      <c r="BK105" s="12"/>
      <c r="BL105" s="12"/>
      <c r="BM105" s="12"/>
      <c r="BN105" s="12"/>
      <c r="BO105" s="12"/>
      <c r="BP105" s="12"/>
      <c r="BQ105" s="12"/>
      <c r="BR105" s="12"/>
      <c r="BS105" s="12"/>
      <c r="BT105" s="12"/>
      <c r="BU105" s="12"/>
      <c r="BV105" s="12"/>
      <c r="BW105" s="12"/>
      <c r="BX105" s="12"/>
      <c r="BY105" s="12"/>
      <c r="BZ105" s="12"/>
      <c r="CA105" s="12"/>
      <c r="CB105" s="12"/>
      <c r="CC105" s="12"/>
      <c r="CD105" s="12"/>
      <c r="CE105" s="12"/>
      <c r="CF105" s="12"/>
      <c r="CG105" s="12"/>
      <c r="CH105" s="17"/>
      <c r="CI105" s="17"/>
      <c r="CJ105" s="12"/>
      <c r="CK105" s="12"/>
      <c r="CL105" s="12"/>
      <c r="CM105" s="12"/>
      <c r="CN105" s="12"/>
      <c r="CO105" s="12"/>
      <c r="CP105" s="12"/>
      <c r="CQ105" s="12"/>
      <c r="CR105" s="12"/>
      <c r="CS105" s="12"/>
      <c r="CT105" s="12"/>
      <c r="CU105" s="16">
        <v>45488.0</v>
      </c>
      <c r="CV105" s="11" t="s">
        <v>157</v>
      </c>
      <c r="CW105" s="11" t="s">
        <v>569</v>
      </c>
      <c r="CX105" s="11" t="s">
        <v>151</v>
      </c>
      <c r="CY105" s="11" t="s">
        <v>570</v>
      </c>
      <c r="CZ105" s="11" t="s">
        <v>380</v>
      </c>
      <c r="DA105" s="11" t="s">
        <v>334</v>
      </c>
      <c r="DB105" s="11" t="s">
        <v>267</v>
      </c>
      <c r="DC105" s="15" t="s">
        <v>571</v>
      </c>
      <c r="DD105" s="17"/>
    </row>
    <row r="106" ht="22.5" customHeight="1">
      <c r="A106" s="10">
        <v>45986.44963427083</v>
      </c>
      <c r="B106" s="11" t="s">
        <v>164</v>
      </c>
      <c r="C106" s="11" t="s">
        <v>1</v>
      </c>
      <c r="D106" s="12"/>
      <c r="E106" s="12"/>
      <c r="F106" s="12"/>
      <c r="G106" s="12"/>
      <c r="H106" s="12"/>
      <c r="I106" s="12"/>
      <c r="J106" s="12"/>
      <c r="K106" s="12"/>
      <c r="L106" s="12"/>
      <c r="M106" s="12"/>
      <c r="N106" s="12"/>
      <c r="O106" s="12"/>
      <c r="P106" s="12"/>
      <c r="Q106" s="12"/>
      <c r="R106" s="12"/>
      <c r="S106" s="12"/>
      <c r="T106" s="12"/>
      <c r="U106" s="12"/>
      <c r="V106" s="12"/>
      <c r="W106" s="12"/>
      <c r="X106" s="12"/>
      <c r="Y106" s="12"/>
      <c r="Z106" s="12"/>
      <c r="AA106" s="12"/>
      <c r="AB106" s="12"/>
      <c r="AC106" s="12"/>
      <c r="AD106" s="12"/>
      <c r="AE106" s="12"/>
      <c r="AF106" s="12"/>
      <c r="AG106" s="12"/>
      <c r="AH106" s="12"/>
      <c r="AI106" s="12"/>
      <c r="AJ106" s="12"/>
      <c r="AK106" s="12"/>
      <c r="AL106" s="12"/>
      <c r="AM106" s="12"/>
      <c r="AN106" s="12"/>
      <c r="AO106" s="12"/>
      <c r="AP106" s="12"/>
      <c r="AQ106" s="12"/>
      <c r="AR106" s="12"/>
      <c r="AS106" s="12"/>
      <c r="AT106" s="12"/>
      <c r="AU106" s="12"/>
      <c r="AV106" s="12"/>
      <c r="AW106" s="12"/>
      <c r="AX106" s="12"/>
      <c r="AY106" s="12"/>
      <c r="AZ106" s="12"/>
      <c r="BA106" s="12"/>
      <c r="BB106" s="12"/>
      <c r="BC106" s="12"/>
      <c r="BD106" s="12"/>
      <c r="BE106" s="12"/>
      <c r="BF106" s="12"/>
      <c r="BG106" s="12"/>
      <c r="BH106" s="12"/>
      <c r="BI106" s="12"/>
      <c r="BJ106" s="12"/>
      <c r="BK106" s="12"/>
      <c r="BL106" s="12"/>
      <c r="BM106" s="12"/>
      <c r="BN106" s="12"/>
      <c r="BO106" s="12"/>
      <c r="BP106" s="12"/>
      <c r="BQ106" s="12"/>
      <c r="BR106" s="12"/>
      <c r="BS106" s="12"/>
      <c r="BT106" s="12"/>
      <c r="BU106" s="12"/>
      <c r="BV106" s="12"/>
      <c r="BW106" s="12"/>
      <c r="BX106" s="12"/>
      <c r="BY106" s="12"/>
      <c r="BZ106" s="12"/>
      <c r="CA106" s="12"/>
      <c r="CB106" s="12"/>
      <c r="CC106" s="12"/>
      <c r="CD106" s="12"/>
      <c r="CE106" s="12"/>
      <c r="CF106" s="12"/>
      <c r="CG106" s="12"/>
      <c r="CH106" s="12"/>
      <c r="CI106" s="12"/>
      <c r="CJ106" s="12"/>
      <c r="CK106" s="12"/>
      <c r="CL106" s="12"/>
      <c r="CM106" s="12"/>
      <c r="CN106" s="12"/>
      <c r="CO106" s="12"/>
      <c r="CP106" s="12"/>
      <c r="CQ106" s="12"/>
      <c r="CR106" s="12"/>
      <c r="CS106" s="12"/>
      <c r="CT106" s="12"/>
      <c r="CU106" s="16">
        <v>45492.0</v>
      </c>
      <c r="CV106" s="11" t="s">
        <v>406</v>
      </c>
      <c r="CW106" s="11" t="s">
        <v>572</v>
      </c>
      <c r="CX106" s="11" t="s">
        <v>573</v>
      </c>
      <c r="CY106" s="11" t="s">
        <v>574</v>
      </c>
      <c r="CZ106" s="11" t="s">
        <v>575</v>
      </c>
      <c r="DA106" s="11" t="s">
        <v>334</v>
      </c>
      <c r="DB106" s="11" t="s">
        <v>162</v>
      </c>
      <c r="DC106" s="12"/>
      <c r="DD106" s="12"/>
    </row>
    <row r="107" ht="22.5" customHeight="1">
      <c r="A107" s="10">
        <v>45986.47237753472</v>
      </c>
      <c r="B107" s="11" t="s">
        <v>501</v>
      </c>
      <c r="C107" s="11" t="s">
        <v>11</v>
      </c>
      <c r="D107" s="16">
        <v>45728.0</v>
      </c>
      <c r="E107" s="11" t="s">
        <v>576</v>
      </c>
      <c r="F107" s="15" t="s">
        <v>577</v>
      </c>
      <c r="G107" s="11" t="s">
        <v>578</v>
      </c>
      <c r="H107" s="11">
        <v>40000.0</v>
      </c>
      <c r="I107" s="11" t="s">
        <v>579</v>
      </c>
      <c r="J107" s="15" t="s">
        <v>580</v>
      </c>
      <c r="K107" s="12"/>
      <c r="L107" s="12"/>
      <c r="M107" s="12"/>
      <c r="N107" s="12"/>
      <c r="O107" s="12"/>
      <c r="P107" s="12"/>
      <c r="Q107" s="12"/>
      <c r="R107" s="12"/>
      <c r="S107" s="12"/>
      <c r="T107" s="12"/>
      <c r="U107" s="12"/>
      <c r="V107" s="12"/>
      <c r="W107" s="12"/>
      <c r="X107" s="12"/>
      <c r="Y107" s="12"/>
      <c r="Z107" s="12"/>
      <c r="AA107" s="12"/>
      <c r="AB107" s="12"/>
      <c r="AC107" s="12"/>
      <c r="AD107" s="12"/>
      <c r="AE107" s="12"/>
      <c r="AF107" s="12"/>
      <c r="AG107" s="12"/>
      <c r="AH107" s="12"/>
      <c r="AI107" s="12"/>
      <c r="AJ107" s="12"/>
      <c r="AK107" s="12"/>
      <c r="AL107" s="12"/>
      <c r="AM107" s="12"/>
      <c r="AN107" s="12"/>
      <c r="AO107" s="12"/>
      <c r="AP107" s="12"/>
      <c r="AQ107" s="12"/>
      <c r="AR107" s="12"/>
      <c r="AS107" s="12"/>
      <c r="AT107" s="12"/>
      <c r="AU107" s="12"/>
      <c r="AV107" s="12"/>
      <c r="AW107" s="12"/>
      <c r="AX107" s="12"/>
      <c r="AY107" s="12"/>
      <c r="AZ107" s="12"/>
      <c r="BA107" s="12"/>
      <c r="BB107" s="12"/>
      <c r="BC107" s="12"/>
      <c r="BD107" s="12"/>
      <c r="BE107" s="12"/>
      <c r="BF107" s="12"/>
      <c r="BG107" s="12"/>
      <c r="BH107" s="12"/>
      <c r="BI107" s="12"/>
      <c r="BJ107" s="12"/>
      <c r="BK107" s="12"/>
      <c r="BL107" s="12"/>
      <c r="BM107" s="12"/>
      <c r="BN107" s="12"/>
      <c r="BO107" s="12"/>
      <c r="BP107" s="12"/>
      <c r="BQ107" s="12"/>
      <c r="BR107" s="12"/>
      <c r="BS107" s="12"/>
      <c r="BT107" s="12"/>
      <c r="BU107" s="12"/>
      <c r="BV107" s="12"/>
      <c r="BW107" s="12"/>
      <c r="BX107" s="12"/>
      <c r="BY107" s="12"/>
      <c r="BZ107" s="12"/>
      <c r="CA107" s="12"/>
      <c r="CB107" s="12"/>
      <c r="CC107" s="12"/>
      <c r="CD107" s="12"/>
      <c r="CE107" s="12"/>
      <c r="CF107" s="12"/>
      <c r="CG107" s="12"/>
      <c r="CH107" s="12"/>
      <c r="CI107" s="12"/>
      <c r="CJ107" s="12"/>
      <c r="CK107" s="12"/>
      <c r="CL107" s="12"/>
      <c r="CM107" s="12"/>
      <c r="CN107" s="12"/>
      <c r="CO107" s="12"/>
      <c r="CP107" s="12"/>
      <c r="CQ107" s="12"/>
      <c r="CR107" s="12"/>
      <c r="CS107" s="12"/>
      <c r="CT107" s="12"/>
      <c r="CU107" s="12"/>
      <c r="CV107" s="12"/>
      <c r="CW107" s="12"/>
      <c r="CX107" s="12"/>
      <c r="CY107" s="12"/>
      <c r="CZ107" s="12"/>
      <c r="DA107" s="12"/>
      <c r="DB107" s="12"/>
      <c r="DC107" s="12"/>
      <c r="DD107" s="12"/>
    </row>
    <row r="108" ht="22.5" customHeight="1">
      <c r="A108" s="10">
        <v>45986.47679962963</v>
      </c>
      <c r="B108" s="11" t="s">
        <v>501</v>
      </c>
      <c r="C108" s="11" t="s">
        <v>11</v>
      </c>
      <c r="D108" s="16">
        <v>45784.0</v>
      </c>
      <c r="E108" s="11" t="s">
        <v>521</v>
      </c>
      <c r="F108" s="15" t="s">
        <v>581</v>
      </c>
      <c r="G108" s="11" t="s">
        <v>582</v>
      </c>
      <c r="H108" s="11">
        <v>40000.0</v>
      </c>
      <c r="I108" s="11" t="s">
        <v>583</v>
      </c>
      <c r="J108" s="15" t="s">
        <v>584</v>
      </c>
      <c r="K108" s="12"/>
      <c r="L108" s="12"/>
      <c r="M108" s="12"/>
      <c r="N108" s="12"/>
      <c r="O108" s="12"/>
      <c r="P108" s="12"/>
      <c r="Q108" s="12"/>
      <c r="R108" s="12"/>
      <c r="S108" s="12"/>
      <c r="T108" s="12"/>
      <c r="U108" s="12"/>
      <c r="V108" s="12"/>
      <c r="W108" s="12"/>
      <c r="X108" s="12"/>
      <c r="Y108" s="12"/>
      <c r="Z108" s="12"/>
      <c r="AA108" s="12"/>
      <c r="AB108" s="12"/>
      <c r="AC108" s="12"/>
      <c r="AD108" s="12"/>
      <c r="AE108" s="12"/>
      <c r="AF108" s="12"/>
      <c r="AG108" s="12"/>
      <c r="AH108" s="12"/>
      <c r="AI108" s="12"/>
      <c r="AJ108" s="12"/>
      <c r="AK108" s="12"/>
      <c r="AL108" s="12"/>
      <c r="AM108" s="12"/>
      <c r="AN108" s="12"/>
      <c r="AO108" s="12"/>
      <c r="AP108" s="12"/>
      <c r="AQ108" s="12"/>
      <c r="AR108" s="12"/>
      <c r="AS108" s="12"/>
      <c r="AT108" s="12"/>
      <c r="AU108" s="12"/>
      <c r="AV108" s="12"/>
      <c r="AW108" s="12"/>
      <c r="AX108" s="12"/>
      <c r="AY108" s="12"/>
      <c r="AZ108" s="12"/>
      <c r="BA108" s="12"/>
      <c r="BB108" s="12"/>
      <c r="BC108" s="12"/>
      <c r="BD108" s="12"/>
      <c r="BE108" s="12"/>
      <c r="BF108" s="12"/>
      <c r="BG108" s="12"/>
      <c r="BH108" s="12"/>
      <c r="BI108" s="12"/>
      <c r="BJ108" s="12"/>
      <c r="BK108" s="12"/>
      <c r="BL108" s="12"/>
      <c r="BM108" s="12"/>
      <c r="BN108" s="12"/>
      <c r="BO108" s="12"/>
      <c r="BP108" s="12"/>
      <c r="BQ108" s="12"/>
      <c r="BR108" s="12"/>
      <c r="BS108" s="12"/>
      <c r="BT108" s="12"/>
      <c r="BU108" s="12"/>
      <c r="BV108" s="12"/>
      <c r="BW108" s="12"/>
      <c r="BX108" s="12"/>
      <c r="BY108" s="12"/>
      <c r="BZ108" s="12"/>
      <c r="CA108" s="12"/>
      <c r="CB108" s="12"/>
      <c r="CC108" s="12"/>
      <c r="CD108" s="12"/>
      <c r="CE108" s="12"/>
      <c r="CF108" s="12"/>
      <c r="CG108" s="12"/>
      <c r="CH108" s="12"/>
      <c r="CI108" s="12"/>
      <c r="CJ108" s="12"/>
      <c r="CK108" s="12"/>
      <c r="CL108" s="12"/>
      <c r="CM108" s="12"/>
      <c r="CN108" s="12"/>
      <c r="CO108" s="12"/>
      <c r="CP108" s="12"/>
      <c r="CQ108" s="12"/>
      <c r="CR108" s="12"/>
      <c r="CS108" s="12"/>
      <c r="CT108" s="12"/>
      <c r="CU108" s="12"/>
      <c r="CV108" s="12"/>
      <c r="CW108" s="12"/>
      <c r="CX108" s="12"/>
      <c r="CY108" s="12"/>
      <c r="CZ108" s="12"/>
      <c r="DA108" s="12"/>
      <c r="DB108" s="12"/>
      <c r="DC108" s="12"/>
      <c r="DD108" s="12"/>
    </row>
    <row r="109" ht="22.5" customHeight="1">
      <c r="A109" s="10">
        <v>45986.48901350694</v>
      </c>
      <c r="B109" s="11" t="s">
        <v>501</v>
      </c>
      <c r="C109" s="11" t="s">
        <v>11</v>
      </c>
      <c r="D109" s="16">
        <v>45733.0</v>
      </c>
      <c r="E109" s="11" t="s">
        <v>585</v>
      </c>
      <c r="F109" s="15" t="s">
        <v>586</v>
      </c>
      <c r="G109" s="11" t="s">
        <v>587</v>
      </c>
      <c r="H109" s="11">
        <v>40000.0</v>
      </c>
      <c r="I109" s="11" t="s">
        <v>588</v>
      </c>
      <c r="J109" s="15" t="s">
        <v>589</v>
      </c>
      <c r="K109" s="12"/>
      <c r="L109" s="12"/>
      <c r="M109" s="12"/>
      <c r="N109" s="12"/>
      <c r="O109" s="12"/>
      <c r="P109" s="12"/>
      <c r="Q109" s="12"/>
      <c r="R109" s="12"/>
      <c r="S109" s="12"/>
      <c r="T109" s="12"/>
      <c r="U109" s="12"/>
      <c r="V109" s="12"/>
      <c r="W109" s="12"/>
      <c r="X109" s="12"/>
      <c r="Y109" s="12"/>
      <c r="Z109" s="12"/>
      <c r="AA109" s="12"/>
      <c r="AB109" s="12"/>
      <c r="AC109" s="12"/>
      <c r="AD109" s="12"/>
      <c r="AE109" s="12"/>
      <c r="AF109" s="12"/>
      <c r="AG109" s="12"/>
      <c r="AH109" s="12"/>
      <c r="AI109" s="12"/>
      <c r="AJ109" s="12"/>
      <c r="AK109" s="12"/>
      <c r="AL109" s="12"/>
      <c r="AM109" s="12"/>
      <c r="AN109" s="12"/>
      <c r="AO109" s="12"/>
      <c r="AP109" s="12"/>
      <c r="AQ109" s="12"/>
      <c r="AR109" s="12"/>
      <c r="AS109" s="12"/>
      <c r="AT109" s="12"/>
      <c r="AU109" s="12"/>
      <c r="AV109" s="12"/>
      <c r="AW109" s="12"/>
      <c r="AX109" s="12"/>
      <c r="AY109" s="12"/>
      <c r="AZ109" s="12"/>
      <c r="BA109" s="12"/>
      <c r="BB109" s="12"/>
      <c r="BC109" s="12"/>
      <c r="BD109" s="12"/>
      <c r="BE109" s="12"/>
      <c r="BF109" s="12"/>
      <c r="BG109" s="12"/>
      <c r="BH109" s="12"/>
      <c r="BI109" s="12"/>
      <c r="BJ109" s="12"/>
      <c r="BK109" s="12"/>
      <c r="BL109" s="12"/>
      <c r="BM109" s="12"/>
      <c r="BN109" s="12"/>
      <c r="BO109" s="12"/>
      <c r="BP109" s="12"/>
      <c r="BQ109" s="12"/>
      <c r="BR109" s="12"/>
      <c r="BS109" s="12"/>
      <c r="BT109" s="12"/>
      <c r="BU109" s="12"/>
      <c r="BV109" s="12"/>
      <c r="BW109" s="12"/>
      <c r="BX109" s="12"/>
      <c r="BY109" s="12"/>
      <c r="BZ109" s="12"/>
      <c r="CA109" s="12"/>
      <c r="CB109" s="12"/>
      <c r="CC109" s="12"/>
      <c r="CD109" s="12"/>
      <c r="CE109" s="12"/>
      <c r="CF109" s="12"/>
      <c r="CG109" s="12"/>
      <c r="CH109" s="12"/>
      <c r="CI109" s="12"/>
      <c r="CJ109" s="12"/>
      <c r="CK109" s="12"/>
      <c r="CL109" s="12"/>
      <c r="CM109" s="12"/>
      <c r="CN109" s="12"/>
      <c r="CO109" s="12"/>
      <c r="CP109" s="12"/>
      <c r="CQ109" s="12"/>
      <c r="CR109" s="12"/>
      <c r="CS109" s="12"/>
      <c r="CT109" s="12"/>
      <c r="CU109" s="12"/>
      <c r="CV109" s="12"/>
      <c r="CW109" s="12"/>
      <c r="CX109" s="12"/>
      <c r="CY109" s="12"/>
      <c r="CZ109" s="12"/>
      <c r="DA109" s="12"/>
      <c r="DB109" s="12"/>
      <c r="DC109" s="12"/>
      <c r="DD109" s="12"/>
    </row>
    <row r="110" ht="22.5" customHeight="1">
      <c r="A110" s="10">
        <v>45986.4975274537</v>
      </c>
      <c r="B110" s="11" t="s">
        <v>501</v>
      </c>
      <c r="C110" s="11" t="s">
        <v>11</v>
      </c>
      <c r="D110" s="16">
        <v>45727.0</v>
      </c>
      <c r="E110" s="11" t="s">
        <v>590</v>
      </c>
      <c r="F110" s="15" t="s">
        <v>591</v>
      </c>
      <c r="G110" s="11" t="s">
        <v>592</v>
      </c>
      <c r="H110" s="11">
        <v>40000.0</v>
      </c>
      <c r="I110" s="11" t="s">
        <v>593</v>
      </c>
      <c r="J110" s="15" t="s">
        <v>594</v>
      </c>
      <c r="K110" s="12"/>
      <c r="L110" s="12"/>
      <c r="M110" s="12"/>
      <c r="N110" s="12"/>
      <c r="O110" s="12"/>
      <c r="P110" s="12"/>
      <c r="Q110" s="12"/>
      <c r="R110" s="12"/>
      <c r="S110" s="12"/>
      <c r="T110" s="12"/>
      <c r="U110" s="12"/>
      <c r="V110" s="12"/>
      <c r="W110" s="12"/>
      <c r="X110" s="12"/>
      <c r="Y110" s="12"/>
      <c r="Z110" s="12"/>
      <c r="AA110" s="12"/>
      <c r="AB110" s="12"/>
      <c r="AC110" s="12"/>
      <c r="AD110" s="12"/>
      <c r="AE110" s="12"/>
      <c r="AF110" s="12"/>
      <c r="AG110" s="12"/>
      <c r="AH110" s="12"/>
      <c r="AI110" s="12"/>
      <c r="AJ110" s="12"/>
      <c r="AK110" s="12"/>
      <c r="AL110" s="12"/>
      <c r="AM110" s="12"/>
      <c r="AN110" s="12"/>
      <c r="AO110" s="12"/>
      <c r="AP110" s="12"/>
      <c r="AQ110" s="12"/>
      <c r="AR110" s="12"/>
      <c r="AS110" s="12"/>
      <c r="AT110" s="12"/>
      <c r="AU110" s="12"/>
      <c r="AV110" s="12"/>
      <c r="AW110" s="12"/>
      <c r="AX110" s="12"/>
      <c r="AY110" s="12"/>
      <c r="AZ110" s="12"/>
      <c r="BA110" s="12"/>
      <c r="BB110" s="12"/>
      <c r="BC110" s="12"/>
      <c r="BD110" s="12"/>
      <c r="BE110" s="12"/>
      <c r="BF110" s="12"/>
      <c r="BG110" s="12"/>
      <c r="BH110" s="12"/>
      <c r="BI110" s="12"/>
      <c r="BJ110" s="12"/>
      <c r="BK110" s="12"/>
      <c r="BL110" s="12"/>
      <c r="BM110" s="12"/>
      <c r="BN110" s="12"/>
      <c r="BO110" s="12"/>
      <c r="BP110" s="12"/>
      <c r="BQ110" s="12"/>
      <c r="BR110" s="12"/>
      <c r="BS110" s="12"/>
      <c r="BT110" s="12"/>
      <c r="BU110" s="12"/>
      <c r="BV110" s="12"/>
      <c r="BW110" s="12"/>
      <c r="BX110" s="12"/>
      <c r="BY110" s="12"/>
      <c r="BZ110" s="12"/>
      <c r="CA110" s="12"/>
      <c r="CB110" s="12"/>
      <c r="CC110" s="12"/>
      <c r="CD110" s="12"/>
      <c r="CE110" s="12"/>
      <c r="CF110" s="12"/>
      <c r="CG110" s="12"/>
      <c r="CH110" s="12"/>
      <c r="CI110" s="12"/>
      <c r="CJ110" s="12"/>
      <c r="CK110" s="12"/>
      <c r="CL110" s="12"/>
      <c r="CM110" s="12"/>
      <c r="CN110" s="12"/>
      <c r="CO110" s="12"/>
      <c r="CP110" s="12"/>
      <c r="CQ110" s="12"/>
      <c r="CR110" s="12"/>
      <c r="CS110" s="12"/>
      <c r="CT110" s="12"/>
      <c r="CU110" s="12"/>
      <c r="CV110" s="12"/>
      <c r="CW110" s="12"/>
      <c r="CX110" s="12"/>
      <c r="CY110" s="12"/>
      <c r="CZ110" s="12"/>
      <c r="DA110" s="12"/>
      <c r="DB110" s="12"/>
      <c r="DC110" s="12"/>
      <c r="DD110" s="12"/>
    </row>
    <row r="111" ht="22.5" customHeight="1">
      <c r="A111" s="10">
        <v>45986.53470266204</v>
      </c>
      <c r="B111" s="11" t="s">
        <v>501</v>
      </c>
      <c r="C111" s="11" t="s">
        <v>11</v>
      </c>
      <c r="D111" s="16">
        <v>45666.0</v>
      </c>
      <c r="E111" s="11" t="s">
        <v>595</v>
      </c>
      <c r="F111" s="15" t="s">
        <v>596</v>
      </c>
      <c r="G111" s="11" t="s">
        <v>597</v>
      </c>
      <c r="H111" s="11" t="s">
        <v>505</v>
      </c>
      <c r="I111" s="11" t="s">
        <v>598</v>
      </c>
      <c r="J111" s="15" t="s">
        <v>599</v>
      </c>
      <c r="K111" s="12"/>
      <c r="L111" s="12"/>
      <c r="M111" s="12"/>
      <c r="N111" s="12"/>
      <c r="O111" s="12"/>
      <c r="P111" s="12"/>
      <c r="Q111" s="12"/>
      <c r="R111" s="12"/>
      <c r="S111" s="12"/>
      <c r="T111" s="12"/>
      <c r="U111" s="12"/>
      <c r="V111" s="12"/>
      <c r="W111" s="12"/>
      <c r="X111" s="12"/>
      <c r="Y111" s="12"/>
      <c r="Z111" s="12"/>
      <c r="AA111" s="12"/>
      <c r="AB111" s="12"/>
      <c r="AC111" s="12"/>
      <c r="AD111" s="12"/>
      <c r="AE111" s="12"/>
      <c r="AF111" s="12"/>
      <c r="AG111" s="12"/>
      <c r="AH111" s="12"/>
      <c r="AI111" s="12"/>
      <c r="AJ111" s="12"/>
      <c r="AK111" s="12"/>
      <c r="AL111" s="12"/>
      <c r="AM111" s="12"/>
      <c r="AN111" s="12"/>
      <c r="AO111" s="12"/>
      <c r="AP111" s="12"/>
      <c r="AQ111" s="12"/>
      <c r="AR111" s="12"/>
      <c r="AS111" s="12"/>
      <c r="AT111" s="12"/>
      <c r="AU111" s="12"/>
      <c r="AV111" s="12"/>
      <c r="AW111" s="12"/>
      <c r="AX111" s="12"/>
      <c r="AY111" s="12"/>
      <c r="AZ111" s="12"/>
      <c r="BA111" s="12"/>
      <c r="BB111" s="12"/>
      <c r="BC111" s="12"/>
      <c r="BD111" s="12"/>
      <c r="BE111" s="12"/>
      <c r="BF111" s="12"/>
      <c r="BG111" s="12"/>
      <c r="BH111" s="12"/>
      <c r="BI111" s="12"/>
      <c r="BJ111" s="12"/>
      <c r="BK111" s="12"/>
      <c r="BL111" s="12"/>
      <c r="BM111" s="12"/>
      <c r="BN111" s="12"/>
      <c r="BO111" s="12"/>
      <c r="BP111" s="12"/>
      <c r="BQ111" s="12"/>
      <c r="BR111" s="12"/>
      <c r="BS111" s="12"/>
      <c r="BT111" s="12"/>
      <c r="BU111" s="12"/>
      <c r="BV111" s="12"/>
      <c r="BW111" s="12"/>
      <c r="BX111" s="12"/>
      <c r="BY111" s="12"/>
      <c r="BZ111" s="12"/>
      <c r="CA111" s="12"/>
      <c r="CB111" s="12"/>
      <c r="CC111" s="12"/>
      <c r="CD111" s="12"/>
      <c r="CE111" s="12"/>
      <c r="CF111" s="12"/>
      <c r="CG111" s="12"/>
      <c r="CH111" s="12"/>
      <c r="CI111" s="12"/>
      <c r="CJ111" s="12"/>
      <c r="CK111" s="12"/>
      <c r="CL111" s="12"/>
      <c r="CM111" s="12"/>
      <c r="CN111" s="12"/>
      <c r="CO111" s="12"/>
      <c r="CP111" s="12"/>
      <c r="CQ111" s="12"/>
      <c r="CR111" s="12"/>
      <c r="CS111" s="12"/>
      <c r="CT111" s="12"/>
      <c r="CU111" s="12"/>
      <c r="CV111" s="12"/>
      <c r="CW111" s="12"/>
      <c r="CX111" s="12"/>
      <c r="CY111" s="12"/>
      <c r="CZ111" s="12"/>
      <c r="DA111" s="12"/>
      <c r="DB111" s="12"/>
      <c r="DC111" s="12"/>
      <c r="DD111" s="12"/>
    </row>
    <row r="112" ht="22.5" customHeight="1">
      <c r="A112" s="10">
        <v>45986.652158020835</v>
      </c>
      <c r="B112" s="11" t="s">
        <v>501</v>
      </c>
      <c r="C112" s="11" t="s">
        <v>11</v>
      </c>
      <c r="D112" s="16">
        <v>45504.0</v>
      </c>
      <c r="E112" s="15" t="s">
        <v>600</v>
      </c>
      <c r="F112" s="15" t="s">
        <v>601</v>
      </c>
      <c r="G112" s="11" t="s">
        <v>602</v>
      </c>
      <c r="H112" s="11" t="s">
        <v>603</v>
      </c>
      <c r="I112" s="11" t="s">
        <v>604</v>
      </c>
      <c r="J112" s="15" t="s">
        <v>605</v>
      </c>
      <c r="K112" s="12"/>
      <c r="L112" s="12"/>
      <c r="M112" s="12"/>
      <c r="N112" s="12"/>
      <c r="O112" s="12"/>
      <c r="P112" s="12"/>
      <c r="Q112" s="12"/>
      <c r="R112" s="12"/>
      <c r="S112" s="12"/>
      <c r="T112" s="12"/>
      <c r="U112" s="12"/>
      <c r="V112" s="12"/>
      <c r="W112" s="12"/>
      <c r="X112" s="12"/>
      <c r="Y112" s="12"/>
      <c r="Z112" s="12"/>
      <c r="AA112" s="12"/>
      <c r="AB112" s="12"/>
      <c r="AC112" s="12"/>
      <c r="AD112" s="12"/>
      <c r="AE112" s="12"/>
      <c r="AF112" s="12"/>
      <c r="AG112" s="12"/>
      <c r="AH112" s="12"/>
      <c r="AI112" s="12"/>
      <c r="AJ112" s="12"/>
      <c r="AK112" s="12"/>
      <c r="AL112" s="12"/>
      <c r="AM112" s="12"/>
      <c r="AN112" s="12"/>
      <c r="AO112" s="12"/>
      <c r="AP112" s="12"/>
      <c r="AQ112" s="12"/>
      <c r="AR112" s="12"/>
      <c r="AS112" s="12"/>
      <c r="AT112" s="12"/>
      <c r="AU112" s="12"/>
      <c r="AV112" s="12"/>
      <c r="AW112" s="12"/>
      <c r="AX112" s="12"/>
      <c r="AY112" s="12"/>
      <c r="AZ112" s="12"/>
      <c r="BA112" s="12"/>
      <c r="BB112" s="12"/>
      <c r="BC112" s="12"/>
      <c r="BD112" s="12"/>
      <c r="BE112" s="12"/>
      <c r="BF112" s="12"/>
      <c r="BG112" s="12"/>
      <c r="BH112" s="12"/>
      <c r="BI112" s="12"/>
      <c r="BJ112" s="12"/>
      <c r="BK112" s="12"/>
      <c r="BL112" s="12"/>
      <c r="BM112" s="12"/>
      <c r="BN112" s="12"/>
      <c r="BO112" s="12"/>
      <c r="BP112" s="12"/>
      <c r="BQ112" s="12"/>
      <c r="BR112" s="12"/>
      <c r="BS112" s="12"/>
      <c r="BT112" s="12"/>
      <c r="BU112" s="12"/>
      <c r="BV112" s="12"/>
      <c r="BW112" s="12"/>
      <c r="BX112" s="12"/>
      <c r="BY112" s="12"/>
      <c r="BZ112" s="12"/>
      <c r="CA112" s="12"/>
      <c r="CB112" s="12"/>
      <c r="CC112" s="12"/>
      <c r="CD112" s="12"/>
      <c r="CE112" s="12"/>
      <c r="CF112" s="12"/>
      <c r="CG112" s="12"/>
      <c r="CH112" s="12"/>
      <c r="CI112" s="12"/>
      <c r="CJ112" s="12"/>
      <c r="CK112" s="12"/>
      <c r="CL112" s="12"/>
      <c r="CM112" s="12"/>
      <c r="CN112" s="12"/>
      <c r="CO112" s="12"/>
      <c r="CP112" s="12"/>
      <c r="CQ112" s="12"/>
      <c r="CR112" s="12"/>
      <c r="CS112" s="12"/>
      <c r="CT112" s="12"/>
      <c r="CU112" s="12"/>
      <c r="CV112" s="12"/>
      <c r="CW112" s="12"/>
      <c r="CX112" s="12"/>
      <c r="CY112" s="12"/>
      <c r="CZ112" s="12"/>
      <c r="DA112" s="12"/>
      <c r="DB112" s="12"/>
      <c r="DC112" s="12"/>
      <c r="DD112" s="12"/>
    </row>
    <row r="113" ht="22.5" customHeight="1">
      <c r="A113" s="10">
        <v>45986.654937893516</v>
      </c>
      <c r="B113" s="11" t="s">
        <v>369</v>
      </c>
      <c r="C113" s="11" t="s">
        <v>1</v>
      </c>
      <c r="D113" s="12"/>
      <c r="E113" s="12"/>
      <c r="F113" s="12"/>
      <c r="G113" s="12"/>
      <c r="H113" s="12"/>
      <c r="I113" s="12"/>
      <c r="J113" s="12"/>
      <c r="K113" s="12"/>
      <c r="L113" s="12"/>
      <c r="M113" s="12"/>
      <c r="N113" s="12"/>
      <c r="O113" s="12"/>
      <c r="P113" s="12"/>
      <c r="Q113" s="12"/>
      <c r="R113" s="12"/>
      <c r="S113" s="12"/>
      <c r="T113" s="12"/>
      <c r="U113" s="12"/>
      <c r="V113" s="12"/>
      <c r="W113" s="12"/>
      <c r="X113" s="12"/>
      <c r="Y113" s="12"/>
      <c r="Z113" s="12"/>
      <c r="AA113" s="12"/>
      <c r="AB113" s="12"/>
      <c r="AC113" s="12"/>
      <c r="AD113" s="12"/>
      <c r="AE113" s="12"/>
      <c r="AF113" s="12"/>
      <c r="AG113" s="12"/>
      <c r="AH113" s="12"/>
      <c r="AI113" s="12"/>
      <c r="AJ113" s="12"/>
      <c r="AK113" s="12"/>
      <c r="AL113" s="12"/>
      <c r="AM113" s="12"/>
      <c r="AN113" s="12"/>
      <c r="AO113" s="12"/>
      <c r="AP113" s="12"/>
      <c r="AQ113" s="12"/>
      <c r="AR113" s="12"/>
      <c r="AS113" s="12"/>
      <c r="AT113" s="12"/>
      <c r="AU113" s="12"/>
      <c r="AV113" s="12"/>
      <c r="AW113" s="12"/>
      <c r="AX113" s="12"/>
      <c r="AY113" s="12"/>
      <c r="AZ113" s="12"/>
      <c r="BA113" s="12"/>
      <c r="BB113" s="12"/>
      <c r="BC113" s="12"/>
      <c r="BD113" s="12"/>
      <c r="BE113" s="12"/>
      <c r="BF113" s="12"/>
      <c r="BG113" s="12"/>
      <c r="BH113" s="12"/>
      <c r="BI113" s="12"/>
      <c r="BJ113" s="12"/>
      <c r="BK113" s="12"/>
      <c r="BL113" s="12"/>
      <c r="BM113" s="12"/>
      <c r="BN113" s="12"/>
      <c r="BO113" s="12"/>
      <c r="BP113" s="12"/>
      <c r="BQ113" s="12"/>
      <c r="BR113" s="12"/>
      <c r="BS113" s="12"/>
      <c r="BT113" s="12"/>
      <c r="BU113" s="12"/>
      <c r="BV113" s="12"/>
      <c r="BW113" s="12"/>
      <c r="BX113" s="12"/>
      <c r="BY113" s="12"/>
      <c r="BZ113" s="12"/>
      <c r="CA113" s="12"/>
      <c r="CB113" s="12"/>
      <c r="CC113" s="12"/>
      <c r="CD113" s="12"/>
      <c r="CE113" s="12"/>
      <c r="CF113" s="12"/>
      <c r="CG113" s="12"/>
      <c r="CH113" s="17"/>
      <c r="CI113" s="17"/>
      <c r="CJ113" s="12"/>
      <c r="CK113" s="12"/>
      <c r="CL113" s="12"/>
      <c r="CM113" s="12"/>
      <c r="CN113" s="12"/>
      <c r="CO113" s="12"/>
      <c r="CP113" s="12"/>
      <c r="CQ113" s="12"/>
      <c r="CR113" s="12"/>
      <c r="CS113" s="12"/>
      <c r="CT113" s="12"/>
      <c r="CU113" s="16">
        <v>45691.0</v>
      </c>
      <c r="CV113" s="11" t="s">
        <v>157</v>
      </c>
      <c r="CW113" s="11" t="s">
        <v>606</v>
      </c>
      <c r="CX113" s="11" t="s">
        <v>607</v>
      </c>
      <c r="CY113" s="11" t="s">
        <v>608</v>
      </c>
      <c r="CZ113" s="11" t="s">
        <v>403</v>
      </c>
      <c r="DA113" s="11" t="s">
        <v>334</v>
      </c>
      <c r="DB113" s="11" t="s">
        <v>267</v>
      </c>
      <c r="DC113" s="15" t="s">
        <v>609</v>
      </c>
      <c r="DD113" s="17"/>
    </row>
    <row r="114" ht="22.5" customHeight="1">
      <c r="A114" s="10">
        <v>45986.6552672338</v>
      </c>
      <c r="B114" s="11" t="s">
        <v>501</v>
      </c>
      <c r="C114" s="11" t="s">
        <v>11</v>
      </c>
      <c r="D114" s="16">
        <v>45569.0</v>
      </c>
      <c r="E114" s="15" t="s">
        <v>600</v>
      </c>
      <c r="F114" s="15" t="s">
        <v>610</v>
      </c>
      <c r="G114" s="11" t="s">
        <v>611</v>
      </c>
      <c r="H114" s="11" t="s">
        <v>612</v>
      </c>
      <c r="I114" s="11" t="s">
        <v>613</v>
      </c>
      <c r="J114" s="15" t="s">
        <v>614</v>
      </c>
      <c r="K114" s="12"/>
      <c r="L114" s="12"/>
      <c r="M114" s="12"/>
      <c r="N114" s="12"/>
      <c r="O114" s="12"/>
      <c r="P114" s="12"/>
      <c r="Q114" s="12"/>
      <c r="R114" s="12"/>
      <c r="S114" s="12"/>
      <c r="T114" s="12"/>
      <c r="U114" s="12"/>
      <c r="V114" s="12"/>
      <c r="W114" s="12"/>
      <c r="X114" s="12"/>
      <c r="Y114" s="12"/>
      <c r="Z114" s="12"/>
      <c r="AA114" s="12"/>
      <c r="AB114" s="12"/>
      <c r="AC114" s="12"/>
      <c r="AD114" s="12"/>
      <c r="AE114" s="12"/>
      <c r="AF114" s="12"/>
      <c r="AG114" s="12"/>
      <c r="AH114" s="12"/>
      <c r="AI114" s="12"/>
      <c r="AJ114" s="12"/>
      <c r="AK114" s="12"/>
      <c r="AL114" s="12"/>
      <c r="AM114" s="12"/>
      <c r="AN114" s="12"/>
      <c r="AO114" s="12"/>
      <c r="AP114" s="12"/>
      <c r="AQ114" s="12"/>
      <c r="AR114" s="12"/>
      <c r="AS114" s="12"/>
      <c r="AT114" s="12"/>
      <c r="AU114" s="12"/>
      <c r="AV114" s="12"/>
      <c r="AW114" s="12"/>
      <c r="AX114" s="12"/>
      <c r="AY114" s="12"/>
      <c r="AZ114" s="12"/>
      <c r="BA114" s="12"/>
      <c r="BB114" s="12"/>
      <c r="BC114" s="12"/>
      <c r="BD114" s="12"/>
      <c r="BE114" s="12"/>
      <c r="BF114" s="12"/>
      <c r="BG114" s="12"/>
      <c r="BH114" s="12"/>
      <c r="BI114" s="12"/>
      <c r="BJ114" s="12"/>
      <c r="BK114" s="12"/>
      <c r="BL114" s="12"/>
      <c r="BM114" s="12"/>
      <c r="BN114" s="12"/>
      <c r="BO114" s="12"/>
      <c r="BP114" s="12"/>
      <c r="BQ114" s="12"/>
      <c r="BR114" s="12"/>
      <c r="BS114" s="12"/>
      <c r="BT114" s="12"/>
      <c r="BU114" s="12"/>
      <c r="BV114" s="12"/>
      <c r="BW114" s="12"/>
      <c r="BX114" s="12"/>
      <c r="BY114" s="12"/>
      <c r="BZ114" s="12"/>
      <c r="CA114" s="12"/>
      <c r="CB114" s="12"/>
      <c r="CC114" s="12"/>
      <c r="CD114" s="12"/>
      <c r="CE114" s="12"/>
      <c r="CF114" s="12"/>
      <c r="CG114" s="12"/>
      <c r="CH114" s="12"/>
      <c r="CI114" s="12"/>
      <c r="CJ114" s="12"/>
      <c r="CK114" s="12"/>
      <c r="CL114" s="12"/>
      <c r="CM114" s="12"/>
      <c r="CN114" s="12"/>
      <c r="CO114" s="12"/>
      <c r="CP114" s="12"/>
      <c r="CQ114" s="12"/>
      <c r="CR114" s="12"/>
      <c r="CS114" s="12"/>
      <c r="CT114" s="12"/>
      <c r="CU114" s="12"/>
      <c r="CV114" s="12"/>
      <c r="CW114" s="12"/>
      <c r="CX114" s="12"/>
      <c r="CY114" s="12"/>
      <c r="CZ114" s="12"/>
      <c r="DA114" s="12"/>
      <c r="DB114" s="12"/>
      <c r="DC114" s="12"/>
      <c r="DD114" s="12"/>
    </row>
    <row r="115" ht="22.5" customHeight="1">
      <c r="A115" s="10">
        <v>45986.6577137037</v>
      </c>
      <c r="B115" s="11" t="s">
        <v>501</v>
      </c>
      <c r="C115" s="11" t="s">
        <v>11</v>
      </c>
      <c r="D115" s="16">
        <v>45594.0</v>
      </c>
      <c r="E115" s="11" t="s">
        <v>615</v>
      </c>
      <c r="F115" s="15" t="s">
        <v>616</v>
      </c>
      <c r="G115" s="11" t="s">
        <v>617</v>
      </c>
      <c r="H115" s="11" t="s">
        <v>612</v>
      </c>
      <c r="I115" s="11" t="s">
        <v>618</v>
      </c>
      <c r="J115" s="15" t="s">
        <v>619</v>
      </c>
      <c r="K115" s="12"/>
      <c r="L115" s="12"/>
      <c r="M115" s="12"/>
      <c r="N115" s="12"/>
      <c r="O115" s="12"/>
      <c r="P115" s="12"/>
      <c r="Q115" s="12"/>
      <c r="R115" s="12"/>
      <c r="S115" s="12"/>
      <c r="T115" s="12"/>
      <c r="U115" s="12"/>
      <c r="V115" s="12"/>
      <c r="W115" s="12"/>
      <c r="X115" s="12"/>
      <c r="Y115" s="12"/>
      <c r="Z115" s="12"/>
      <c r="AA115" s="12"/>
      <c r="AB115" s="12"/>
      <c r="AC115" s="12"/>
      <c r="AD115" s="12"/>
      <c r="AE115" s="12"/>
      <c r="AF115" s="12"/>
      <c r="AG115" s="12"/>
      <c r="AH115" s="12"/>
      <c r="AI115" s="12"/>
      <c r="AJ115" s="12"/>
      <c r="AK115" s="12"/>
      <c r="AL115" s="12"/>
      <c r="AM115" s="12"/>
      <c r="AN115" s="12"/>
      <c r="AO115" s="12"/>
      <c r="AP115" s="12"/>
      <c r="AQ115" s="12"/>
      <c r="AR115" s="12"/>
      <c r="AS115" s="12"/>
      <c r="AT115" s="12"/>
      <c r="AU115" s="12"/>
      <c r="AV115" s="12"/>
      <c r="AW115" s="12"/>
      <c r="AX115" s="12"/>
      <c r="AY115" s="12"/>
      <c r="AZ115" s="12"/>
      <c r="BA115" s="12"/>
      <c r="BB115" s="12"/>
      <c r="BC115" s="12"/>
      <c r="BD115" s="12"/>
      <c r="BE115" s="12"/>
      <c r="BF115" s="12"/>
      <c r="BG115" s="12"/>
      <c r="BH115" s="12"/>
      <c r="BI115" s="12"/>
      <c r="BJ115" s="12"/>
      <c r="BK115" s="12"/>
      <c r="BL115" s="12"/>
      <c r="BM115" s="12"/>
      <c r="BN115" s="12"/>
      <c r="BO115" s="12"/>
      <c r="BP115" s="12"/>
      <c r="BQ115" s="12"/>
      <c r="BR115" s="12"/>
      <c r="BS115" s="12"/>
      <c r="BT115" s="12"/>
      <c r="BU115" s="12"/>
      <c r="BV115" s="12"/>
      <c r="BW115" s="12"/>
      <c r="BX115" s="12"/>
      <c r="BY115" s="12"/>
      <c r="BZ115" s="12"/>
      <c r="CA115" s="12"/>
      <c r="CB115" s="12"/>
      <c r="CC115" s="12"/>
      <c r="CD115" s="12"/>
      <c r="CE115" s="12"/>
      <c r="CF115" s="12"/>
      <c r="CG115" s="12"/>
      <c r="CH115" s="12"/>
      <c r="CI115" s="12"/>
      <c r="CJ115" s="12"/>
      <c r="CK115" s="12"/>
      <c r="CL115" s="12"/>
      <c r="CM115" s="12"/>
      <c r="CN115" s="12"/>
      <c r="CO115" s="12"/>
      <c r="CP115" s="12"/>
      <c r="CQ115" s="12"/>
      <c r="CR115" s="12"/>
      <c r="CS115" s="12"/>
      <c r="CT115" s="12"/>
      <c r="CU115" s="12"/>
      <c r="CV115" s="12"/>
      <c r="CW115" s="12"/>
      <c r="CX115" s="12"/>
      <c r="CY115" s="12"/>
      <c r="CZ115" s="12"/>
      <c r="DA115" s="12"/>
      <c r="DB115" s="12"/>
      <c r="DC115" s="12"/>
      <c r="DD115" s="12"/>
    </row>
    <row r="116" ht="22.5" customHeight="1">
      <c r="A116" s="10">
        <v>45986.65794207176</v>
      </c>
      <c r="B116" s="11" t="s">
        <v>369</v>
      </c>
      <c r="C116" s="11" t="s">
        <v>1</v>
      </c>
      <c r="D116" s="12"/>
      <c r="E116" s="12"/>
      <c r="F116" s="12"/>
      <c r="G116" s="12"/>
      <c r="H116" s="12"/>
      <c r="I116" s="12"/>
      <c r="J116" s="12"/>
      <c r="K116" s="12"/>
      <c r="L116" s="12"/>
      <c r="M116" s="12"/>
      <c r="N116" s="12"/>
      <c r="O116" s="12"/>
      <c r="P116" s="12"/>
      <c r="Q116" s="12"/>
      <c r="R116" s="12"/>
      <c r="S116" s="12"/>
      <c r="T116" s="12"/>
      <c r="U116" s="12"/>
      <c r="V116" s="12"/>
      <c r="W116" s="12"/>
      <c r="X116" s="12"/>
      <c r="Y116" s="12"/>
      <c r="Z116" s="12"/>
      <c r="AA116" s="12"/>
      <c r="AB116" s="12"/>
      <c r="AC116" s="12"/>
      <c r="AD116" s="12"/>
      <c r="AE116" s="12"/>
      <c r="AF116" s="12"/>
      <c r="AG116" s="12"/>
      <c r="AH116" s="12"/>
      <c r="AI116" s="12"/>
      <c r="AJ116" s="12"/>
      <c r="AK116" s="12"/>
      <c r="AL116" s="12"/>
      <c r="AM116" s="12"/>
      <c r="AN116" s="12"/>
      <c r="AO116" s="12"/>
      <c r="AP116" s="12"/>
      <c r="AQ116" s="12"/>
      <c r="AR116" s="12"/>
      <c r="AS116" s="12"/>
      <c r="AT116" s="12"/>
      <c r="AU116" s="12"/>
      <c r="AV116" s="12"/>
      <c r="AW116" s="12"/>
      <c r="AX116" s="12"/>
      <c r="AY116" s="12"/>
      <c r="AZ116" s="12"/>
      <c r="BA116" s="12"/>
      <c r="BB116" s="12"/>
      <c r="BC116" s="12"/>
      <c r="BD116" s="12"/>
      <c r="BE116" s="12"/>
      <c r="BF116" s="12"/>
      <c r="BG116" s="12"/>
      <c r="BH116" s="12"/>
      <c r="BI116" s="12"/>
      <c r="BJ116" s="12"/>
      <c r="BK116" s="12"/>
      <c r="BL116" s="12"/>
      <c r="BM116" s="12"/>
      <c r="BN116" s="12"/>
      <c r="BO116" s="12"/>
      <c r="BP116" s="12"/>
      <c r="BQ116" s="12"/>
      <c r="BR116" s="12"/>
      <c r="BS116" s="12"/>
      <c r="BT116" s="12"/>
      <c r="BU116" s="12"/>
      <c r="BV116" s="12"/>
      <c r="BW116" s="12"/>
      <c r="BX116" s="12"/>
      <c r="BY116" s="12"/>
      <c r="BZ116" s="12"/>
      <c r="CA116" s="12"/>
      <c r="CB116" s="12"/>
      <c r="CC116" s="12"/>
      <c r="CD116" s="12"/>
      <c r="CE116" s="12"/>
      <c r="CF116" s="12"/>
      <c r="CG116" s="12"/>
      <c r="CH116" s="17"/>
      <c r="CI116" s="17"/>
      <c r="CJ116" s="12"/>
      <c r="CK116" s="12"/>
      <c r="CL116" s="12"/>
      <c r="CM116" s="12"/>
      <c r="CN116" s="12"/>
      <c r="CO116" s="12"/>
      <c r="CP116" s="12"/>
      <c r="CQ116" s="12"/>
      <c r="CR116" s="12"/>
      <c r="CS116" s="12"/>
      <c r="CT116" s="12"/>
      <c r="CU116" s="16">
        <v>45691.0</v>
      </c>
      <c r="CV116" s="11" t="s">
        <v>157</v>
      </c>
      <c r="CW116" s="11" t="s">
        <v>620</v>
      </c>
      <c r="CX116" s="11" t="s">
        <v>607</v>
      </c>
      <c r="CY116" s="11" t="s">
        <v>621</v>
      </c>
      <c r="CZ116" s="11" t="s">
        <v>403</v>
      </c>
      <c r="DA116" s="11" t="s">
        <v>334</v>
      </c>
      <c r="DB116" s="11" t="s">
        <v>267</v>
      </c>
      <c r="DC116" s="15" t="s">
        <v>622</v>
      </c>
      <c r="DD116" s="17"/>
    </row>
    <row r="117" ht="22.5" customHeight="1">
      <c r="A117" s="10">
        <v>45986.65947483796</v>
      </c>
      <c r="B117" s="11" t="s">
        <v>369</v>
      </c>
      <c r="C117" s="11" t="s">
        <v>1</v>
      </c>
      <c r="D117" s="12"/>
      <c r="E117" s="12"/>
      <c r="F117" s="12"/>
      <c r="G117" s="12"/>
      <c r="H117" s="12"/>
      <c r="I117" s="12"/>
      <c r="J117" s="12"/>
      <c r="K117" s="12"/>
      <c r="L117" s="12"/>
      <c r="M117" s="12"/>
      <c r="N117" s="12"/>
      <c r="O117" s="12"/>
      <c r="P117" s="12"/>
      <c r="Q117" s="12"/>
      <c r="R117" s="12"/>
      <c r="S117" s="12"/>
      <c r="T117" s="12"/>
      <c r="U117" s="12"/>
      <c r="V117" s="12"/>
      <c r="W117" s="12"/>
      <c r="X117" s="12"/>
      <c r="Y117" s="12"/>
      <c r="Z117" s="12"/>
      <c r="AA117" s="12"/>
      <c r="AB117" s="12"/>
      <c r="AC117" s="12"/>
      <c r="AD117" s="12"/>
      <c r="AE117" s="12"/>
      <c r="AF117" s="12"/>
      <c r="AG117" s="12"/>
      <c r="AH117" s="12"/>
      <c r="AI117" s="12"/>
      <c r="AJ117" s="12"/>
      <c r="AK117" s="12"/>
      <c r="AL117" s="12"/>
      <c r="AM117" s="12"/>
      <c r="AN117" s="12"/>
      <c r="AO117" s="12"/>
      <c r="AP117" s="12"/>
      <c r="AQ117" s="12"/>
      <c r="AR117" s="12"/>
      <c r="AS117" s="12"/>
      <c r="AT117" s="12"/>
      <c r="AU117" s="12"/>
      <c r="AV117" s="12"/>
      <c r="AW117" s="12"/>
      <c r="AX117" s="12"/>
      <c r="AY117" s="12"/>
      <c r="AZ117" s="12"/>
      <c r="BA117" s="12"/>
      <c r="BB117" s="12"/>
      <c r="BC117" s="12"/>
      <c r="BD117" s="12"/>
      <c r="BE117" s="12"/>
      <c r="BF117" s="12"/>
      <c r="BG117" s="12"/>
      <c r="BH117" s="12"/>
      <c r="BI117" s="12"/>
      <c r="BJ117" s="12"/>
      <c r="BK117" s="12"/>
      <c r="BL117" s="12"/>
      <c r="BM117" s="12"/>
      <c r="BN117" s="12"/>
      <c r="BO117" s="12"/>
      <c r="BP117" s="12"/>
      <c r="BQ117" s="12"/>
      <c r="BR117" s="12"/>
      <c r="BS117" s="12"/>
      <c r="BT117" s="12"/>
      <c r="BU117" s="12"/>
      <c r="BV117" s="12"/>
      <c r="BW117" s="12"/>
      <c r="BX117" s="12"/>
      <c r="BY117" s="12"/>
      <c r="BZ117" s="12"/>
      <c r="CA117" s="12"/>
      <c r="CB117" s="12"/>
      <c r="CC117" s="12"/>
      <c r="CD117" s="12"/>
      <c r="CE117" s="12"/>
      <c r="CF117" s="12"/>
      <c r="CG117" s="12"/>
      <c r="CH117" s="17"/>
      <c r="CI117" s="17"/>
      <c r="CJ117" s="12"/>
      <c r="CK117" s="12"/>
      <c r="CL117" s="12"/>
      <c r="CM117" s="12"/>
      <c r="CN117" s="12"/>
      <c r="CO117" s="12"/>
      <c r="CP117" s="12"/>
      <c r="CQ117" s="12"/>
      <c r="CR117" s="12"/>
      <c r="CS117" s="12"/>
      <c r="CT117" s="12"/>
      <c r="CU117" s="16">
        <v>45691.0</v>
      </c>
      <c r="CV117" s="11" t="s">
        <v>157</v>
      </c>
      <c r="CW117" s="11" t="s">
        <v>623</v>
      </c>
      <c r="CX117" s="11" t="s">
        <v>607</v>
      </c>
      <c r="CY117" s="11" t="s">
        <v>624</v>
      </c>
      <c r="CZ117" s="11" t="s">
        <v>403</v>
      </c>
      <c r="DA117" s="11" t="s">
        <v>334</v>
      </c>
      <c r="DB117" s="11" t="s">
        <v>267</v>
      </c>
      <c r="DC117" s="15" t="s">
        <v>625</v>
      </c>
      <c r="DD117" s="17"/>
    </row>
    <row r="118" ht="22.5" customHeight="1">
      <c r="A118" s="10">
        <v>45986.659533611106</v>
      </c>
      <c r="B118" s="11" t="s">
        <v>501</v>
      </c>
      <c r="C118" s="11" t="s">
        <v>11</v>
      </c>
      <c r="D118" s="16">
        <v>45556.0</v>
      </c>
      <c r="E118" s="11" t="s">
        <v>615</v>
      </c>
      <c r="F118" s="15" t="s">
        <v>626</v>
      </c>
      <c r="G118" s="11" t="s">
        <v>627</v>
      </c>
      <c r="H118" s="11" t="s">
        <v>612</v>
      </c>
      <c r="I118" s="11" t="s">
        <v>628</v>
      </c>
      <c r="J118" s="15" t="s">
        <v>629</v>
      </c>
      <c r="K118" s="12"/>
      <c r="L118" s="12"/>
      <c r="M118" s="12"/>
      <c r="N118" s="12"/>
      <c r="O118" s="12"/>
      <c r="P118" s="12"/>
      <c r="Q118" s="12"/>
      <c r="R118" s="12"/>
      <c r="S118" s="12"/>
      <c r="T118" s="12"/>
      <c r="U118" s="12"/>
      <c r="V118" s="12"/>
      <c r="W118" s="12"/>
      <c r="X118" s="12"/>
      <c r="Y118" s="12"/>
      <c r="Z118" s="12"/>
      <c r="AA118" s="12"/>
      <c r="AB118" s="12"/>
      <c r="AC118" s="12"/>
      <c r="AD118" s="12"/>
      <c r="AE118" s="12"/>
      <c r="AF118" s="12"/>
      <c r="AG118" s="12"/>
      <c r="AH118" s="12"/>
      <c r="AI118" s="12"/>
      <c r="AJ118" s="12"/>
      <c r="AK118" s="12"/>
      <c r="AL118" s="12"/>
      <c r="AM118" s="12"/>
      <c r="AN118" s="12"/>
      <c r="AO118" s="12"/>
      <c r="AP118" s="12"/>
      <c r="AQ118" s="12"/>
      <c r="AR118" s="12"/>
      <c r="AS118" s="12"/>
      <c r="AT118" s="12"/>
      <c r="AU118" s="12"/>
      <c r="AV118" s="12"/>
      <c r="AW118" s="12"/>
      <c r="AX118" s="12"/>
      <c r="AY118" s="12"/>
      <c r="AZ118" s="12"/>
      <c r="BA118" s="12"/>
      <c r="BB118" s="12"/>
      <c r="BC118" s="12"/>
      <c r="BD118" s="12"/>
      <c r="BE118" s="12"/>
      <c r="BF118" s="12"/>
      <c r="BG118" s="12"/>
      <c r="BH118" s="12"/>
      <c r="BI118" s="12"/>
      <c r="BJ118" s="12"/>
      <c r="BK118" s="12"/>
      <c r="BL118" s="12"/>
      <c r="BM118" s="12"/>
      <c r="BN118" s="12"/>
      <c r="BO118" s="12"/>
      <c r="BP118" s="12"/>
      <c r="BQ118" s="12"/>
      <c r="BR118" s="12"/>
      <c r="BS118" s="12"/>
      <c r="BT118" s="12"/>
      <c r="BU118" s="12"/>
      <c r="BV118" s="12"/>
      <c r="BW118" s="12"/>
      <c r="BX118" s="12"/>
      <c r="BY118" s="12"/>
      <c r="BZ118" s="12"/>
      <c r="CA118" s="12"/>
      <c r="CB118" s="12"/>
      <c r="CC118" s="12"/>
      <c r="CD118" s="12"/>
      <c r="CE118" s="12"/>
      <c r="CF118" s="12"/>
      <c r="CG118" s="12"/>
      <c r="CH118" s="12"/>
      <c r="CI118" s="12"/>
      <c r="CJ118" s="12"/>
      <c r="CK118" s="12"/>
      <c r="CL118" s="12"/>
      <c r="CM118" s="12"/>
      <c r="CN118" s="12"/>
      <c r="CO118" s="12"/>
      <c r="CP118" s="12"/>
      <c r="CQ118" s="12"/>
      <c r="CR118" s="12"/>
      <c r="CS118" s="12"/>
      <c r="CT118" s="12"/>
      <c r="CU118" s="12"/>
      <c r="CV118" s="12"/>
      <c r="CW118" s="12"/>
      <c r="CX118" s="12"/>
      <c r="CY118" s="12"/>
      <c r="CZ118" s="12"/>
      <c r="DA118" s="12"/>
      <c r="DB118" s="12"/>
      <c r="DC118" s="12"/>
      <c r="DD118" s="12"/>
    </row>
    <row r="119" ht="22.5" customHeight="1">
      <c r="A119" s="10">
        <v>45986.661480532406</v>
      </c>
      <c r="B119" s="11" t="s">
        <v>501</v>
      </c>
      <c r="C119" s="11" t="s">
        <v>11</v>
      </c>
      <c r="D119" s="16">
        <v>45552.0</v>
      </c>
      <c r="E119" s="11" t="s">
        <v>615</v>
      </c>
      <c r="F119" s="15" t="s">
        <v>630</v>
      </c>
      <c r="G119" s="11" t="s">
        <v>631</v>
      </c>
      <c r="H119" s="11" t="s">
        <v>612</v>
      </c>
      <c r="I119" s="11" t="s">
        <v>632</v>
      </c>
      <c r="J119" s="15" t="s">
        <v>633</v>
      </c>
      <c r="K119" s="12"/>
      <c r="L119" s="12"/>
      <c r="M119" s="12"/>
      <c r="N119" s="12"/>
      <c r="O119" s="12"/>
      <c r="P119" s="12"/>
      <c r="Q119" s="12"/>
      <c r="R119" s="12"/>
      <c r="S119" s="12"/>
      <c r="T119" s="12"/>
      <c r="U119" s="12"/>
      <c r="V119" s="12"/>
      <c r="W119" s="12"/>
      <c r="X119" s="12"/>
      <c r="Y119" s="12"/>
      <c r="Z119" s="12"/>
      <c r="AA119" s="12"/>
      <c r="AB119" s="12"/>
      <c r="AC119" s="12"/>
      <c r="AD119" s="12"/>
      <c r="AE119" s="12"/>
      <c r="AF119" s="12"/>
      <c r="AG119" s="12"/>
      <c r="AH119" s="12"/>
      <c r="AI119" s="12"/>
      <c r="AJ119" s="12"/>
      <c r="AK119" s="12"/>
      <c r="AL119" s="12"/>
      <c r="AM119" s="12"/>
      <c r="AN119" s="12"/>
      <c r="AO119" s="12"/>
      <c r="AP119" s="12"/>
      <c r="AQ119" s="12"/>
      <c r="AR119" s="12"/>
      <c r="AS119" s="12"/>
      <c r="AT119" s="12"/>
      <c r="AU119" s="12"/>
      <c r="AV119" s="12"/>
      <c r="AW119" s="12"/>
      <c r="AX119" s="12"/>
      <c r="AY119" s="12"/>
      <c r="AZ119" s="12"/>
      <c r="BA119" s="12"/>
      <c r="BB119" s="12"/>
      <c r="BC119" s="12"/>
      <c r="BD119" s="12"/>
      <c r="BE119" s="12"/>
      <c r="BF119" s="12"/>
      <c r="BG119" s="12"/>
      <c r="BH119" s="12"/>
      <c r="BI119" s="12"/>
      <c r="BJ119" s="12"/>
      <c r="BK119" s="12"/>
      <c r="BL119" s="12"/>
      <c r="BM119" s="12"/>
      <c r="BN119" s="12"/>
      <c r="BO119" s="12"/>
      <c r="BP119" s="12"/>
      <c r="BQ119" s="12"/>
      <c r="BR119" s="12"/>
      <c r="BS119" s="12"/>
      <c r="BT119" s="12"/>
      <c r="BU119" s="12"/>
      <c r="BV119" s="12"/>
      <c r="BW119" s="12"/>
      <c r="BX119" s="12"/>
      <c r="BY119" s="12"/>
      <c r="BZ119" s="12"/>
      <c r="CA119" s="12"/>
      <c r="CB119" s="12"/>
      <c r="CC119" s="12"/>
      <c r="CD119" s="12"/>
      <c r="CE119" s="12"/>
      <c r="CF119" s="12"/>
      <c r="CG119" s="12"/>
      <c r="CH119" s="12"/>
      <c r="CI119" s="12"/>
      <c r="CJ119" s="12"/>
      <c r="CK119" s="12"/>
      <c r="CL119" s="12"/>
      <c r="CM119" s="12"/>
      <c r="CN119" s="12"/>
      <c r="CO119" s="12"/>
      <c r="CP119" s="12"/>
      <c r="CQ119" s="12"/>
      <c r="CR119" s="12"/>
      <c r="CS119" s="12"/>
      <c r="CT119" s="12"/>
      <c r="CU119" s="12"/>
      <c r="CV119" s="12"/>
      <c r="CW119" s="12"/>
      <c r="CX119" s="12"/>
      <c r="CY119" s="12"/>
      <c r="CZ119" s="12"/>
      <c r="DA119" s="12"/>
      <c r="DB119" s="12"/>
      <c r="DC119" s="12"/>
      <c r="DD119" s="12"/>
    </row>
    <row r="120" ht="22.5" customHeight="1">
      <c r="A120" s="10">
        <v>45986.662636967594</v>
      </c>
      <c r="B120" s="11" t="s">
        <v>207</v>
      </c>
      <c r="C120" s="11" t="s">
        <v>6</v>
      </c>
      <c r="D120" s="12"/>
      <c r="E120" s="12"/>
      <c r="F120" s="12"/>
      <c r="G120" s="12"/>
      <c r="H120" s="12"/>
      <c r="I120" s="12"/>
      <c r="J120" s="12"/>
      <c r="K120" s="12"/>
      <c r="L120" s="12"/>
      <c r="M120" s="12"/>
      <c r="N120" s="12"/>
      <c r="O120" s="12"/>
      <c r="P120" s="12"/>
      <c r="Q120" s="12"/>
      <c r="R120" s="12"/>
      <c r="S120" s="12"/>
      <c r="T120" s="12"/>
      <c r="U120" s="12"/>
      <c r="V120" s="12"/>
      <c r="W120" s="12"/>
      <c r="X120" s="12"/>
      <c r="Y120" s="12"/>
      <c r="Z120" s="12"/>
      <c r="AA120" s="12"/>
      <c r="AB120" s="12"/>
      <c r="AC120" s="12"/>
      <c r="AD120" s="12"/>
      <c r="AE120" s="12"/>
      <c r="AF120" s="12"/>
      <c r="AG120" s="12"/>
      <c r="AH120" s="12"/>
      <c r="AI120" s="12"/>
      <c r="AJ120" s="12"/>
      <c r="AK120" s="12"/>
      <c r="AL120" s="12"/>
      <c r="AM120" s="12"/>
      <c r="AN120" s="12"/>
      <c r="AO120" s="12"/>
      <c r="AP120" s="12"/>
      <c r="AQ120" s="12"/>
      <c r="AR120" s="12"/>
      <c r="AS120" s="12"/>
      <c r="AT120" s="12"/>
      <c r="AU120" s="12"/>
      <c r="AV120" s="12"/>
      <c r="AW120" s="12"/>
      <c r="AX120" s="12"/>
      <c r="AY120" s="12"/>
      <c r="AZ120" s="16">
        <v>45146.0</v>
      </c>
      <c r="BA120" s="11" t="s">
        <v>634</v>
      </c>
      <c r="BB120" s="11" t="s">
        <v>635</v>
      </c>
      <c r="BC120" s="11" t="s">
        <v>305</v>
      </c>
      <c r="BD120" s="16">
        <v>45184.0</v>
      </c>
      <c r="BE120" s="11" t="s">
        <v>122</v>
      </c>
      <c r="BF120" s="11" t="s">
        <v>636</v>
      </c>
      <c r="BG120" s="11" t="s">
        <v>637</v>
      </c>
      <c r="BH120" s="11" t="s">
        <v>212</v>
      </c>
      <c r="BI120" s="11" t="s">
        <v>294</v>
      </c>
      <c r="BJ120" s="11" t="s">
        <v>214</v>
      </c>
      <c r="BK120" s="15" t="s">
        <v>638</v>
      </c>
      <c r="BL120" s="12"/>
      <c r="BM120" s="12"/>
      <c r="BN120" s="12"/>
      <c r="BO120" s="12"/>
      <c r="BP120" s="12"/>
      <c r="BQ120" s="12"/>
      <c r="BR120" s="12"/>
      <c r="BS120" s="12"/>
      <c r="BT120" s="12"/>
      <c r="BU120" s="12"/>
      <c r="BV120" s="12"/>
      <c r="BW120" s="12"/>
      <c r="BX120" s="12"/>
      <c r="BY120" s="12"/>
      <c r="BZ120" s="12"/>
      <c r="CA120" s="12"/>
      <c r="CB120" s="12"/>
      <c r="CC120" s="12"/>
      <c r="CD120" s="12"/>
      <c r="CE120" s="12"/>
      <c r="CF120" s="12"/>
      <c r="CG120" s="12"/>
      <c r="CH120" s="12"/>
      <c r="CI120" s="12"/>
      <c r="CJ120" s="12"/>
      <c r="CK120" s="12"/>
      <c r="CL120" s="12"/>
      <c r="CM120" s="12"/>
      <c r="CN120" s="12"/>
      <c r="CO120" s="12"/>
      <c r="CP120" s="12"/>
      <c r="CQ120" s="12"/>
      <c r="CR120" s="12"/>
      <c r="CS120" s="12"/>
      <c r="CT120" s="12"/>
      <c r="CU120" s="12"/>
      <c r="CV120" s="12"/>
      <c r="CW120" s="12"/>
      <c r="CX120" s="12"/>
      <c r="CY120" s="12"/>
      <c r="CZ120" s="12"/>
      <c r="DA120" s="12"/>
      <c r="DB120" s="12"/>
      <c r="DC120" s="12"/>
      <c r="DD120" s="12"/>
    </row>
    <row r="121" ht="22.5" customHeight="1">
      <c r="A121" s="10">
        <v>45986.66294892361</v>
      </c>
      <c r="B121" s="11" t="s">
        <v>369</v>
      </c>
      <c r="C121" s="11" t="s">
        <v>1</v>
      </c>
      <c r="D121" s="12"/>
      <c r="E121" s="12"/>
      <c r="F121" s="12"/>
      <c r="G121" s="12"/>
      <c r="H121" s="12"/>
      <c r="I121" s="12"/>
      <c r="J121" s="12"/>
      <c r="K121" s="12"/>
      <c r="L121" s="12"/>
      <c r="M121" s="12"/>
      <c r="N121" s="12"/>
      <c r="O121" s="12"/>
      <c r="P121" s="12"/>
      <c r="Q121" s="12"/>
      <c r="R121" s="12"/>
      <c r="S121" s="12"/>
      <c r="T121" s="12"/>
      <c r="U121" s="12"/>
      <c r="V121" s="12"/>
      <c r="W121" s="12"/>
      <c r="X121" s="12"/>
      <c r="Y121" s="12"/>
      <c r="Z121" s="12"/>
      <c r="AA121" s="12"/>
      <c r="AB121" s="12"/>
      <c r="AC121" s="12"/>
      <c r="AD121" s="12"/>
      <c r="AE121" s="12"/>
      <c r="AF121" s="12"/>
      <c r="AG121" s="12"/>
      <c r="AH121" s="12"/>
      <c r="AI121" s="12"/>
      <c r="AJ121" s="12"/>
      <c r="AK121" s="12"/>
      <c r="AL121" s="12"/>
      <c r="AM121" s="12"/>
      <c r="AN121" s="12"/>
      <c r="AO121" s="12"/>
      <c r="AP121" s="12"/>
      <c r="AQ121" s="12"/>
      <c r="AR121" s="12"/>
      <c r="AS121" s="12"/>
      <c r="AT121" s="12"/>
      <c r="AU121" s="12"/>
      <c r="AV121" s="12"/>
      <c r="AW121" s="12"/>
      <c r="AX121" s="12"/>
      <c r="AY121" s="12"/>
      <c r="AZ121" s="12"/>
      <c r="BA121" s="12"/>
      <c r="BB121" s="12"/>
      <c r="BC121" s="12"/>
      <c r="BD121" s="12"/>
      <c r="BE121" s="12"/>
      <c r="BF121" s="12"/>
      <c r="BG121" s="12"/>
      <c r="BH121" s="12"/>
      <c r="BI121" s="12"/>
      <c r="BJ121" s="12"/>
      <c r="BK121" s="12"/>
      <c r="BL121" s="12"/>
      <c r="BM121" s="12"/>
      <c r="BN121" s="12"/>
      <c r="BO121" s="12"/>
      <c r="BP121" s="12"/>
      <c r="BQ121" s="12"/>
      <c r="BR121" s="12"/>
      <c r="BS121" s="12"/>
      <c r="BT121" s="12"/>
      <c r="BU121" s="12"/>
      <c r="BV121" s="12"/>
      <c r="BW121" s="12"/>
      <c r="BX121" s="12"/>
      <c r="BY121" s="12"/>
      <c r="BZ121" s="12"/>
      <c r="CA121" s="12"/>
      <c r="CB121" s="12"/>
      <c r="CC121" s="12"/>
      <c r="CD121" s="12"/>
      <c r="CE121" s="12"/>
      <c r="CF121" s="12"/>
      <c r="CG121" s="12"/>
      <c r="CH121" s="17"/>
      <c r="CI121" s="17"/>
      <c r="CJ121" s="12"/>
      <c r="CK121" s="12"/>
      <c r="CL121" s="12"/>
      <c r="CM121" s="12"/>
      <c r="CN121" s="12"/>
      <c r="CO121" s="12"/>
      <c r="CP121" s="12"/>
      <c r="CQ121" s="12"/>
      <c r="CR121" s="12"/>
      <c r="CS121" s="12"/>
      <c r="CT121" s="12"/>
      <c r="CU121" s="16" t="s">
        <v>639</v>
      </c>
      <c r="CV121" s="11" t="s">
        <v>157</v>
      </c>
      <c r="CW121" s="11" t="s">
        <v>640</v>
      </c>
      <c r="CX121" s="11" t="s">
        <v>607</v>
      </c>
      <c r="CY121" s="11" t="s">
        <v>608</v>
      </c>
      <c r="CZ121" s="11" t="s">
        <v>403</v>
      </c>
      <c r="DA121" s="11" t="s">
        <v>334</v>
      </c>
      <c r="DB121" s="11" t="s">
        <v>267</v>
      </c>
      <c r="DC121" s="15" t="s">
        <v>641</v>
      </c>
      <c r="DD121" s="17"/>
    </row>
    <row r="122" ht="22.5" customHeight="1">
      <c r="A122" s="10">
        <v>45986.663529108795</v>
      </c>
      <c r="B122" s="11" t="s">
        <v>501</v>
      </c>
      <c r="C122" s="11" t="s">
        <v>11</v>
      </c>
      <c r="D122" s="16">
        <v>45500.0</v>
      </c>
      <c r="E122" s="11" t="s">
        <v>615</v>
      </c>
      <c r="F122" s="15" t="s">
        <v>642</v>
      </c>
      <c r="G122" s="11" t="s">
        <v>643</v>
      </c>
      <c r="H122" s="11" t="s">
        <v>612</v>
      </c>
      <c r="I122" s="11" t="s">
        <v>644</v>
      </c>
      <c r="J122" s="15" t="s">
        <v>645</v>
      </c>
      <c r="K122" s="12"/>
      <c r="L122" s="12"/>
      <c r="M122" s="12"/>
      <c r="N122" s="12"/>
      <c r="O122" s="12"/>
      <c r="P122" s="12"/>
      <c r="Q122" s="12"/>
      <c r="R122" s="12"/>
      <c r="S122" s="12"/>
      <c r="T122" s="12"/>
      <c r="U122" s="12"/>
      <c r="V122" s="12"/>
      <c r="W122" s="12"/>
      <c r="X122" s="12"/>
      <c r="Y122" s="12"/>
      <c r="Z122" s="12"/>
      <c r="AA122" s="12"/>
      <c r="AB122" s="12"/>
      <c r="AC122" s="12"/>
      <c r="AD122" s="12"/>
      <c r="AE122" s="12"/>
      <c r="AF122" s="12"/>
      <c r="AG122" s="12"/>
      <c r="AH122" s="12"/>
      <c r="AI122" s="12"/>
      <c r="AJ122" s="12"/>
      <c r="AK122" s="12"/>
      <c r="AL122" s="12"/>
      <c r="AM122" s="12"/>
      <c r="AN122" s="12"/>
      <c r="AO122" s="12"/>
      <c r="AP122" s="12"/>
      <c r="AQ122" s="12"/>
      <c r="AR122" s="12"/>
      <c r="AS122" s="12"/>
      <c r="AT122" s="12"/>
      <c r="AU122" s="12"/>
      <c r="AV122" s="12"/>
      <c r="AW122" s="12"/>
      <c r="AX122" s="12"/>
      <c r="AY122" s="12"/>
      <c r="AZ122" s="12"/>
      <c r="BA122" s="12"/>
      <c r="BB122" s="12"/>
      <c r="BC122" s="12"/>
      <c r="BD122" s="12"/>
      <c r="BE122" s="12"/>
      <c r="BF122" s="12"/>
      <c r="BG122" s="12"/>
      <c r="BH122" s="12"/>
      <c r="BI122" s="12"/>
      <c r="BJ122" s="12"/>
      <c r="BK122" s="12"/>
      <c r="BL122" s="12"/>
      <c r="BM122" s="12"/>
      <c r="BN122" s="12"/>
      <c r="BO122" s="12"/>
      <c r="BP122" s="12"/>
      <c r="BQ122" s="12"/>
      <c r="BR122" s="12"/>
      <c r="BS122" s="12"/>
      <c r="BT122" s="12"/>
      <c r="BU122" s="12"/>
      <c r="BV122" s="12"/>
      <c r="BW122" s="12"/>
      <c r="BX122" s="12"/>
      <c r="BY122" s="12"/>
      <c r="BZ122" s="12"/>
      <c r="CA122" s="12"/>
      <c r="CB122" s="12"/>
      <c r="CC122" s="12"/>
      <c r="CD122" s="12"/>
      <c r="CE122" s="12"/>
      <c r="CF122" s="12"/>
      <c r="CG122" s="12"/>
      <c r="CH122" s="12"/>
      <c r="CI122" s="12"/>
      <c r="CJ122" s="12"/>
      <c r="CK122" s="12"/>
      <c r="CL122" s="12"/>
      <c r="CM122" s="12"/>
      <c r="CN122" s="12"/>
      <c r="CO122" s="12"/>
      <c r="CP122" s="12"/>
      <c r="CQ122" s="12"/>
      <c r="CR122" s="12"/>
      <c r="CS122" s="12"/>
      <c r="CT122" s="12"/>
      <c r="CU122" s="12"/>
      <c r="CV122" s="12"/>
      <c r="CW122" s="12"/>
      <c r="CX122" s="12"/>
      <c r="CY122" s="12"/>
      <c r="CZ122" s="12"/>
      <c r="DA122" s="12"/>
      <c r="DB122" s="12"/>
      <c r="DC122" s="12"/>
      <c r="DD122" s="12"/>
    </row>
    <row r="123" ht="22.5" customHeight="1">
      <c r="A123" s="10">
        <v>45986.665101238425</v>
      </c>
      <c r="B123" s="11" t="s">
        <v>369</v>
      </c>
      <c r="C123" s="11" t="s">
        <v>1</v>
      </c>
      <c r="D123" s="12"/>
      <c r="E123" s="12"/>
      <c r="F123" s="12"/>
      <c r="G123" s="12"/>
      <c r="H123" s="12"/>
      <c r="I123" s="12"/>
      <c r="J123" s="12"/>
      <c r="K123" s="12"/>
      <c r="L123" s="12"/>
      <c r="M123" s="12"/>
      <c r="N123" s="12"/>
      <c r="O123" s="12"/>
      <c r="P123" s="12"/>
      <c r="Q123" s="12"/>
      <c r="R123" s="12"/>
      <c r="S123" s="12"/>
      <c r="T123" s="12"/>
      <c r="U123" s="12"/>
      <c r="V123" s="12"/>
      <c r="W123" s="12"/>
      <c r="X123" s="12"/>
      <c r="Y123" s="12"/>
      <c r="Z123" s="12"/>
      <c r="AA123" s="12"/>
      <c r="AB123" s="12"/>
      <c r="AC123" s="12"/>
      <c r="AD123" s="12"/>
      <c r="AE123" s="12"/>
      <c r="AF123" s="12"/>
      <c r="AG123" s="12"/>
      <c r="AH123" s="12"/>
      <c r="AI123" s="12"/>
      <c r="AJ123" s="12"/>
      <c r="AK123" s="12"/>
      <c r="AL123" s="12"/>
      <c r="AM123" s="12"/>
      <c r="AN123" s="12"/>
      <c r="AO123" s="12"/>
      <c r="AP123" s="12"/>
      <c r="AQ123" s="12"/>
      <c r="AR123" s="12"/>
      <c r="AS123" s="12"/>
      <c r="AT123" s="12"/>
      <c r="AU123" s="12"/>
      <c r="AV123" s="12"/>
      <c r="AW123" s="12"/>
      <c r="AX123" s="12"/>
      <c r="AY123" s="12"/>
      <c r="AZ123" s="12"/>
      <c r="BA123" s="12"/>
      <c r="BB123" s="12"/>
      <c r="BC123" s="12"/>
      <c r="BD123" s="12"/>
      <c r="BE123" s="12"/>
      <c r="BF123" s="12"/>
      <c r="BG123" s="12"/>
      <c r="BH123" s="12"/>
      <c r="BI123" s="12"/>
      <c r="BJ123" s="12"/>
      <c r="BK123" s="12"/>
      <c r="BL123" s="12"/>
      <c r="BM123" s="12"/>
      <c r="BN123" s="12"/>
      <c r="BO123" s="12"/>
      <c r="BP123" s="12"/>
      <c r="BQ123" s="12"/>
      <c r="BR123" s="12"/>
      <c r="BS123" s="12"/>
      <c r="BT123" s="12"/>
      <c r="BU123" s="12"/>
      <c r="BV123" s="12"/>
      <c r="BW123" s="12"/>
      <c r="BX123" s="12"/>
      <c r="BY123" s="12"/>
      <c r="BZ123" s="12"/>
      <c r="CA123" s="12"/>
      <c r="CB123" s="12"/>
      <c r="CC123" s="12"/>
      <c r="CD123" s="12"/>
      <c r="CE123" s="12"/>
      <c r="CF123" s="12"/>
      <c r="CG123" s="12"/>
      <c r="CH123" s="17"/>
      <c r="CI123" s="17"/>
      <c r="CJ123" s="12"/>
      <c r="CK123" s="12"/>
      <c r="CL123" s="12"/>
      <c r="CM123" s="12"/>
      <c r="CN123" s="12"/>
      <c r="CO123" s="12"/>
      <c r="CP123" s="12"/>
      <c r="CQ123" s="12"/>
      <c r="CR123" s="12"/>
      <c r="CS123" s="12"/>
      <c r="CT123" s="12"/>
      <c r="CU123" s="16">
        <v>45691.0</v>
      </c>
      <c r="CV123" s="11" t="s">
        <v>157</v>
      </c>
      <c r="CW123" s="11" t="s">
        <v>646</v>
      </c>
      <c r="CX123" s="11" t="s">
        <v>607</v>
      </c>
      <c r="CY123" s="11" t="s">
        <v>647</v>
      </c>
      <c r="CZ123" s="11" t="s">
        <v>403</v>
      </c>
      <c r="DA123" s="11" t="s">
        <v>334</v>
      </c>
      <c r="DB123" s="11" t="s">
        <v>267</v>
      </c>
      <c r="DC123" s="15" t="s">
        <v>648</v>
      </c>
      <c r="DD123" s="17"/>
    </row>
    <row r="124" ht="22.5" customHeight="1">
      <c r="A124" s="10">
        <v>45986.66734568287</v>
      </c>
      <c r="B124" s="11" t="s">
        <v>369</v>
      </c>
      <c r="C124" s="11" t="s">
        <v>1</v>
      </c>
      <c r="D124" s="12"/>
      <c r="E124" s="12"/>
      <c r="F124" s="12"/>
      <c r="G124" s="12"/>
      <c r="H124" s="12"/>
      <c r="I124" s="12"/>
      <c r="J124" s="12"/>
      <c r="K124" s="12"/>
      <c r="L124" s="12"/>
      <c r="M124" s="12"/>
      <c r="N124" s="12"/>
      <c r="O124" s="12"/>
      <c r="P124" s="12"/>
      <c r="Q124" s="12"/>
      <c r="R124" s="12"/>
      <c r="S124" s="12"/>
      <c r="T124" s="12"/>
      <c r="U124" s="12"/>
      <c r="V124" s="12"/>
      <c r="W124" s="12"/>
      <c r="X124" s="12"/>
      <c r="Y124" s="12"/>
      <c r="Z124" s="12"/>
      <c r="AA124" s="12"/>
      <c r="AB124" s="12"/>
      <c r="AC124" s="12"/>
      <c r="AD124" s="12"/>
      <c r="AE124" s="12"/>
      <c r="AF124" s="12"/>
      <c r="AG124" s="12"/>
      <c r="AH124" s="12"/>
      <c r="AI124" s="12"/>
      <c r="AJ124" s="12"/>
      <c r="AK124" s="12"/>
      <c r="AL124" s="12"/>
      <c r="AM124" s="12"/>
      <c r="AN124" s="12"/>
      <c r="AO124" s="12"/>
      <c r="AP124" s="12"/>
      <c r="AQ124" s="12"/>
      <c r="AR124" s="12"/>
      <c r="AS124" s="12"/>
      <c r="AT124" s="12"/>
      <c r="AU124" s="12"/>
      <c r="AV124" s="12"/>
      <c r="AW124" s="12"/>
      <c r="AX124" s="12"/>
      <c r="AY124" s="12"/>
      <c r="AZ124" s="12"/>
      <c r="BA124" s="12"/>
      <c r="BB124" s="12"/>
      <c r="BC124" s="12"/>
      <c r="BD124" s="12"/>
      <c r="BE124" s="12"/>
      <c r="BF124" s="12"/>
      <c r="BG124" s="12"/>
      <c r="BH124" s="12"/>
      <c r="BI124" s="12"/>
      <c r="BJ124" s="12"/>
      <c r="BK124" s="12"/>
      <c r="BL124" s="12"/>
      <c r="BM124" s="12"/>
      <c r="BN124" s="12"/>
      <c r="BO124" s="12"/>
      <c r="BP124" s="12"/>
      <c r="BQ124" s="12"/>
      <c r="BR124" s="12"/>
      <c r="BS124" s="12"/>
      <c r="BT124" s="12"/>
      <c r="BU124" s="12"/>
      <c r="BV124" s="12"/>
      <c r="BW124" s="12"/>
      <c r="BX124" s="12"/>
      <c r="BY124" s="12"/>
      <c r="BZ124" s="12"/>
      <c r="CA124" s="12"/>
      <c r="CB124" s="12"/>
      <c r="CC124" s="12"/>
      <c r="CD124" s="12"/>
      <c r="CE124" s="12"/>
      <c r="CF124" s="12"/>
      <c r="CG124" s="12"/>
      <c r="CH124" s="17"/>
      <c r="CI124" s="17"/>
      <c r="CJ124" s="12"/>
      <c r="CK124" s="12"/>
      <c r="CL124" s="12"/>
      <c r="CM124" s="12"/>
      <c r="CN124" s="12"/>
      <c r="CO124" s="12"/>
      <c r="CP124" s="12"/>
      <c r="CQ124" s="12"/>
      <c r="CR124" s="12"/>
      <c r="CS124" s="12"/>
      <c r="CT124" s="12"/>
      <c r="CU124" s="16">
        <v>45692.0</v>
      </c>
      <c r="CV124" s="11" t="s">
        <v>157</v>
      </c>
      <c r="CW124" s="11" t="s">
        <v>649</v>
      </c>
      <c r="CX124" s="11" t="s">
        <v>449</v>
      </c>
      <c r="CY124" s="11" t="s">
        <v>650</v>
      </c>
      <c r="CZ124" s="11" t="s">
        <v>403</v>
      </c>
      <c r="DA124" s="11" t="s">
        <v>334</v>
      </c>
      <c r="DB124" s="11" t="s">
        <v>162</v>
      </c>
      <c r="DC124" s="15" t="s">
        <v>651</v>
      </c>
      <c r="DD124" s="17"/>
    </row>
    <row r="125" ht="22.5" customHeight="1">
      <c r="A125" s="10">
        <v>45986.66762787037</v>
      </c>
      <c r="B125" s="11" t="s">
        <v>501</v>
      </c>
      <c r="C125" s="11" t="s">
        <v>11</v>
      </c>
      <c r="D125" s="16">
        <v>45451.0</v>
      </c>
      <c r="E125" s="11" t="s">
        <v>615</v>
      </c>
      <c r="F125" s="15" t="s">
        <v>652</v>
      </c>
      <c r="G125" s="11" t="s">
        <v>653</v>
      </c>
      <c r="H125" s="11" t="s">
        <v>612</v>
      </c>
      <c r="I125" s="11" t="s">
        <v>654</v>
      </c>
      <c r="J125" s="15" t="s">
        <v>655</v>
      </c>
      <c r="K125" s="12"/>
      <c r="L125" s="12"/>
      <c r="M125" s="12"/>
      <c r="N125" s="12"/>
      <c r="O125" s="12"/>
      <c r="P125" s="12"/>
      <c r="Q125" s="12"/>
      <c r="R125" s="12"/>
      <c r="S125" s="12"/>
      <c r="T125" s="12"/>
      <c r="U125" s="12"/>
      <c r="V125" s="12"/>
      <c r="W125" s="12"/>
      <c r="X125" s="12"/>
      <c r="Y125" s="12"/>
      <c r="Z125" s="12"/>
      <c r="AA125" s="12"/>
      <c r="AB125" s="12"/>
      <c r="AC125" s="12"/>
      <c r="AD125" s="12"/>
      <c r="AE125" s="12"/>
      <c r="AF125" s="12"/>
      <c r="AG125" s="12"/>
      <c r="AH125" s="12"/>
      <c r="AI125" s="12"/>
      <c r="AJ125" s="12"/>
      <c r="AK125" s="12"/>
      <c r="AL125" s="12"/>
      <c r="AM125" s="12"/>
      <c r="AN125" s="12"/>
      <c r="AO125" s="12"/>
      <c r="AP125" s="12"/>
      <c r="AQ125" s="12"/>
      <c r="AR125" s="12"/>
      <c r="AS125" s="12"/>
      <c r="AT125" s="12"/>
      <c r="AU125" s="12"/>
      <c r="AV125" s="12"/>
      <c r="AW125" s="12"/>
      <c r="AX125" s="12"/>
      <c r="AY125" s="12"/>
      <c r="AZ125" s="12"/>
      <c r="BA125" s="12"/>
      <c r="BB125" s="12"/>
      <c r="BC125" s="12"/>
      <c r="BD125" s="12"/>
      <c r="BE125" s="12"/>
      <c r="BF125" s="12"/>
      <c r="BG125" s="12"/>
      <c r="BH125" s="12"/>
      <c r="BI125" s="12"/>
      <c r="BJ125" s="12"/>
      <c r="BK125" s="12"/>
      <c r="BL125" s="12"/>
      <c r="BM125" s="12"/>
      <c r="BN125" s="12"/>
      <c r="BO125" s="12"/>
      <c r="BP125" s="12"/>
      <c r="BQ125" s="12"/>
      <c r="BR125" s="12"/>
      <c r="BS125" s="12"/>
      <c r="BT125" s="12"/>
      <c r="BU125" s="12"/>
      <c r="BV125" s="12"/>
      <c r="BW125" s="12"/>
      <c r="BX125" s="12"/>
      <c r="BY125" s="12"/>
      <c r="BZ125" s="12"/>
      <c r="CA125" s="12"/>
      <c r="CB125" s="12"/>
      <c r="CC125" s="12"/>
      <c r="CD125" s="12"/>
      <c r="CE125" s="12"/>
      <c r="CF125" s="12"/>
      <c r="CG125" s="12"/>
      <c r="CH125" s="12"/>
      <c r="CI125" s="12"/>
      <c r="CJ125" s="12"/>
      <c r="CK125" s="12"/>
      <c r="CL125" s="12"/>
      <c r="CM125" s="12"/>
      <c r="CN125" s="12"/>
      <c r="CO125" s="12"/>
      <c r="CP125" s="12"/>
      <c r="CQ125" s="12"/>
      <c r="CR125" s="12"/>
      <c r="CS125" s="12"/>
      <c r="CT125" s="12"/>
      <c r="CU125" s="12"/>
      <c r="CV125" s="12"/>
      <c r="CW125" s="12"/>
      <c r="CX125" s="12"/>
      <c r="CY125" s="12"/>
      <c r="CZ125" s="12"/>
      <c r="DA125" s="12"/>
      <c r="DB125" s="12"/>
      <c r="DC125" s="12"/>
      <c r="DD125" s="12"/>
    </row>
    <row r="126" ht="22.5" customHeight="1">
      <c r="A126" s="10">
        <v>45986.66941758102</v>
      </c>
      <c r="B126" s="11" t="s">
        <v>369</v>
      </c>
      <c r="C126" s="11" t="s">
        <v>1</v>
      </c>
      <c r="D126" s="12"/>
      <c r="E126" s="12"/>
      <c r="F126" s="12"/>
      <c r="G126" s="12"/>
      <c r="H126" s="12"/>
      <c r="I126" s="12"/>
      <c r="J126" s="12"/>
      <c r="K126" s="12"/>
      <c r="L126" s="12"/>
      <c r="M126" s="12"/>
      <c r="N126" s="12"/>
      <c r="O126" s="12"/>
      <c r="P126" s="12"/>
      <c r="Q126" s="12"/>
      <c r="R126" s="12"/>
      <c r="S126" s="12"/>
      <c r="T126" s="12"/>
      <c r="U126" s="12"/>
      <c r="V126" s="12"/>
      <c r="W126" s="12"/>
      <c r="X126" s="12"/>
      <c r="Y126" s="12"/>
      <c r="Z126" s="12"/>
      <c r="AA126" s="12"/>
      <c r="AB126" s="12"/>
      <c r="AC126" s="12"/>
      <c r="AD126" s="12"/>
      <c r="AE126" s="12"/>
      <c r="AF126" s="12"/>
      <c r="AG126" s="12"/>
      <c r="AH126" s="12"/>
      <c r="AI126" s="12"/>
      <c r="AJ126" s="12"/>
      <c r="AK126" s="12"/>
      <c r="AL126" s="12"/>
      <c r="AM126" s="12"/>
      <c r="AN126" s="12"/>
      <c r="AO126" s="12"/>
      <c r="AP126" s="12"/>
      <c r="AQ126" s="12"/>
      <c r="AR126" s="12"/>
      <c r="AS126" s="12"/>
      <c r="AT126" s="12"/>
      <c r="AU126" s="12"/>
      <c r="AV126" s="12"/>
      <c r="AW126" s="12"/>
      <c r="AX126" s="12"/>
      <c r="AY126" s="12"/>
      <c r="AZ126" s="12"/>
      <c r="BA126" s="12"/>
      <c r="BB126" s="12"/>
      <c r="BC126" s="12"/>
      <c r="BD126" s="12"/>
      <c r="BE126" s="12"/>
      <c r="BF126" s="12"/>
      <c r="BG126" s="12"/>
      <c r="BH126" s="12"/>
      <c r="BI126" s="12"/>
      <c r="BJ126" s="12"/>
      <c r="BK126" s="12"/>
      <c r="BL126" s="12"/>
      <c r="BM126" s="12"/>
      <c r="BN126" s="12"/>
      <c r="BO126" s="12"/>
      <c r="BP126" s="12"/>
      <c r="BQ126" s="12"/>
      <c r="BR126" s="12"/>
      <c r="BS126" s="12"/>
      <c r="BT126" s="12"/>
      <c r="BU126" s="12"/>
      <c r="BV126" s="12"/>
      <c r="BW126" s="12"/>
      <c r="BX126" s="12"/>
      <c r="BY126" s="12"/>
      <c r="BZ126" s="12"/>
      <c r="CA126" s="12"/>
      <c r="CB126" s="12"/>
      <c r="CC126" s="12"/>
      <c r="CD126" s="12"/>
      <c r="CE126" s="12"/>
      <c r="CF126" s="12"/>
      <c r="CG126" s="12"/>
      <c r="CH126" s="17"/>
      <c r="CI126" s="17"/>
      <c r="CJ126" s="12"/>
      <c r="CK126" s="12"/>
      <c r="CL126" s="12"/>
      <c r="CM126" s="12"/>
      <c r="CN126" s="12"/>
      <c r="CO126" s="12"/>
      <c r="CP126" s="12"/>
      <c r="CQ126" s="12"/>
      <c r="CR126" s="12"/>
      <c r="CS126" s="12"/>
      <c r="CT126" s="12"/>
      <c r="CU126" s="16">
        <v>45693.0</v>
      </c>
      <c r="CV126" s="11" t="s">
        <v>656</v>
      </c>
      <c r="CW126" s="11" t="s">
        <v>657</v>
      </c>
      <c r="CX126" s="11" t="s">
        <v>274</v>
      </c>
      <c r="CY126" s="11" t="s">
        <v>658</v>
      </c>
      <c r="CZ126" s="11" t="s">
        <v>403</v>
      </c>
      <c r="DA126" s="11" t="s">
        <v>334</v>
      </c>
      <c r="DB126" s="11" t="s">
        <v>162</v>
      </c>
      <c r="DC126" s="15" t="s">
        <v>659</v>
      </c>
      <c r="DD126" s="17"/>
    </row>
    <row r="127" ht="22.5" customHeight="1">
      <c r="A127" s="10">
        <v>45986.6720778125</v>
      </c>
      <c r="B127" s="11" t="s">
        <v>207</v>
      </c>
      <c r="C127" s="11" t="s">
        <v>6</v>
      </c>
      <c r="D127" s="12"/>
      <c r="E127" s="12"/>
      <c r="F127" s="12"/>
      <c r="G127" s="12"/>
      <c r="H127" s="12"/>
      <c r="I127" s="12"/>
      <c r="J127" s="12"/>
      <c r="K127" s="12"/>
      <c r="L127" s="12"/>
      <c r="M127" s="12"/>
      <c r="N127" s="12"/>
      <c r="O127" s="12"/>
      <c r="P127" s="12"/>
      <c r="Q127" s="12"/>
      <c r="R127" s="12"/>
      <c r="S127" s="12"/>
      <c r="T127" s="12"/>
      <c r="U127" s="12"/>
      <c r="V127" s="12"/>
      <c r="W127" s="12"/>
      <c r="X127" s="12"/>
      <c r="Y127" s="12"/>
      <c r="Z127" s="12"/>
      <c r="AA127" s="12"/>
      <c r="AB127" s="12"/>
      <c r="AC127" s="12"/>
      <c r="AD127" s="12"/>
      <c r="AE127" s="12"/>
      <c r="AF127" s="12"/>
      <c r="AG127" s="12"/>
      <c r="AH127" s="12"/>
      <c r="AI127" s="12"/>
      <c r="AJ127" s="12"/>
      <c r="AK127" s="12"/>
      <c r="AL127" s="12"/>
      <c r="AM127" s="12"/>
      <c r="AN127" s="12"/>
      <c r="AO127" s="12"/>
      <c r="AP127" s="12"/>
      <c r="AQ127" s="12"/>
      <c r="AR127" s="12"/>
      <c r="AS127" s="12"/>
      <c r="AT127" s="12"/>
      <c r="AU127" s="12"/>
      <c r="AV127" s="12"/>
      <c r="AW127" s="12"/>
      <c r="AX127" s="12"/>
      <c r="AY127" s="12"/>
      <c r="AZ127" s="16">
        <v>45289.0</v>
      </c>
      <c r="BA127" s="11" t="s">
        <v>634</v>
      </c>
      <c r="BB127" s="11" t="s">
        <v>660</v>
      </c>
      <c r="BC127" s="11" t="s">
        <v>661</v>
      </c>
      <c r="BD127" s="16">
        <v>45289.0</v>
      </c>
      <c r="BE127" s="11" t="s">
        <v>122</v>
      </c>
      <c r="BF127" s="11" t="s">
        <v>662</v>
      </c>
      <c r="BG127" s="11" t="s">
        <v>663</v>
      </c>
      <c r="BH127" s="11" t="s">
        <v>212</v>
      </c>
      <c r="BI127" s="11" t="s">
        <v>294</v>
      </c>
      <c r="BJ127" s="11" t="s">
        <v>214</v>
      </c>
      <c r="BK127" s="15" t="s">
        <v>664</v>
      </c>
      <c r="BL127" s="12"/>
      <c r="BM127" s="12"/>
      <c r="BN127" s="12"/>
      <c r="BO127" s="12"/>
      <c r="BP127" s="12"/>
      <c r="BQ127" s="12"/>
      <c r="BR127" s="12"/>
      <c r="BS127" s="12"/>
      <c r="BT127" s="12"/>
      <c r="BU127" s="12"/>
      <c r="BV127" s="12"/>
      <c r="BW127" s="12"/>
      <c r="BX127" s="12"/>
      <c r="BY127" s="12"/>
      <c r="BZ127" s="12"/>
      <c r="CA127" s="12"/>
      <c r="CB127" s="12"/>
      <c r="CC127" s="12"/>
      <c r="CD127" s="12"/>
      <c r="CE127" s="12"/>
      <c r="CF127" s="12"/>
      <c r="CG127" s="12"/>
      <c r="CH127" s="12"/>
      <c r="CI127" s="12"/>
      <c r="CJ127" s="12"/>
      <c r="CK127" s="12"/>
      <c r="CL127" s="12"/>
      <c r="CM127" s="12"/>
      <c r="CN127" s="12"/>
      <c r="CO127" s="12"/>
      <c r="CP127" s="12"/>
      <c r="CQ127" s="12"/>
      <c r="CR127" s="12"/>
      <c r="CS127" s="12"/>
      <c r="CT127" s="12"/>
      <c r="CU127" s="12"/>
      <c r="CV127" s="12"/>
      <c r="CW127" s="12"/>
      <c r="CX127" s="12"/>
      <c r="CY127" s="12"/>
      <c r="CZ127" s="12"/>
      <c r="DA127" s="12"/>
      <c r="DB127" s="12"/>
      <c r="DC127" s="12"/>
      <c r="DD127" s="12"/>
    </row>
    <row r="128" ht="22.5" customHeight="1">
      <c r="A128" s="10">
        <v>45986.67223975694</v>
      </c>
      <c r="B128" s="11" t="s">
        <v>501</v>
      </c>
      <c r="C128" s="11" t="s">
        <v>11</v>
      </c>
      <c r="D128" s="16">
        <v>45436.0</v>
      </c>
      <c r="E128" s="11" t="s">
        <v>665</v>
      </c>
      <c r="F128" s="15" t="s">
        <v>666</v>
      </c>
      <c r="G128" s="11" t="s">
        <v>667</v>
      </c>
      <c r="H128" s="11" t="s">
        <v>668</v>
      </c>
      <c r="I128" s="11" t="s">
        <v>669</v>
      </c>
      <c r="J128" s="15" t="s">
        <v>670</v>
      </c>
      <c r="K128" s="12"/>
      <c r="L128" s="12"/>
      <c r="M128" s="12"/>
      <c r="N128" s="12"/>
      <c r="O128" s="12"/>
      <c r="P128" s="12"/>
      <c r="Q128" s="12"/>
      <c r="R128" s="12"/>
      <c r="S128" s="12"/>
      <c r="T128" s="12"/>
      <c r="U128" s="12"/>
      <c r="V128" s="12"/>
      <c r="W128" s="12"/>
      <c r="X128" s="12"/>
      <c r="Y128" s="12"/>
      <c r="Z128" s="12"/>
      <c r="AA128" s="12"/>
      <c r="AB128" s="12"/>
      <c r="AC128" s="12"/>
      <c r="AD128" s="12"/>
      <c r="AE128" s="12"/>
      <c r="AF128" s="12"/>
      <c r="AG128" s="12"/>
      <c r="AH128" s="12"/>
      <c r="AI128" s="12"/>
      <c r="AJ128" s="12"/>
      <c r="AK128" s="12"/>
      <c r="AL128" s="12"/>
      <c r="AM128" s="12"/>
      <c r="AN128" s="12"/>
      <c r="AO128" s="12"/>
      <c r="AP128" s="12"/>
      <c r="AQ128" s="12"/>
      <c r="AR128" s="12"/>
      <c r="AS128" s="12"/>
      <c r="AT128" s="12"/>
      <c r="AU128" s="12"/>
      <c r="AV128" s="12"/>
      <c r="AW128" s="12"/>
      <c r="AX128" s="12"/>
      <c r="AY128" s="12"/>
      <c r="AZ128" s="12"/>
      <c r="BA128" s="12"/>
      <c r="BB128" s="12"/>
      <c r="BC128" s="12"/>
      <c r="BD128" s="12"/>
      <c r="BE128" s="12"/>
      <c r="BF128" s="12"/>
      <c r="BG128" s="12"/>
      <c r="BH128" s="12"/>
      <c r="BI128" s="12"/>
      <c r="BJ128" s="12"/>
      <c r="BK128" s="12"/>
      <c r="BL128" s="12"/>
      <c r="BM128" s="12"/>
      <c r="BN128" s="12"/>
      <c r="BO128" s="12"/>
      <c r="BP128" s="12"/>
      <c r="BQ128" s="12"/>
      <c r="BR128" s="12"/>
      <c r="BS128" s="12"/>
      <c r="BT128" s="12"/>
      <c r="BU128" s="12"/>
      <c r="BV128" s="12"/>
      <c r="BW128" s="12"/>
      <c r="BX128" s="12"/>
      <c r="BY128" s="12"/>
      <c r="BZ128" s="12"/>
      <c r="CA128" s="12"/>
      <c r="CB128" s="12"/>
      <c r="CC128" s="12"/>
      <c r="CD128" s="12"/>
      <c r="CE128" s="12"/>
      <c r="CF128" s="12"/>
      <c r="CG128" s="12"/>
      <c r="CH128" s="12"/>
      <c r="CI128" s="12"/>
      <c r="CJ128" s="12"/>
      <c r="CK128" s="12"/>
      <c r="CL128" s="12"/>
      <c r="CM128" s="12"/>
      <c r="CN128" s="12"/>
      <c r="CO128" s="12"/>
      <c r="CP128" s="12"/>
      <c r="CQ128" s="12"/>
      <c r="CR128" s="12"/>
      <c r="CS128" s="12"/>
      <c r="CT128" s="12"/>
      <c r="CU128" s="12"/>
      <c r="CV128" s="12"/>
      <c r="CW128" s="12"/>
      <c r="CX128" s="12"/>
      <c r="CY128" s="12"/>
      <c r="CZ128" s="12"/>
      <c r="DA128" s="12"/>
      <c r="DB128" s="12"/>
      <c r="DC128" s="12"/>
      <c r="DD128" s="12"/>
    </row>
    <row r="129" ht="22.5" customHeight="1">
      <c r="A129" s="10">
        <v>45986.67382243056</v>
      </c>
      <c r="B129" s="11" t="s">
        <v>369</v>
      </c>
      <c r="C129" s="11" t="s">
        <v>1</v>
      </c>
      <c r="D129" s="12"/>
      <c r="E129" s="12"/>
      <c r="F129" s="12"/>
      <c r="G129" s="12"/>
      <c r="H129" s="12"/>
      <c r="I129" s="12"/>
      <c r="J129" s="12"/>
      <c r="K129" s="12"/>
      <c r="L129" s="12"/>
      <c r="M129" s="12"/>
      <c r="N129" s="12"/>
      <c r="O129" s="12"/>
      <c r="P129" s="12"/>
      <c r="Q129" s="12"/>
      <c r="R129" s="12"/>
      <c r="S129" s="12"/>
      <c r="T129" s="12"/>
      <c r="U129" s="12"/>
      <c r="V129" s="12"/>
      <c r="W129" s="12"/>
      <c r="X129" s="12"/>
      <c r="Y129" s="12"/>
      <c r="Z129" s="12"/>
      <c r="AA129" s="12"/>
      <c r="AB129" s="12"/>
      <c r="AC129" s="12"/>
      <c r="AD129" s="12"/>
      <c r="AE129" s="12"/>
      <c r="AF129" s="12"/>
      <c r="AG129" s="12"/>
      <c r="AH129" s="12"/>
      <c r="AI129" s="12"/>
      <c r="AJ129" s="12"/>
      <c r="AK129" s="12"/>
      <c r="AL129" s="12"/>
      <c r="AM129" s="12"/>
      <c r="AN129" s="12"/>
      <c r="AO129" s="12"/>
      <c r="AP129" s="12"/>
      <c r="AQ129" s="12"/>
      <c r="AR129" s="12"/>
      <c r="AS129" s="12"/>
      <c r="AT129" s="12"/>
      <c r="AU129" s="12"/>
      <c r="AV129" s="12"/>
      <c r="AW129" s="12"/>
      <c r="AX129" s="12"/>
      <c r="AY129" s="12"/>
      <c r="AZ129" s="12"/>
      <c r="BA129" s="12"/>
      <c r="BB129" s="12"/>
      <c r="BC129" s="12"/>
      <c r="BD129" s="12"/>
      <c r="BE129" s="12"/>
      <c r="BF129" s="12"/>
      <c r="BG129" s="12"/>
      <c r="BH129" s="12"/>
      <c r="BI129" s="12"/>
      <c r="BJ129" s="12"/>
      <c r="BK129" s="12"/>
      <c r="BL129" s="12"/>
      <c r="BM129" s="12"/>
      <c r="BN129" s="12"/>
      <c r="BO129" s="12"/>
      <c r="BP129" s="12"/>
      <c r="BQ129" s="12"/>
      <c r="BR129" s="12"/>
      <c r="BS129" s="12"/>
      <c r="BT129" s="12"/>
      <c r="BU129" s="12"/>
      <c r="BV129" s="12"/>
      <c r="BW129" s="12"/>
      <c r="BX129" s="12"/>
      <c r="BY129" s="12"/>
      <c r="BZ129" s="12"/>
      <c r="CA129" s="12"/>
      <c r="CB129" s="12"/>
      <c r="CC129" s="12"/>
      <c r="CD129" s="12"/>
      <c r="CE129" s="12"/>
      <c r="CF129" s="12"/>
      <c r="CG129" s="12"/>
      <c r="CH129" s="17"/>
      <c r="CI129" s="17"/>
      <c r="CJ129" s="12"/>
      <c r="CK129" s="12"/>
      <c r="CL129" s="12"/>
      <c r="CM129" s="12"/>
      <c r="CN129" s="12"/>
      <c r="CO129" s="12"/>
      <c r="CP129" s="12"/>
      <c r="CQ129" s="12"/>
      <c r="CR129" s="12"/>
      <c r="CS129" s="12"/>
      <c r="CT129" s="12"/>
      <c r="CU129" s="16">
        <v>45694.0</v>
      </c>
      <c r="CV129" s="11" t="s">
        <v>157</v>
      </c>
      <c r="CW129" s="11" t="s">
        <v>671</v>
      </c>
      <c r="CX129" s="11" t="s">
        <v>449</v>
      </c>
      <c r="CY129" s="11" t="s">
        <v>672</v>
      </c>
      <c r="CZ129" s="11" t="s">
        <v>403</v>
      </c>
      <c r="DA129" s="11" t="s">
        <v>334</v>
      </c>
      <c r="DB129" s="11" t="s">
        <v>162</v>
      </c>
      <c r="DC129" s="15" t="s">
        <v>673</v>
      </c>
      <c r="DD129" s="17"/>
    </row>
    <row r="130" ht="22.5" customHeight="1">
      <c r="A130" s="10">
        <v>45986.67514525463</v>
      </c>
      <c r="B130" s="11" t="s">
        <v>501</v>
      </c>
      <c r="C130" s="11" t="s">
        <v>11</v>
      </c>
      <c r="D130" s="16">
        <v>45436.0</v>
      </c>
      <c r="E130" s="11" t="s">
        <v>665</v>
      </c>
      <c r="F130" s="15" t="s">
        <v>674</v>
      </c>
      <c r="G130" s="11" t="s">
        <v>675</v>
      </c>
      <c r="H130" s="11" t="s">
        <v>668</v>
      </c>
      <c r="I130" s="11" t="s">
        <v>676</v>
      </c>
      <c r="J130" s="15" t="s">
        <v>677</v>
      </c>
      <c r="K130" s="12"/>
      <c r="L130" s="12"/>
      <c r="M130" s="12"/>
      <c r="N130" s="12"/>
      <c r="O130" s="12"/>
      <c r="P130" s="12"/>
      <c r="Q130" s="12"/>
      <c r="R130" s="12"/>
      <c r="S130" s="12"/>
      <c r="T130" s="12"/>
      <c r="U130" s="12"/>
      <c r="V130" s="12"/>
      <c r="W130" s="12"/>
      <c r="X130" s="12"/>
      <c r="Y130" s="12"/>
      <c r="Z130" s="12"/>
      <c r="AA130" s="12"/>
      <c r="AB130" s="12"/>
      <c r="AC130" s="12"/>
      <c r="AD130" s="12"/>
      <c r="AE130" s="12"/>
      <c r="AF130" s="12"/>
      <c r="AG130" s="12"/>
      <c r="AH130" s="12"/>
      <c r="AI130" s="12"/>
      <c r="AJ130" s="12"/>
      <c r="AK130" s="12"/>
      <c r="AL130" s="12"/>
      <c r="AM130" s="12"/>
      <c r="AN130" s="12"/>
      <c r="AO130" s="12"/>
      <c r="AP130" s="12"/>
      <c r="AQ130" s="12"/>
      <c r="AR130" s="12"/>
      <c r="AS130" s="12"/>
      <c r="AT130" s="12"/>
      <c r="AU130" s="12"/>
      <c r="AV130" s="12"/>
      <c r="AW130" s="12"/>
      <c r="AX130" s="12"/>
      <c r="AY130" s="12"/>
      <c r="AZ130" s="12"/>
      <c r="BA130" s="12"/>
      <c r="BB130" s="12"/>
      <c r="BC130" s="12"/>
      <c r="BD130" s="12"/>
      <c r="BE130" s="12"/>
      <c r="BF130" s="12"/>
      <c r="BG130" s="12"/>
      <c r="BH130" s="12"/>
      <c r="BI130" s="12"/>
      <c r="BJ130" s="12"/>
      <c r="BK130" s="12"/>
      <c r="BL130" s="12"/>
      <c r="BM130" s="12"/>
      <c r="BN130" s="12"/>
      <c r="BO130" s="12"/>
      <c r="BP130" s="12"/>
      <c r="BQ130" s="12"/>
      <c r="BR130" s="12"/>
      <c r="BS130" s="12"/>
      <c r="BT130" s="12"/>
      <c r="BU130" s="12"/>
      <c r="BV130" s="12"/>
      <c r="BW130" s="12"/>
      <c r="BX130" s="12"/>
      <c r="BY130" s="12"/>
      <c r="BZ130" s="12"/>
      <c r="CA130" s="12"/>
      <c r="CB130" s="12"/>
      <c r="CC130" s="12"/>
      <c r="CD130" s="12"/>
      <c r="CE130" s="12"/>
      <c r="CF130" s="12"/>
      <c r="CG130" s="12"/>
      <c r="CH130" s="12"/>
      <c r="CI130" s="12"/>
      <c r="CJ130" s="12"/>
      <c r="CK130" s="12"/>
      <c r="CL130" s="12"/>
      <c r="CM130" s="12"/>
      <c r="CN130" s="12"/>
      <c r="CO130" s="12"/>
      <c r="CP130" s="12"/>
      <c r="CQ130" s="12"/>
      <c r="CR130" s="12"/>
      <c r="CS130" s="12"/>
      <c r="CT130" s="12"/>
      <c r="CU130" s="12"/>
      <c r="CV130" s="12"/>
      <c r="CW130" s="12"/>
      <c r="CX130" s="12"/>
      <c r="CY130" s="12"/>
      <c r="CZ130" s="12"/>
      <c r="DA130" s="12"/>
      <c r="DB130" s="12"/>
      <c r="DC130" s="12"/>
      <c r="DD130" s="12"/>
    </row>
    <row r="131" ht="22.5" customHeight="1">
      <c r="A131" s="10">
        <v>45986.675583993056</v>
      </c>
      <c r="B131" s="11" t="s">
        <v>369</v>
      </c>
      <c r="C131" s="11" t="s">
        <v>1</v>
      </c>
      <c r="D131" s="12"/>
      <c r="E131" s="12"/>
      <c r="F131" s="12"/>
      <c r="G131" s="12"/>
      <c r="H131" s="12"/>
      <c r="I131" s="12"/>
      <c r="J131" s="12"/>
      <c r="K131" s="12"/>
      <c r="L131" s="12"/>
      <c r="M131" s="12"/>
      <c r="N131" s="12"/>
      <c r="O131" s="12"/>
      <c r="P131" s="12"/>
      <c r="Q131" s="12"/>
      <c r="R131" s="12"/>
      <c r="S131" s="12"/>
      <c r="T131" s="12"/>
      <c r="U131" s="12"/>
      <c r="V131" s="12"/>
      <c r="W131" s="12"/>
      <c r="X131" s="12"/>
      <c r="Y131" s="12"/>
      <c r="Z131" s="12"/>
      <c r="AA131" s="12"/>
      <c r="AB131" s="12"/>
      <c r="AC131" s="12"/>
      <c r="AD131" s="12"/>
      <c r="AE131" s="12"/>
      <c r="AF131" s="12"/>
      <c r="AG131" s="12"/>
      <c r="AH131" s="12"/>
      <c r="AI131" s="12"/>
      <c r="AJ131" s="12"/>
      <c r="AK131" s="12"/>
      <c r="AL131" s="12"/>
      <c r="AM131" s="12"/>
      <c r="AN131" s="12"/>
      <c r="AO131" s="12"/>
      <c r="AP131" s="12"/>
      <c r="AQ131" s="12"/>
      <c r="AR131" s="12"/>
      <c r="AS131" s="12"/>
      <c r="AT131" s="12"/>
      <c r="AU131" s="12"/>
      <c r="AV131" s="12"/>
      <c r="AW131" s="12"/>
      <c r="AX131" s="12"/>
      <c r="AY131" s="12"/>
      <c r="AZ131" s="12"/>
      <c r="BA131" s="12"/>
      <c r="BB131" s="12"/>
      <c r="BC131" s="12"/>
      <c r="BD131" s="12"/>
      <c r="BE131" s="12"/>
      <c r="BF131" s="12"/>
      <c r="BG131" s="12"/>
      <c r="BH131" s="12"/>
      <c r="BI131" s="12"/>
      <c r="BJ131" s="12"/>
      <c r="BK131" s="12"/>
      <c r="BL131" s="12"/>
      <c r="BM131" s="12"/>
      <c r="BN131" s="12"/>
      <c r="BO131" s="12"/>
      <c r="BP131" s="12"/>
      <c r="BQ131" s="12"/>
      <c r="BR131" s="12"/>
      <c r="BS131" s="12"/>
      <c r="BT131" s="12"/>
      <c r="BU131" s="12"/>
      <c r="BV131" s="12"/>
      <c r="BW131" s="12"/>
      <c r="BX131" s="12"/>
      <c r="BY131" s="12"/>
      <c r="BZ131" s="12"/>
      <c r="CA131" s="12"/>
      <c r="CB131" s="12"/>
      <c r="CC131" s="12"/>
      <c r="CD131" s="12"/>
      <c r="CE131" s="12"/>
      <c r="CF131" s="12"/>
      <c r="CG131" s="12"/>
      <c r="CH131" s="17"/>
      <c r="CI131" s="17"/>
      <c r="CJ131" s="12"/>
      <c r="CK131" s="12"/>
      <c r="CL131" s="12"/>
      <c r="CM131" s="12"/>
      <c r="CN131" s="12"/>
      <c r="CO131" s="12"/>
      <c r="CP131" s="12"/>
      <c r="CQ131" s="12"/>
      <c r="CR131" s="12"/>
      <c r="CS131" s="12"/>
      <c r="CT131" s="12"/>
      <c r="CU131" s="16">
        <v>45694.0</v>
      </c>
      <c r="CV131" s="11" t="s">
        <v>157</v>
      </c>
      <c r="CW131" s="11" t="s">
        <v>678</v>
      </c>
      <c r="CX131" s="11" t="s">
        <v>449</v>
      </c>
      <c r="CY131" s="11" t="s">
        <v>679</v>
      </c>
      <c r="CZ131" s="11" t="s">
        <v>403</v>
      </c>
      <c r="DA131" s="11" t="s">
        <v>334</v>
      </c>
      <c r="DB131" s="11" t="s">
        <v>162</v>
      </c>
      <c r="DC131" s="15" t="s">
        <v>680</v>
      </c>
      <c r="DD131" s="17"/>
    </row>
    <row r="132" ht="22.5" customHeight="1">
      <c r="A132" s="10">
        <v>45986.67705652778</v>
      </c>
      <c r="B132" s="11" t="s">
        <v>369</v>
      </c>
      <c r="C132" s="11" t="s">
        <v>1</v>
      </c>
      <c r="D132" s="12"/>
      <c r="E132" s="12"/>
      <c r="F132" s="12"/>
      <c r="G132" s="12"/>
      <c r="H132" s="12"/>
      <c r="I132" s="12"/>
      <c r="J132" s="12"/>
      <c r="K132" s="12"/>
      <c r="L132" s="12"/>
      <c r="M132" s="12"/>
      <c r="N132" s="12"/>
      <c r="O132" s="12"/>
      <c r="P132" s="12"/>
      <c r="Q132" s="12"/>
      <c r="R132" s="12"/>
      <c r="S132" s="12"/>
      <c r="T132" s="12"/>
      <c r="U132" s="12"/>
      <c r="V132" s="12"/>
      <c r="W132" s="12"/>
      <c r="X132" s="12"/>
      <c r="Y132" s="12"/>
      <c r="Z132" s="12"/>
      <c r="AA132" s="12"/>
      <c r="AB132" s="12"/>
      <c r="AC132" s="12"/>
      <c r="AD132" s="12"/>
      <c r="AE132" s="12"/>
      <c r="AF132" s="12"/>
      <c r="AG132" s="12"/>
      <c r="AH132" s="12"/>
      <c r="AI132" s="12"/>
      <c r="AJ132" s="12"/>
      <c r="AK132" s="12"/>
      <c r="AL132" s="12"/>
      <c r="AM132" s="12"/>
      <c r="AN132" s="12"/>
      <c r="AO132" s="12"/>
      <c r="AP132" s="12"/>
      <c r="AQ132" s="12"/>
      <c r="AR132" s="12"/>
      <c r="AS132" s="12"/>
      <c r="AT132" s="12"/>
      <c r="AU132" s="12"/>
      <c r="AV132" s="12"/>
      <c r="AW132" s="12"/>
      <c r="AX132" s="12"/>
      <c r="AY132" s="12"/>
      <c r="AZ132" s="12"/>
      <c r="BA132" s="12"/>
      <c r="BB132" s="12"/>
      <c r="BC132" s="12"/>
      <c r="BD132" s="12"/>
      <c r="BE132" s="12"/>
      <c r="BF132" s="12"/>
      <c r="BG132" s="12"/>
      <c r="BH132" s="12"/>
      <c r="BI132" s="12"/>
      <c r="BJ132" s="12"/>
      <c r="BK132" s="12"/>
      <c r="BL132" s="12"/>
      <c r="BM132" s="12"/>
      <c r="BN132" s="12"/>
      <c r="BO132" s="12"/>
      <c r="BP132" s="12"/>
      <c r="BQ132" s="12"/>
      <c r="BR132" s="12"/>
      <c r="BS132" s="12"/>
      <c r="BT132" s="12"/>
      <c r="BU132" s="12"/>
      <c r="BV132" s="12"/>
      <c r="BW132" s="12"/>
      <c r="BX132" s="12"/>
      <c r="BY132" s="12"/>
      <c r="BZ132" s="12"/>
      <c r="CA132" s="12"/>
      <c r="CB132" s="12"/>
      <c r="CC132" s="12"/>
      <c r="CD132" s="12"/>
      <c r="CE132" s="12"/>
      <c r="CF132" s="12"/>
      <c r="CG132" s="12"/>
      <c r="CH132" s="17"/>
      <c r="CI132" s="17"/>
      <c r="CJ132" s="12"/>
      <c r="CK132" s="12"/>
      <c r="CL132" s="12"/>
      <c r="CM132" s="12"/>
      <c r="CN132" s="12"/>
      <c r="CO132" s="12"/>
      <c r="CP132" s="12"/>
      <c r="CQ132" s="12"/>
      <c r="CR132" s="12"/>
      <c r="CS132" s="12"/>
      <c r="CT132" s="12"/>
      <c r="CU132" s="16">
        <v>45694.0</v>
      </c>
      <c r="CV132" s="11" t="s">
        <v>157</v>
      </c>
      <c r="CW132" s="11" t="s">
        <v>681</v>
      </c>
      <c r="CX132" s="11" t="s">
        <v>682</v>
      </c>
      <c r="CY132" s="11" t="s">
        <v>683</v>
      </c>
      <c r="CZ132" s="11" t="s">
        <v>403</v>
      </c>
      <c r="DA132" s="11" t="s">
        <v>334</v>
      </c>
      <c r="DB132" s="11" t="s">
        <v>162</v>
      </c>
      <c r="DC132" s="15" t="s">
        <v>684</v>
      </c>
      <c r="DD132" s="17"/>
    </row>
    <row r="133" ht="22.5" customHeight="1">
      <c r="A133" s="10">
        <v>45986.677934363426</v>
      </c>
      <c r="B133" s="11" t="s">
        <v>207</v>
      </c>
      <c r="C133" s="11" t="s">
        <v>6</v>
      </c>
      <c r="D133" s="12"/>
      <c r="E133" s="12"/>
      <c r="F133" s="12"/>
      <c r="G133" s="12"/>
      <c r="H133" s="12"/>
      <c r="I133" s="12"/>
      <c r="J133" s="12"/>
      <c r="K133" s="12"/>
      <c r="L133" s="12"/>
      <c r="M133" s="12"/>
      <c r="N133" s="12"/>
      <c r="O133" s="12"/>
      <c r="P133" s="12"/>
      <c r="Q133" s="12"/>
      <c r="R133" s="12"/>
      <c r="S133" s="12"/>
      <c r="T133" s="12"/>
      <c r="U133" s="12"/>
      <c r="V133" s="12"/>
      <c r="W133" s="12"/>
      <c r="X133" s="12"/>
      <c r="Y133" s="12"/>
      <c r="Z133" s="12"/>
      <c r="AA133" s="12"/>
      <c r="AB133" s="12"/>
      <c r="AC133" s="12"/>
      <c r="AD133" s="12"/>
      <c r="AE133" s="12"/>
      <c r="AF133" s="12"/>
      <c r="AG133" s="12"/>
      <c r="AH133" s="12"/>
      <c r="AI133" s="12"/>
      <c r="AJ133" s="12"/>
      <c r="AK133" s="12"/>
      <c r="AL133" s="12"/>
      <c r="AM133" s="12"/>
      <c r="AN133" s="12"/>
      <c r="AO133" s="12"/>
      <c r="AP133" s="12"/>
      <c r="AQ133" s="12"/>
      <c r="AR133" s="12"/>
      <c r="AS133" s="12"/>
      <c r="AT133" s="12"/>
      <c r="AU133" s="12"/>
      <c r="AV133" s="12"/>
      <c r="AW133" s="12"/>
      <c r="AX133" s="12"/>
      <c r="AY133" s="12"/>
      <c r="AZ133" s="16">
        <v>45021.0</v>
      </c>
      <c r="BA133" s="11" t="s">
        <v>573</v>
      </c>
      <c r="BB133" s="11" t="s">
        <v>685</v>
      </c>
      <c r="BC133" s="11" t="s">
        <v>383</v>
      </c>
      <c r="BD133" s="16">
        <v>45021.0</v>
      </c>
      <c r="BE133" s="11" t="s">
        <v>122</v>
      </c>
      <c r="BF133" s="11" t="s">
        <v>686</v>
      </c>
      <c r="BG133" s="11" t="s">
        <v>687</v>
      </c>
      <c r="BH133" s="11" t="s">
        <v>212</v>
      </c>
      <c r="BI133" s="11" t="s">
        <v>294</v>
      </c>
      <c r="BJ133" s="11" t="s">
        <v>214</v>
      </c>
      <c r="BK133" s="15" t="s">
        <v>688</v>
      </c>
      <c r="BL133" s="12"/>
      <c r="BM133" s="12"/>
      <c r="BN133" s="12"/>
      <c r="BO133" s="12"/>
      <c r="BP133" s="12"/>
      <c r="BQ133" s="12"/>
      <c r="BR133" s="12"/>
      <c r="BS133" s="12"/>
      <c r="BT133" s="12"/>
      <c r="BU133" s="12"/>
      <c r="BV133" s="12"/>
      <c r="BW133" s="12"/>
      <c r="BX133" s="12"/>
      <c r="BY133" s="12"/>
      <c r="BZ133" s="12"/>
      <c r="CA133" s="12"/>
      <c r="CB133" s="12"/>
      <c r="CC133" s="12"/>
      <c r="CD133" s="12"/>
      <c r="CE133" s="12"/>
      <c r="CF133" s="12"/>
      <c r="CG133" s="12"/>
      <c r="CH133" s="12"/>
      <c r="CI133" s="12"/>
      <c r="CJ133" s="12"/>
      <c r="CK133" s="12"/>
      <c r="CL133" s="12"/>
      <c r="CM133" s="12"/>
      <c r="CN133" s="12"/>
      <c r="CO133" s="12"/>
      <c r="CP133" s="12"/>
      <c r="CQ133" s="12"/>
      <c r="CR133" s="12"/>
      <c r="CS133" s="12"/>
      <c r="CT133" s="12"/>
      <c r="CU133" s="12"/>
      <c r="CV133" s="12"/>
      <c r="CW133" s="12"/>
      <c r="CX133" s="12"/>
      <c r="CY133" s="12"/>
      <c r="CZ133" s="12"/>
      <c r="DA133" s="12"/>
      <c r="DB133" s="12"/>
      <c r="DC133" s="12"/>
      <c r="DD133" s="12"/>
    </row>
    <row r="134" ht="22.5" customHeight="1">
      <c r="A134" s="10">
        <v>45986.678925381944</v>
      </c>
      <c r="B134" s="11" t="s">
        <v>369</v>
      </c>
      <c r="C134" s="11" t="s">
        <v>1</v>
      </c>
      <c r="D134" s="12"/>
      <c r="E134" s="12"/>
      <c r="F134" s="12"/>
      <c r="G134" s="12"/>
      <c r="H134" s="12"/>
      <c r="I134" s="12"/>
      <c r="J134" s="12"/>
      <c r="K134" s="12"/>
      <c r="L134" s="12"/>
      <c r="M134" s="12"/>
      <c r="N134" s="12"/>
      <c r="O134" s="12"/>
      <c r="P134" s="12"/>
      <c r="Q134" s="12"/>
      <c r="R134" s="12"/>
      <c r="S134" s="12"/>
      <c r="T134" s="12"/>
      <c r="U134" s="12"/>
      <c r="V134" s="12"/>
      <c r="W134" s="12"/>
      <c r="X134" s="12"/>
      <c r="Y134" s="12"/>
      <c r="Z134" s="12"/>
      <c r="AA134" s="12"/>
      <c r="AB134" s="12"/>
      <c r="AC134" s="12"/>
      <c r="AD134" s="12"/>
      <c r="AE134" s="12"/>
      <c r="AF134" s="12"/>
      <c r="AG134" s="12"/>
      <c r="AH134" s="12"/>
      <c r="AI134" s="12"/>
      <c r="AJ134" s="12"/>
      <c r="AK134" s="12"/>
      <c r="AL134" s="12"/>
      <c r="AM134" s="12"/>
      <c r="AN134" s="12"/>
      <c r="AO134" s="12"/>
      <c r="AP134" s="12"/>
      <c r="AQ134" s="12"/>
      <c r="AR134" s="12"/>
      <c r="AS134" s="12"/>
      <c r="AT134" s="12"/>
      <c r="AU134" s="12"/>
      <c r="AV134" s="12"/>
      <c r="AW134" s="12"/>
      <c r="AX134" s="12"/>
      <c r="AY134" s="12"/>
      <c r="AZ134" s="12"/>
      <c r="BA134" s="12"/>
      <c r="BB134" s="12"/>
      <c r="BC134" s="12"/>
      <c r="BD134" s="12"/>
      <c r="BE134" s="12"/>
      <c r="BF134" s="12"/>
      <c r="BG134" s="12"/>
      <c r="BH134" s="12"/>
      <c r="BI134" s="12"/>
      <c r="BJ134" s="12"/>
      <c r="BK134" s="12"/>
      <c r="BL134" s="12"/>
      <c r="BM134" s="12"/>
      <c r="BN134" s="12"/>
      <c r="BO134" s="12"/>
      <c r="BP134" s="12"/>
      <c r="BQ134" s="12"/>
      <c r="BR134" s="12"/>
      <c r="BS134" s="12"/>
      <c r="BT134" s="12"/>
      <c r="BU134" s="12"/>
      <c r="BV134" s="12"/>
      <c r="BW134" s="12"/>
      <c r="BX134" s="12"/>
      <c r="BY134" s="12"/>
      <c r="BZ134" s="12"/>
      <c r="CA134" s="12"/>
      <c r="CB134" s="12"/>
      <c r="CC134" s="12"/>
      <c r="CD134" s="12"/>
      <c r="CE134" s="12"/>
      <c r="CF134" s="12"/>
      <c r="CG134" s="12"/>
      <c r="CH134" s="17"/>
      <c r="CI134" s="17"/>
      <c r="CJ134" s="12"/>
      <c r="CK134" s="12"/>
      <c r="CL134" s="12"/>
      <c r="CM134" s="12"/>
      <c r="CN134" s="12"/>
      <c r="CO134" s="12"/>
      <c r="CP134" s="12"/>
      <c r="CQ134" s="12"/>
      <c r="CR134" s="12"/>
      <c r="CS134" s="12"/>
      <c r="CT134" s="12"/>
      <c r="CU134" s="16">
        <v>45694.0</v>
      </c>
      <c r="CV134" s="11" t="s">
        <v>157</v>
      </c>
      <c r="CW134" s="11" t="s">
        <v>689</v>
      </c>
      <c r="CX134" s="11" t="s">
        <v>449</v>
      </c>
      <c r="CY134" s="11" t="s">
        <v>690</v>
      </c>
      <c r="CZ134" s="11" t="s">
        <v>403</v>
      </c>
      <c r="DA134" s="11" t="s">
        <v>334</v>
      </c>
      <c r="DB134" s="11" t="s">
        <v>162</v>
      </c>
      <c r="DC134" s="15" t="s">
        <v>691</v>
      </c>
      <c r="DD134" s="17"/>
    </row>
    <row r="135" ht="22.5" customHeight="1">
      <c r="A135" s="10">
        <v>45986.6804272338</v>
      </c>
      <c r="B135" s="11" t="s">
        <v>369</v>
      </c>
      <c r="C135" s="11" t="s">
        <v>1</v>
      </c>
      <c r="D135" s="12"/>
      <c r="E135" s="12"/>
      <c r="F135" s="12"/>
      <c r="G135" s="12"/>
      <c r="H135" s="12"/>
      <c r="I135" s="12"/>
      <c r="J135" s="12"/>
      <c r="K135" s="12"/>
      <c r="L135" s="12"/>
      <c r="M135" s="12"/>
      <c r="N135" s="12"/>
      <c r="O135" s="12"/>
      <c r="P135" s="12"/>
      <c r="Q135" s="12"/>
      <c r="R135" s="12"/>
      <c r="S135" s="12"/>
      <c r="T135" s="12"/>
      <c r="U135" s="12"/>
      <c r="V135" s="12"/>
      <c r="W135" s="12"/>
      <c r="X135" s="12"/>
      <c r="Y135" s="12"/>
      <c r="Z135" s="12"/>
      <c r="AA135" s="12"/>
      <c r="AB135" s="12"/>
      <c r="AC135" s="12"/>
      <c r="AD135" s="12"/>
      <c r="AE135" s="12"/>
      <c r="AF135" s="12"/>
      <c r="AG135" s="12"/>
      <c r="AH135" s="12"/>
      <c r="AI135" s="12"/>
      <c r="AJ135" s="12"/>
      <c r="AK135" s="12"/>
      <c r="AL135" s="12"/>
      <c r="AM135" s="12"/>
      <c r="AN135" s="12"/>
      <c r="AO135" s="12"/>
      <c r="AP135" s="12"/>
      <c r="AQ135" s="12"/>
      <c r="AR135" s="12"/>
      <c r="AS135" s="12"/>
      <c r="AT135" s="12"/>
      <c r="AU135" s="12"/>
      <c r="AV135" s="12"/>
      <c r="AW135" s="12"/>
      <c r="AX135" s="12"/>
      <c r="AY135" s="12"/>
      <c r="AZ135" s="12"/>
      <c r="BA135" s="12"/>
      <c r="BB135" s="12"/>
      <c r="BC135" s="12"/>
      <c r="BD135" s="12"/>
      <c r="BE135" s="12"/>
      <c r="BF135" s="12"/>
      <c r="BG135" s="12"/>
      <c r="BH135" s="12"/>
      <c r="BI135" s="12"/>
      <c r="BJ135" s="12"/>
      <c r="BK135" s="12"/>
      <c r="BL135" s="12"/>
      <c r="BM135" s="12"/>
      <c r="BN135" s="12"/>
      <c r="BO135" s="12"/>
      <c r="BP135" s="12"/>
      <c r="BQ135" s="12"/>
      <c r="BR135" s="12"/>
      <c r="BS135" s="12"/>
      <c r="BT135" s="12"/>
      <c r="BU135" s="12"/>
      <c r="BV135" s="12"/>
      <c r="BW135" s="12"/>
      <c r="BX135" s="12"/>
      <c r="BY135" s="12"/>
      <c r="BZ135" s="12"/>
      <c r="CA135" s="12"/>
      <c r="CB135" s="12"/>
      <c r="CC135" s="12"/>
      <c r="CD135" s="12"/>
      <c r="CE135" s="12"/>
      <c r="CF135" s="12"/>
      <c r="CG135" s="12"/>
      <c r="CH135" s="17"/>
      <c r="CI135" s="17"/>
      <c r="CJ135" s="12"/>
      <c r="CK135" s="12"/>
      <c r="CL135" s="12"/>
      <c r="CM135" s="12"/>
      <c r="CN135" s="12"/>
      <c r="CO135" s="12"/>
      <c r="CP135" s="12"/>
      <c r="CQ135" s="12"/>
      <c r="CR135" s="12"/>
      <c r="CS135" s="12"/>
      <c r="CT135" s="12"/>
      <c r="CU135" s="16">
        <v>45694.0</v>
      </c>
      <c r="CV135" s="11" t="s">
        <v>157</v>
      </c>
      <c r="CW135" s="11" t="s">
        <v>692</v>
      </c>
      <c r="CX135" s="11" t="s">
        <v>682</v>
      </c>
      <c r="CY135" s="11" t="s">
        <v>693</v>
      </c>
      <c r="CZ135" s="11" t="s">
        <v>403</v>
      </c>
      <c r="DA135" s="11" t="s">
        <v>334</v>
      </c>
      <c r="DB135" s="11" t="s">
        <v>162</v>
      </c>
      <c r="DC135" s="15" t="s">
        <v>694</v>
      </c>
      <c r="DD135" s="17"/>
    </row>
    <row r="136" ht="22.5" customHeight="1">
      <c r="A136" s="10">
        <v>45986.680486365745</v>
      </c>
      <c r="B136" s="11" t="s">
        <v>207</v>
      </c>
      <c r="C136" s="11" t="s">
        <v>6</v>
      </c>
      <c r="D136" s="12"/>
      <c r="E136" s="12"/>
      <c r="F136" s="12"/>
      <c r="G136" s="12"/>
      <c r="H136" s="12"/>
      <c r="I136" s="12"/>
      <c r="J136" s="12"/>
      <c r="K136" s="12"/>
      <c r="L136" s="12"/>
      <c r="M136" s="12"/>
      <c r="N136" s="12"/>
      <c r="O136" s="12"/>
      <c r="P136" s="12"/>
      <c r="Q136" s="12"/>
      <c r="R136" s="12"/>
      <c r="S136" s="12"/>
      <c r="T136" s="12"/>
      <c r="U136" s="12"/>
      <c r="V136" s="12"/>
      <c r="W136" s="12"/>
      <c r="X136" s="12"/>
      <c r="Y136" s="12"/>
      <c r="Z136" s="12"/>
      <c r="AA136" s="12"/>
      <c r="AB136" s="12"/>
      <c r="AC136" s="12"/>
      <c r="AD136" s="12"/>
      <c r="AE136" s="12"/>
      <c r="AF136" s="12"/>
      <c r="AG136" s="12"/>
      <c r="AH136" s="12"/>
      <c r="AI136" s="12"/>
      <c r="AJ136" s="12"/>
      <c r="AK136" s="12"/>
      <c r="AL136" s="12"/>
      <c r="AM136" s="12"/>
      <c r="AN136" s="12"/>
      <c r="AO136" s="12"/>
      <c r="AP136" s="12"/>
      <c r="AQ136" s="12"/>
      <c r="AR136" s="12"/>
      <c r="AS136" s="12"/>
      <c r="AT136" s="12"/>
      <c r="AU136" s="12"/>
      <c r="AV136" s="12"/>
      <c r="AW136" s="12"/>
      <c r="AX136" s="12"/>
      <c r="AY136" s="12"/>
      <c r="AZ136" s="16">
        <v>45090.0</v>
      </c>
      <c r="BA136" s="11" t="s">
        <v>573</v>
      </c>
      <c r="BB136" s="11" t="s">
        <v>695</v>
      </c>
      <c r="BC136" s="11" t="s">
        <v>217</v>
      </c>
      <c r="BD136" s="16">
        <v>45199.0</v>
      </c>
      <c r="BE136" s="11" t="s">
        <v>122</v>
      </c>
      <c r="BF136" s="11" t="s">
        <v>696</v>
      </c>
      <c r="BG136" s="11" t="s">
        <v>697</v>
      </c>
      <c r="BH136" s="11" t="s">
        <v>212</v>
      </c>
      <c r="BI136" s="11" t="s">
        <v>294</v>
      </c>
      <c r="BJ136" s="11" t="s">
        <v>214</v>
      </c>
      <c r="BK136" s="15" t="s">
        <v>698</v>
      </c>
      <c r="BL136" s="12"/>
      <c r="BM136" s="12"/>
      <c r="BN136" s="12"/>
      <c r="BO136" s="12"/>
      <c r="BP136" s="12"/>
      <c r="BQ136" s="12"/>
      <c r="BR136" s="12"/>
      <c r="BS136" s="12"/>
      <c r="BT136" s="12"/>
      <c r="BU136" s="12"/>
      <c r="BV136" s="12"/>
      <c r="BW136" s="12"/>
      <c r="BX136" s="12"/>
      <c r="BY136" s="12"/>
      <c r="BZ136" s="12"/>
      <c r="CA136" s="12"/>
      <c r="CB136" s="12"/>
      <c r="CC136" s="12"/>
      <c r="CD136" s="12"/>
      <c r="CE136" s="12"/>
      <c r="CF136" s="12"/>
      <c r="CG136" s="12"/>
      <c r="CH136" s="12"/>
      <c r="CI136" s="12"/>
      <c r="CJ136" s="12"/>
      <c r="CK136" s="12"/>
      <c r="CL136" s="12"/>
      <c r="CM136" s="12"/>
      <c r="CN136" s="12"/>
      <c r="CO136" s="12"/>
      <c r="CP136" s="12"/>
      <c r="CQ136" s="12"/>
      <c r="CR136" s="12"/>
      <c r="CS136" s="12"/>
      <c r="CT136" s="12"/>
      <c r="CU136" s="12"/>
      <c r="CV136" s="12"/>
      <c r="CW136" s="12"/>
      <c r="CX136" s="12"/>
      <c r="CY136" s="12"/>
      <c r="CZ136" s="12"/>
      <c r="DA136" s="12"/>
      <c r="DB136" s="12"/>
      <c r="DC136" s="12"/>
      <c r="DD136" s="12"/>
    </row>
    <row r="137" ht="22.5" customHeight="1">
      <c r="A137" s="10">
        <v>45986.682676296296</v>
      </c>
      <c r="B137" s="11" t="s">
        <v>369</v>
      </c>
      <c r="C137" s="11" t="s">
        <v>1</v>
      </c>
      <c r="D137" s="12"/>
      <c r="E137" s="12"/>
      <c r="F137" s="12"/>
      <c r="G137" s="12"/>
      <c r="H137" s="12"/>
      <c r="I137" s="12"/>
      <c r="J137" s="12"/>
      <c r="K137" s="12"/>
      <c r="L137" s="12"/>
      <c r="M137" s="12"/>
      <c r="N137" s="12"/>
      <c r="O137" s="12"/>
      <c r="P137" s="12"/>
      <c r="Q137" s="12"/>
      <c r="R137" s="12"/>
      <c r="S137" s="12"/>
      <c r="T137" s="12"/>
      <c r="U137" s="12"/>
      <c r="V137" s="12"/>
      <c r="W137" s="12"/>
      <c r="X137" s="12"/>
      <c r="Y137" s="12"/>
      <c r="Z137" s="12"/>
      <c r="AA137" s="12"/>
      <c r="AB137" s="12"/>
      <c r="AC137" s="12"/>
      <c r="AD137" s="12"/>
      <c r="AE137" s="12"/>
      <c r="AF137" s="12"/>
      <c r="AG137" s="12"/>
      <c r="AH137" s="12"/>
      <c r="AI137" s="12"/>
      <c r="AJ137" s="12"/>
      <c r="AK137" s="12"/>
      <c r="AL137" s="12"/>
      <c r="AM137" s="12"/>
      <c r="AN137" s="12"/>
      <c r="AO137" s="12"/>
      <c r="AP137" s="12"/>
      <c r="AQ137" s="12"/>
      <c r="AR137" s="12"/>
      <c r="AS137" s="12"/>
      <c r="AT137" s="12"/>
      <c r="AU137" s="12"/>
      <c r="AV137" s="12"/>
      <c r="AW137" s="12"/>
      <c r="AX137" s="12"/>
      <c r="AY137" s="12"/>
      <c r="AZ137" s="12"/>
      <c r="BA137" s="12"/>
      <c r="BB137" s="12"/>
      <c r="BC137" s="12"/>
      <c r="BD137" s="12"/>
      <c r="BE137" s="12"/>
      <c r="BF137" s="12"/>
      <c r="BG137" s="12"/>
      <c r="BH137" s="12"/>
      <c r="BI137" s="12"/>
      <c r="BJ137" s="12"/>
      <c r="BK137" s="12"/>
      <c r="BL137" s="12"/>
      <c r="BM137" s="12"/>
      <c r="BN137" s="12"/>
      <c r="BO137" s="12"/>
      <c r="BP137" s="12"/>
      <c r="BQ137" s="12"/>
      <c r="BR137" s="12"/>
      <c r="BS137" s="12"/>
      <c r="BT137" s="12"/>
      <c r="BU137" s="12"/>
      <c r="BV137" s="12"/>
      <c r="BW137" s="12"/>
      <c r="BX137" s="12"/>
      <c r="BY137" s="12"/>
      <c r="BZ137" s="12"/>
      <c r="CA137" s="12"/>
      <c r="CB137" s="12"/>
      <c r="CC137" s="12"/>
      <c r="CD137" s="12"/>
      <c r="CE137" s="12"/>
      <c r="CF137" s="12"/>
      <c r="CG137" s="12"/>
      <c r="CH137" s="17"/>
      <c r="CI137" s="17"/>
      <c r="CJ137" s="12"/>
      <c r="CK137" s="12"/>
      <c r="CL137" s="12"/>
      <c r="CM137" s="12"/>
      <c r="CN137" s="12"/>
      <c r="CO137" s="12"/>
      <c r="CP137" s="12"/>
      <c r="CQ137" s="12"/>
      <c r="CR137" s="12"/>
      <c r="CS137" s="12"/>
      <c r="CT137" s="12"/>
      <c r="CU137" s="16">
        <v>45694.0</v>
      </c>
      <c r="CV137" s="11" t="s">
        <v>157</v>
      </c>
      <c r="CW137" s="11" t="s">
        <v>699</v>
      </c>
      <c r="CX137" s="11" t="s">
        <v>274</v>
      </c>
      <c r="CY137" s="11" t="s">
        <v>700</v>
      </c>
      <c r="CZ137" s="11" t="s">
        <v>403</v>
      </c>
      <c r="DA137" s="11" t="s">
        <v>334</v>
      </c>
      <c r="DB137" s="11" t="s">
        <v>162</v>
      </c>
      <c r="DC137" s="15" t="s">
        <v>701</v>
      </c>
      <c r="DD137" s="17"/>
    </row>
    <row r="138" ht="22.5" customHeight="1">
      <c r="A138" s="10">
        <v>45986.68280737269</v>
      </c>
      <c r="B138" s="11" t="s">
        <v>207</v>
      </c>
      <c r="C138" s="11" t="s">
        <v>6</v>
      </c>
      <c r="D138" s="12"/>
      <c r="E138" s="12"/>
      <c r="F138" s="12"/>
      <c r="G138" s="12"/>
      <c r="H138" s="12"/>
      <c r="I138" s="12"/>
      <c r="J138" s="12"/>
      <c r="K138" s="12"/>
      <c r="L138" s="12"/>
      <c r="M138" s="12"/>
      <c r="N138" s="12"/>
      <c r="O138" s="12"/>
      <c r="P138" s="12"/>
      <c r="Q138" s="12"/>
      <c r="R138" s="12"/>
      <c r="S138" s="12"/>
      <c r="T138" s="12"/>
      <c r="U138" s="12"/>
      <c r="V138" s="12"/>
      <c r="W138" s="12"/>
      <c r="X138" s="12"/>
      <c r="Y138" s="12"/>
      <c r="Z138" s="12"/>
      <c r="AA138" s="12"/>
      <c r="AB138" s="12"/>
      <c r="AC138" s="12"/>
      <c r="AD138" s="12"/>
      <c r="AE138" s="12"/>
      <c r="AF138" s="12"/>
      <c r="AG138" s="12"/>
      <c r="AH138" s="12"/>
      <c r="AI138" s="12"/>
      <c r="AJ138" s="12"/>
      <c r="AK138" s="12"/>
      <c r="AL138" s="12"/>
      <c r="AM138" s="12"/>
      <c r="AN138" s="12"/>
      <c r="AO138" s="12"/>
      <c r="AP138" s="12"/>
      <c r="AQ138" s="12"/>
      <c r="AR138" s="12"/>
      <c r="AS138" s="12"/>
      <c r="AT138" s="12"/>
      <c r="AU138" s="12"/>
      <c r="AV138" s="12"/>
      <c r="AW138" s="12"/>
      <c r="AX138" s="12"/>
      <c r="AY138" s="12"/>
      <c r="AZ138" s="16">
        <v>45838.0</v>
      </c>
      <c r="BA138" s="11" t="s">
        <v>702</v>
      </c>
      <c r="BB138" s="11" t="s">
        <v>703</v>
      </c>
      <c r="BC138" s="11" t="s">
        <v>454</v>
      </c>
      <c r="BD138" s="16">
        <v>45845.0</v>
      </c>
      <c r="BE138" s="11" t="s">
        <v>122</v>
      </c>
      <c r="BF138" s="11" t="s">
        <v>704</v>
      </c>
      <c r="BG138" s="11" t="s">
        <v>705</v>
      </c>
      <c r="BH138" s="11" t="s">
        <v>212</v>
      </c>
      <c r="BI138" s="11" t="s">
        <v>294</v>
      </c>
      <c r="BJ138" s="11" t="s">
        <v>214</v>
      </c>
      <c r="BK138" s="15" t="s">
        <v>706</v>
      </c>
      <c r="BL138" s="12"/>
      <c r="BM138" s="12"/>
      <c r="BN138" s="12"/>
      <c r="BO138" s="12"/>
      <c r="BP138" s="12"/>
      <c r="BQ138" s="12"/>
      <c r="BR138" s="12"/>
      <c r="BS138" s="12"/>
      <c r="BT138" s="12"/>
      <c r="BU138" s="12"/>
      <c r="BV138" s="12"/>
      <c r="BW138" s="12"/>
      <c r="BX138" s="12"/>
      <c r="BY138" s="12"/>
      <c r="BZ138" s="12"/>
      <c r="CA138" s="12"/>
      <c r="CB138" s="12"/>
      <c r="CC138" s="12"/>
      <c r="CD138" s="12"/>
      <c r="CE138" s="12"/>
      <c r="CF138" s="12"/>
      <c r="CG138" s="12"/>
      <c r="CH138" s="12"/>
      <c r="CI138" s="12"/>
      <c r="CJ138" s="12"/>
      <c r="CK138" s="12"/>
      <c r="CL138" s="12"/>
      <c r="CM138" s="12"/>
      <c r="CN138" s="12"/>
      <c r="CO138" s="12"/>
      <c r="CP138" s="12"/>
      <c r="CQ138" s="12"/>
      <c r="CR138" s="12"/>
      <c r="CS138" s="12"/>
      <c r="CT138" s="12"/>
      <c r="CU138" s="12"/>
      <c r="CV138" s="12"/>
      <c r="CW138" s="12"/>
      <c r="CX138" s="12"/>
      <c r="CY138" s="12"/>
      <c r="CZ138" s="12"/>
      <c r="DA138" s="12"/>
      <c r="DB138" s="12"/>
      <c r="DC138" s="12"/>
      <c r="DD138" s="12"/>
    </row>
    <row r="139" ht="22.5" customHeight="1">
      <c r="A139" s="10">
        <v>45986.68432865741</v>
      </c>
      <c r="B139" s="11" t="s">
        <v>369</v>
      </c>
      <c r="C139" s="11" t="s">
        <v>1</v>
      </c>
      <c r="D139" s="12"/>
      <c r="E139" s="12"/>
      <c r="F139" s="12"/>
      <c r="G139" s="12"/>
      <c r="H139" s="12"/>
      <c r="I139" s="12"/>
      <c r="J139" s="12"/>
      <c r="K139" s="12"/>
      <c r="L139" s="12"/>
      <c r="M139" s="12"/>
      <c r="N139" s="12"/>
      <c r="O139" s="12"/>
      <c r="P139" s="12"/>
      <c r="Q139" s="12"/>
      <c r="R139" s="12"/>
      <c r="S139" s="12"/>
      <c r="T139" s="12"/>
      <c r="U139" s="12"/>
      <c r="V139" s="12"/>
      <c r="W139" s="12"/>
      <c r="X139" s="12"/>
      <c r="Y139" s="12"/>
      <c r="Z139" s="12"/>
      <c r="AA139" s="12"/>
      <c r="AB139" s="12"/>
      <c r="AC139" s="12"/>
      <c r="AD139" s="12"/>
      <c r="AE139" s="12"/>
      <c r="AF139" s="12"/>
      <c r="AG139" s="12"/>
      <c r="AH139" s="12"/>
      <c r="AI139" s="12"/>
      <c r="AJ139" s="12"/>
      <c r="AK139" s="12"/>
      <c r="AL139" s="12"/>
      <c r="AM139" s="12"/>
      <c r="AN139" s="12"/>
      <c r="AO139" s="12"/>
      <c r="AP139" s="12"/>
      <c r="AQ139" s="12"/>
      <c r="AR139" s="12"/>
      <c r="AS139" s="12"/>
      <c r="AT139" s="12"/>
      <c r="AU139" s="12"/>
      <c r="AV139" s="12"/>
      <c r="AW139" s="12"/>
      <c r="AX139" s="12"/>
      <c r="AY139" s="12"/>
      <c r="AZ139" s="12"/>
      <c r="BA139" s="12"/>
      <c r="BB139" s="12"/>
      <c r="BC139" s="12"/>
      <c r="BD139" s="12"/>
      <c r="BE139" s="12"/>
      <c r="BF139" s="12"/>
      <c r="BG139" s="12"/>
      <c r="BH139" s="12"/>
      <c r="BI139" s="12"/>
      <c r="BJ139" s="12"/>
      <c r="BK139" s="12"/>
      <c r="BL139" s="12"/>
      <c r="BM139" s="12"/>
      <c r="BN139" s="12"/>
      <c r="BO139" s="12"/>
      <c r="BP139" s="12"/>
      <c r="BQ139" s="12"/>
      <c r="BR139" s="12"/>
      <c r="BS139" s="12"/>
      <c r="BT139" s="12"/>
      <c r="BU139" s="12"/>
      <c r="BV139" s="12"/>
      <c r="BW139" s="12"/>
      <c r="BX139" s="12"/>
      <c r="BY139" s="12"/>
      <c r="BZ139" s="12"/>
      <c r="CA139" s="12"/>
      <c r="CB139" s="12"/>
      <c r="CC139" s="12"/>
      <c r="CD139" s="12"/>
      <c r="CE139" s="12"/>
      <c r="CF139" s="12"/>
      <c r="CG139" s="12"/>
      <c r="CH139" s="17"/>
      <c r="CI139" s="17"/>
      <c r="CJ139" s="12"/>
      <c r="CK139" s="12"/>
      <c r="CL139" s="12"/>
      <c r="CM139" s="12"/>
      <c r="CN139" s="12"/>
      <c r="CO139" s="12"/>
      <c r="CP139" s="12"/>
      <c r="CQ139" s="12"/>
      <c r="CR139" s="12"/>
      <c r="CS139" s="12"/>
      <c r="CT139" s="12"/>
      <c r="CU139" s="16">
        <v>45695.0</v>
      </c>
      <c r="CV139" s="11" t="s">
        <v>157</v>
      </c>
      <c r="CW139" s="11" t="s">
        <v>707</v>
      </c>
      <c r="CX139" s="11" t="s">
        <v>449</v>
      </c>
      <c r="CY139" s="11" t="s">
        <v>708</v>
      </c>
      <c r="CZ139" s="11" t="s">
        <v>403</v>
      </c>
      <c r="DA139" s="11" t="s">
        <v>334</v>
      </c>
      <c r="DB139" s="11" t="s">
        <v>162</v>
      </c>
      <c r="DC139" s="15" t="s">
        <v>709</v>
      </c>
      <c r="DD139" s="17"/>
    </row>
    <row r="140" ht="22.5" customHeight="1">
      <c r="A140" s="10">
        <v>45986.6863474537</v>
      </c>
      <c r="B140" s="11" t="s">
        <v>207</v>
      </c>
      <c r="C140" s="11" t="s">
        <v>6</v>
      </c>
      <c r="D140" s="12"/>
      <c r="E140" s="12"/>
      <c r="F140" s="12"/>
      <c r="G140" s="12"/>
      <c r="H140" s="12"/>
      <c r="I140" s="12"/>
      <c r="J140" s="12"/>
      <c r="K140" s="12"/>
      <c r="L140" s="12"/>
      <c r="M140" s="12"/>
      <c r="N140" s="12"/>
      <c r="O140" s="12"/>
      <c r="P140" s="12"/>
      <c r="Q140" s="12"/>
      <c r="R140" s="12"/>
      <c r="S140" s="12"/>
      <c r="T140" s="12"/>
      <c r="U140" s="12"/>
      <c r="V140" s="12"/>
      <c r="W140" s="12"/>
      <c r="X140" s="12"/>
      <c r="Y140" s="12"/>
      <c r="Z140" s="12"/>
      <c r="AA140" s="12"/>
      <c r="AB140" s="12"/>
      <c r="AC140" s="12"/>
      <c r="AD140" s="12"/>
      <c r="AE140" s="12"/>
      <c r="AF140" s="12"/>
      <c r="AG140" s="12"/>
      <c r="AH140" s="12"/>
      <c r="AI140" s="12"/>
      <c r="AJ140" s="12"/>
      <c r="AK140" s="12"/>
      <c r="AL140" s="12"/>
      <c r="AM140" s="12"/>
      <c r="AN140" s="12"/>
      <c r="AO140" s="12"/>
      <c r="AP140" s="12"/>
      <c r="AQ140" s="12"/>
      <c r="AR140" s="12"/>
      <c r="AS140" s="12"/>
      <c r="AT140" s="12"/>
      <c r="AU140" s="12"/>
      <c r="AV140" s="12"/>
      <c r="AW140" s="12"/>
      <c r="AX140" s="12"/>
      <c r="AY140" s="12"/>
      <c r="AZ140" s="16">
        <v>45756.0</v>
      </c>
      <c r="BA140" s="11" t="s">
        <v>710</v>
      </c>
      <c r="BB140" s="11" t="s">
        <v>711</v>
      </c>
      <c r="BC140" s="11" t="s">
        <v>209</v>
      </c>
      <c r="BD140" s="16">
        <v>45886.0</v>
      </c>
      <c r="BE140" s="11" t="s">
        <v>122</v>
      </c>
      <c r="BF140" s="11" t="s">
        <v>712</v>
      </c>
      <c r="BG140" s="11" t="s">
        <v>713</v>
      </c>
      <c r="BH140" s="11" t="s">
        <v>212</v>
      </c>
      <c r="BI140" s="11" t="s">
        <v>294</v>
      </c>
      <c r="BJ140" s="11" t="s">
        <v>214</v>
      </c>
      <c r="BK140" s="15" t="s">
        <v>714</v>
      </c>
      <c r="BL140" s="12"/>
      <c r="BM140" s="12"/>
      <c r="BN140" s="12"/>
      <c r="BO140" s="12"/>
      <c r="BP140" s="12"/>
      <c r="BQ140" s="12"/>
      <c r="BR140" s="12"/>
      <c r="BS140" s="12"/>
      <c r="BT140" s="12"/>
      <c r="BU140" s="12"/>
      <c r="BV140" s="12"/>
      <c r="BW140" s="12"/>
      <c r="BX140" s="12"/>
      <c r="BY140" s="12"/>
      <c r="BZ140" s="12"/>
      <c r="CA140" s="12"/>
      <c r="CB140" s="12"/>
      <c r="CC140" s="12"/>
      <c r="CD140" s="12"/>
      <c r="CE140" s="12"/>
      <c r="CF140" s="12"/>
      <c r="CG140" s="12"/>
      <c r="CH140" s="12"/>
      <c r="CI140" s="12"/>
      <c r="CJ140" s="12"/>
      <c r="CK140" s="12"/>
      <c r="CL140" s="12"/>
      <c r="CM140" s="12"/>
      <c r="CN140" s="12"/>
      <c r="CO140" s="12"/>
      <c r="CP140" s="12"/>
      <c r="CQ140" s="12"/>
      <c r="CR140" s="12"/>
      <c r="CS140" s="12"/>
      <c r="CT140" s="12"/>
      <c r="CU140" s="12"/>
      <c r="CV140" s="12"/>
      <c r="CW140" s="12"/>
      <c r="CX140" s="12"/>
      <c r="CY140" s="12"/>
      <c r="CZ140" s="12"/>
      <c r="DA140" s="12"/>
      <c r="DB140" s="12"/>
      <c r="DC140" s="12"/>
      <c r="DD140" s="12"/>
    </row>
    <row r="141" ht="22.5" customHeight="1">
      <c r="A141" s="10">
        <v>45986.68692622685</v>
      </c>
      <c r="B141" s="11" t="s">
        <v>369</v>
      </c>
      <c r="C141" s="11" t="s">
        <v>1</v>
      </c>
      <c r="D141" s="12"/>
      <c r="E141" s="12"/>
      <c r="F141" s="12"/>
      <c r="G141" s="12"/>
      <c r="H141" s="12"/>
      <c r="I141" s="12"/>
      <c r="J141" s="12"/>
      <c r="K141" s="12"/>
      <c r="L141" s="12"/>
      <c r="M141" s="12"/>
      <c r="N141" s="12"/>
      <c r="O141" s="12"/>
      <c r="P141" s="12"/>
      <c r="Q141" s="12"/>
      <c r="R141" s="12"/>
      <c r="S141" s="12"/>
      <c r="T141" s="12"/>
      <c r="U141" s="12"/>
      <c r="V141" s="12"/>
      <c r="W141" s="12"/>
      <c r="X141" s="12"/>
      <c r="Y141" s="12"/>
      <c r="Z141" s="12"/>
      <c r="AA141" s="12"/>
      <c r="AB141" s="12"/>
      <c r="AC141" s="12"/>
      <c r="AD141" s="12"/>
      <c r="AE141" s="12"/>
      <c r="AF141" s="12"/>
      <c r="AG141" s="12"/>
      <c r="AH141" s="12"/>
      <c r="AI141" s="12"/>
      <c r="AJ141" s="12"/>
      <c r="AK141" s="12"/>
      <c r="AL141" s="12"/>
      <c r="AM141" s="12"/>
      <c r="AN141" s="12"/>
      <c r="AO141" s="12"/>
      <c r="AP141" s="12"/>
      <c r="AQ141" s="12"/>
      <c r="AR141" s="12"/>
      <c r="AS141" s="12"/>
      <c r="AT141" s="12"/>
      <c r="AU141" s="12"/>
      <c r="AV141" s="12"/>
      <c r="AW141" s="12"/>
      <c r="AX141" s="12"/>
      <c r="AY141" s="12"/>
      <c r="AZ141" s="12"/>
      <c r="BA141" s="12"/>
      <c r="BB141" s="12"/>
      <c r="BC141" s="12"/>
      <c r="BD141" s="12"/>
      <c r="BE141" s="12"/>
      <c r="BF141" s="12"/>
      <c r="BG141" s="12"/>
      <c r="BH141" s="12"/>
      <c r="BI141" s="12"/>
      <c r="BJ141" s="12"/>
      <c r="BK141" s="12"/>
      <c r="BL141" s="12"/>
      <c r="BM141" s="12"/>
      <c r="BN141" s="12"/>
      <c r="BO141" s="12"/>
      <c r="BP141" s="12"/>
      <c r="BQ141" s="12"/>
      <c r="BR141" s="12"/>
      <c r="BS141" s="12"/>
      <c r="BT141" s="12"/>
      <c r="BU141" s="12"/>
      <c r="BV141" s="12"/>
      <c r="BW141" s="12"/>
      <c r="BX141" s="12"/>
      <c r="BY141" s="12"/>
      <c r="BZ141" s="12"/>
      <c r="CA141" s="12"/>
      <c r="CB141" s="12"/>
      <c r="CC141" s="12"/>
      <c r="CD141" s="12"/>
      <c r="CE141" s="12"/>
      <c r="CF141" s="12"/>
      <c r="CG141" s="12"/>
      <c r="CH141" s="12"/>
      <c r="CI141" s="12"/>
      <c r="CJ141" s="12"/>
      <c r="CK141" s="12"/>
      <c r="CL141" s="12"/>
      <c r="CM141" s="12"/>
      <c r="CN141" s="12"/>
      <c r="CO141" s="12"/>
      <c r="CP141" s="12"/>
      <c r="CQ141" s="12"/>
      <c r="CR141" s="12"/>
      <c r="CS141" s="12"/>
      <c r="CT141" s="12"/>
      <c r="CU141" s="16">
        <v>45698.0</v>
      </c>
      <c r="CV141" s="11" t="s">
        <v>157</v>
      </c>
      <c r="CW141" s="11" t="s">
        <v>715</v>
      </c>
      <c r="CX141" s="11" t="s">
        <v>573</v>
      </c>
      <c r="CY141" s="11" t="s">
        <v>716</v>
      </c>
      <c r="CZ141" s="11" t="s">
        <v>403</v>
      </c>
      <c r="DA141" s="11" t="s">
        <v>334</v>
      </c>
      <c r="DB141" s="11" t="s">
        <v>162</v>
      </c>
      <c r="DC141" s="12"/>
      <c r="DD141" s="12"/>
    </row>
    <row r="142" ht="22.5" customHeight="1">
      <c r="A142" s="10">
        <v>45986.68899707176</v>
      </c>
      <c r="B142" s="11" t="s">
        <v>369</v>
      </c>
      <c r="C142" s="11" t="s">
        <v>1</v>
      </c>
      <c r="D142" s="12"/>
      <c r="E142" s="12"/>
      <c r="F142" s="12"/>
      <c r="G142" s="12"/>
      <c r="H142" s="12"/>
      <c r="I142" s="12"/>
      <c r="J142" s="12"/>
      <c r="K142" s="12"/>
      <c r="L142" s="12"/>
      <c r="M142" s="12"/>
      <c r="N142" s="12"/>
      <c r="O142" s="12"/>
      <c r="P142" s="12"/>
      <c r="Q142" s="12"/>
      <c r="R142" s="12"/>
      <c r="S142" s="12"/>
      <c r="T142" s="12"/>
      <c r="U142" s="12"/>
      <c r="V142" s="12"/>
      <c r="W142" s="12"/>
      <c r="X142" s="12"/>
      <c r="Y142" s="12"/>
      <c r="Z142" s="12"/>
      <c r="AA142" s="12"/>
      <c r="AB142" s="12"/>
      <c r="AC142" s="12"/>
      <c r="AD142" s="12"/>
      <c r="AE142" s="12"/>
      <c r="AF142" s="12"/>
      <c r="AG142" s="12"/>
      <c r="AH142" s="12"/>
      <c r="AI142" s="12"/>
      <c r="AJ142" s="12"/>
      <c r="AK142" s="12"/>
      <c r="AL142" s="12"/>
      <c r="AM142" s="12"/>
      <c r="AN142" s="12"/>
      <c r="AO142" s="12"/>
      <c r="AP142" s="12"/>
      <c r="AQ142" s="12"/>
      <c r="AR142" s="12"/>
      <c r="AS142" s="12"/>
      <c r="AT142" s="12"/>
      <c r="AU142" s="12"/>
      <c r="AV142" s="12"/>
      <c r="AW142" s="12"/>
      <c r="AX142" s="12"/>
      <c r="AY142" s="12"/>
      <c r="AZ142" s="12"/>
      <c r="BA142" s="12"/>
      <c r="BB142" s="12"/>
      <c r="BC142" s="12"/>
      <c r="BD142" s="12"/>
      <c r="BE142" s="12"/>
      <c r="BF142" s="12"/>
      <c r="BG142" s="12"/>
      <c r="BH142" s="12"/>
      <c r="BI142" s="12"/>
      <c r="BJ142" s="12"/>
      <c r="BK142" s="12"/>
      <c r="BL142" s="12"/>
      <c r="BM142" s="12"/>
      <c r="BN142" s="12"/>
      <c r="BO142" s="12"/>
      <c r="BP142" s="12"/>
      <c r="BQ142" s="12"/>
      <c r="BR142" s="12"/>
      <c r="BS142" s="12"/>
      <c r="BT142" s="12"/>
      <c r="BU142" s="12"/>
      <c r="BV142" s="12"/>
      <c r="BW142" s="12"/>
      <c r="BX142" s="12"/>
      <c r="BY142" s="12"/>
      <c r="BZ142" s="12"/>
      <c r="CA142" s="12"/>
      <c r="CB142" s="12"/>
      <c r="CC142" s="12"/>
      <c r="CD142" s="12"/>
      <c r="CE142" s="12"/>
      <c r="CF142" s="12"/>
      <c r="CG142" s="12"/>
      <c r="CH142" s="12"/>
      <c r="CI142" s="12"/>
      <c r="CJ142" s="12"/>
      <c r="CK142" s="12"/>
      <c r="CL142" s="12"/>
      <c r="CM142" s="12"/>
      <c r="CN142" s="12"/>
      <c r="CO142" s="12"/>
      <c r="CP142" s="12"/>
      <c r="CQ142" s="12"/>
      <c r="CR142" s="12"/>
      <c r="CS142" s="12"/>
      <c r="CT142" s="12"/>
      <c r="CU142" s="16">
        <v>45708.0</v>
      </c>
      <c r="CV142" s="11" t="s">
        <v>157</v>
      </c>
      <c r="CW142" s="11" t="s">
        <v>717</v>
      </c>
      <c r="CX142" s="11" t="s">
        <v>449</v>
      </c>
      <c r="CY142" s="11" t="s">
        <v>718</v>
      </c>
      <c r="CZ142" s="11" t="s">
        <v>403</v>
      </c>
      <c r="DA142" s="11" t="s">
        <v>334</v>
      </c>
      <c r="DB142" s="11" t="s">
        <v>162</v>
      </c>
      <c r="DC142" s="12"/>
      <c r="DD142" s="12"/>
    </row>
    <row r="143" ht="22.5" customHeight="1">
      <c r="A143" s="10">
        <v>45986.69068347222</v>
      </c>
      <c r="B143" s="11" t="s">
        <v>369</v>
      </c>
      <c r="C143" s="11" t="s">
        <v>1</v>
      </c>
      <c r="D143" s="12"/>
      <c r="E143" s="12"/>
      <c r="F143" s="12"/>
      <c r="G143" s="12"/>
      <c r="H143" s="12"/>
      <c r="I143" s="12"/>
      <c r="J143" s="12"/>
      <c r="K143" s="12"/>
      <c r="L143" s="12"/>
      <c r="M143" s="12"/>
      <c r="N143" s="12"/>
      <c r="O143" s="12"/>
      <c r="P143" s="12"/>
      <c r="Q143" s="12"/>
      <c r="R143" s="12"/>
      <c r="S143" s="12"/>
      <c r="T143" s="12"/>
      <c r="U143" s="12"/>
      <c r="V143" s="12"/>
      <c r="W143" s="12"/>
      <c r="X143" s="12"/>
      <c r="Y143" s="12"/>
      <c r="Z143" s="12"/>
      <c r="AA143" s="12"/>
      <c r="AB143" s="12"/>
      <c r="AC143" s="12"/>
      <c r="AD143" s="12"/>
      <c r="AE143" s="12"/>
      <c r="AF143" s="12"/>
      <c r="AG143" s="12"/>
      <c r="AH143" s="12"/>
      <c r="AI143" s="12"/>
      <c r="AJ143" s="12"/>
      <c r="AK143" s="12"/>
      <c r="AL143" s="12"/>
      <c r="AM143" s="12"/>
      <c r="AN143" s="12"/>
      <c r="AO143" s="12"/>
      <c r="AP143" s="12"/>
      <c r="AQ143" s="12"/>
      <c r="AR143" s="12"/>
      <c r="AS143" s="12"/>
      <c r="AT143" s="12"/>
      <c r="AU143" s="12"/>
      <c r="AV143" s="12"/>
      <c r="AW143" s="12"/>
      <c r="AX143" s="12"/>
      <c r="AY143" s="12"/>
      <c r="AZ143" s="12"/>
      <c r="BA143" s="12"/>
      <c r="BB143" s="12"/>
      <c r="BC143" s="12"/>
      <c r="BD143" s="12"/>
      <c r="BE143" s="12"/>
      <c r="BF143" s="12"/>
      <c r="BG143" s="12"/>
      <c r="BH143" s="12"/>
      <c r="BI143" s="12"/>
      <c r="BJ143" s="12"/>
      <c r="BK143" s="12"/>
      <c r="BL143" s="12"/>
      <c r="BM143" s="12"/>
      <c r="BN143" s="12"/>
      <c r="BO143" s="12"/>
      <c r="BP143" s="12"/>
      <c r="BQ143" s="12"/>
      <c r="BR143" s="12"/>
      <c r="BS143" s="12"/>
      <c r="BT143" s="12"/>
      <c r="BU143" s="12"/>
      <c r="BV143" s="12"/>
      <c r="BW143" s="12"/>
      <c r="BX143" s="12"/>
      <c r="BY143" s="12"/>
      <c r="BZ143" s="12"/>
      <c r="CA143" s="12"/>
      <c r="CB143" s="12"/>
      <c r="CC143" s="12"/>
      <c r="CD143" s="12"/>
      <c r="CE143" s="12"/>
      <c r="CF143" s="12"/>
      <c r="CG143" s="12"/>
      <c r="CH143" s="17"/>
      <c r="CI143" s="17"/>
      <c r="CJ143" s="12"/>
      <c r="CK143" s="12"/>
      <c r="CL143" s="12"/>
      <c r="CM143" s="12"/>
      <c r="CN143" s="12"/>
      <c r="CO143" s="12"/>
      <c r="CP143" s="12"/>
      <c r="CQ143" s="12"/>
      <c r="CR143" s="12"/>
      <c r="CS143" s="12"/>
      <c r="CT143" s="12"/>
      <c r="CU143" s="16">
        <v>45728.0</v>
      </c>
      <c r="CV143" s="11" t="s">
        <v>157</v>
      </c>
      <c r="CW143" s="11" t="s">
        <v>719</v>
      </c>
      <c r="CX143" s="11" t="s">
        <v>449</v>
      </c>
      <c r="CY143" s="11" t="s">
        <v>720</v>
      </c>
      <c r="CZ143" s="11" t="s">
        <v>403</v>
      </c>
      <c r="DA143" s="11" t="s">
        <v>334</v>
      </c>
      <c r="DB143" s="11" t="s">
        <v>162</v>
      </c>
      <c r="DC143" s="15" t="s">
        <v>721</v>
      </c>
      <c r="DD143" s="17"/>
    </row>
    <row r="144" ht="22.5" customHeight="1">
      <c r="A144" s="10">
        <v>45986.6912450463</v>
      </c>
      <c r="B144" s="11" t="s">
        <v>207</v>
      </c>
      <c r="C144" s="11" t="s">
        <v>6</v>
      </c>
      <c r="D144" s="12"/>
      <c r="E144" s="12"/>
      <c r="F144" s="12"/>
      <c r="G144" s="12"/>
      <c r="H144" s="12"/>
      <c r="I144" s="12"/>
      <c r="J144" s="12"/>
      <c r="K144" s="12"/>
      <c r="L144" s="12"/>
      <c r="M144" s="12"/>
      <c r="N144" s="12"/>
      <c r="O144" s="12"/>
      <c r="P144" s="12"/>
      <c r="Q144" s="12"/>
      <c r="R144" s="12"/>
      <c r="S144" s="12"/>
      <c r="T144" s="12"/>
      <c r="U144" s="12"/>
      <c r="V144" s="12"/>
      <c r="W144" s="12"/>
      <c r="X144" s="12"/>
      <c r="Y144" s="12"/>
      <c r="Z144" s="12"/>
      <c r="AA144" s="12"/>
      <c r="AB144" s="12"/>
      <c r="AC144" s="12"/>
      <c r="AD144" s="12"/>
      <c r="AE144" s="12"/>
      <c r="AF144" s="12"/>
      <c r="AG144" s="12"/>
      <c r="AH144" s="12"/>
      <c r="AI144" s="12"/>
      <c r="AJ144" s="12"/>
      <c r="AK144" s="12"/>
      <c r="AL144" s="12"/>
      <c r="AM144" s="12"/>
      <c r="AN144" s="12"/>
      <c r="AO144" s="12"/>
      <c r="AP144" s="12"/>
      <c r="AQ144" s="12"/>
      <c r="AR144" s="12"/>
      <c r="AS144" s="12"/>
      <c r="AT144" s="12"/>
      <c r="AU144" s="12"/>
      <c r="AV144" s="12"/>
      <c r="AW144" s="12"/>
      <c r="AX144" s="12"/>
      <c r="AY144" s="12"/>
      <c r="AZ144" s="16">
        <v>45301.0</v>
      </c>
      <c r="BA144" s="11" t="s">
        <v>318</v>
      </c>
      <c r="BB144" s="11" t="s">
        <v>722</v>
      </c>
      <c r="BC144" s="11" t="s">
        <v>723</v>
      </c>
      <c r="BD144" s="16">
        <v>45414.0</v>
      </c>
      <c r="BE144" s="11" t="s">
        <v>122</v>
      </c>
      <c r="BF144" s="11" t="s">
        <v>724</v>
      </c>
      <c r="BG144" s="11" t="s">
        <v>725</v>
      </c>
      <c r="BH144" s="11" t="s">
        <v>212</v>
      </c>
      <c r="BI144" s="11" t="s">
        <v>726</v>
      </c>
      <c r="BJ144" s="11" t="s">
        <v>214</v>
      </c>
      <c r="BK144" s="15" t="s">
        <v>727</v>
      </c>
      <c r="BL144" s="12"/>
      <c r="BM144" s="12"/>
      <c r="BN144" s="12"/>
      <c r="BO144" s="12"/>
      <c r="BP144" s="12"/>
      <c r="BQ144" s="12"/>
      <c r="BR144" s="12"/>
      <c r="BS144" s="12"/>
      <c r="BT144" s="12"/>
      <c r="BU144" s="12"/>
      <c r="BV144" s="12"/>
      <c r="BW144" s="12"/>
      <c r="BX144" s="12"/>
      <c r="BY144" s="12"/>
      <c r="BZ144" s="12"/>
      <c r="CA144" s="12"/>
      <c r="CB144" s="12"/>
      <c r="CC144" s="12"/>
      <c r="CD144" s="12"/>
      <c r="CE144" s="12"/>
      <c r="CF144" s="12"/>
      <c r="CG144" s="12"/>
      <c r="CH144" s="12"/>
      <c r="CI144" s="12"/>
      <c r="CJ144" s="12"/>
      <c r="CK144" s="12"/>
      <c r="CL144" s="12"/>
      <c r="CM144" s="12"/>
      <c r="CN144" s="12"/>
      <c r="CO144" s="12"/>
      <c r="CP144" s="12"/>
      <c r="CQ144" s="12"/>
      <c r="CR144" s="12"/>
      <c r="CS144" s="12"/>
      <c r="CT144" s="12"/>
      <c r="CU144" s="12"/>
      <c r="CV144" s="12"/>
      <c r="CW144" s="12"/>
      <c r="CX144" s="12"/>
      <c r="CY144" s="12"/>
      <c r="CZ144" s="12"/>
      <c r="DA144" s="12"/>
      <c r="DB144" s="12"/>
      <c r="DC144" s="12"/>
      <c r="DD144" s="12"/>
    </row>
    <row r="145" ht="22.5" customHeight="1">
      <c r="A145" s="10">
        <v>45986.694309583334</v>
      </c>
      <c r="B145" s="11" t="s">
        <v>207</v>
      </c>
      <c r="C145" s="11" t="s">
        <v>6</v>
      </c>
      <c r="D145" s="12"/>
      <c r="E145" s="12"/>
      <c r="F145" s="12"/>
      <c r="G145" s="12"/>
      <c r="H145" s="12"/>
      <c r="I145" s="12"/>
      <c r="J145" s="12"/>
      <c r="K145" s="12"/>
      <c r="L145" s="12"/>
      <c r="M145" s="12"/>
      <c r="N145" s="12"/>
      <c r="O145" s="12"/>
      <c r="P145" s="12"/>
      <c r="Q145" s="12"/>
      <c r="R145" s="12"/>
      <c r="S145" s="12"/>
      <c r="T145" s="12"/>
      <c r="U145" s="12"/>
      <c r="V145" s="12"/>
      <c r="W145" s="12"/>
      <c r="X145" s="12"/>
      <c r="Y145" s="12"/>
      <c r="Z145" s="12"/>
      <c r="AA145" s="12"/>
      <c r="AB145" s="12"/>
      <c r="AC145" s="12"/>
      <c r="AD145" s="12"/>
      <c r="AE145" s="12"/>
      <c r="AF145" s="12"/>
      <c r="AG145" s="12"/>
      <c r="AH145" s="12"/>
      <c r="AI145" s="12"/>
      <c r="AJ145" s="12"/>
      <c r="AK145" s="12"/>
      <c r="AL145" s="12"/>
      <c r="AM145" s="12"/>
      <c r="AN145" s="12"/>
      <c r="AO145" s="12"/>
      <c r="AP145" s="12"/>
      <c r="AQ145" s="12"/>
      <c r="AR145" s="12"/>
      <c r="AS145" s="12"/>
      <c r="AT145" s="12"/>
      <c r="AU145" s="12"/>
      <c r="AV145" s="12"/>
      <c r="AW145" s="12"/>
      <c r="AX145" s="12"/>
      <c r="AY145" s="12"/>
      <c r="AZ145" s="16">
        <v>45336.0</v>
      </c>
      <c r="BA145" s="11" t="s">
        <v>318</v>
      </c>
      <c r="BB145" s="11" t="s">
        <v>728</v>
      </c>
      <c r="BC145" s="11" t="s">
        <v>305</v>
      </c>
      <c r="BD145" s="16">
        <v>45378.0</v>
      </c>
      <c r="BE145" s="11" t="s">
        <v>122</v>
      </c>
      <c r="BF145" s="11" t="s">
        <v>729</v>
      </c>
      <c r="BG145" s="11" t="s">
        <v>730</v>
      </c>
      <c r="BH145" s="11" t="s">
        <v>212</v>
      </c>
      <c r="BI145" s="11" t="s">
        <v>726</v>
      </c>
      <c r="BJ145" s="11" t="s">
        <v>214</v>
      </c>
      <c r="BK145" s="15" t="s">
        <v>731</v>
      </c>
      <c r="BL145" s="12"/>
      <c r="BM145" s="12"/>
      <c r="BN145" s="12"/>
      <c r="BO145" s="12"/>
      <c r="BP145" s="12"/>
      <c r="BQ145" s="12"/>
      <c r="BR145" s="12"/>
      <c r="BS145" s="12"/>
      <c r="BT145" s="12"/>
      <c r="BU145" s="12"/>
      <c r="BV145" s="12"/>
      <c r="BW145" s="12"/>
      <c r="BX145" s="12"/>
      <c r="BY145" s="12"/>
      <c r="BZ145" s="12"/>
      <c r="CA145" s="12"/>
      <c r="CB145" s="12"/>
      <c r="CC145" s="12"/>
      <c r="CD145" s="12"/>
      <c r="CE145" s="12"/>
      <c r="CF145" s="12"/>
      <c r="CG145" s="12"/>
      <c r="CH145" s="12"/>
      <c r="CI145" s="12"/>
      <c r="CJ145" s="12"/>
      <c r="CK145" s="12"/>
      <c r="CL145" s="12"/>
      <c r="CM145" s="12"/>
      <c r="CN145" s="12"/>
      <c r="CO145" s="12"/>
      <c r="CP145" s="12"/>
      <c r="CQ145" s="12"/>
      <c r="CR145" s="12"/>
      <c r="CS145" s="12"/>
      <c r="CT145" s="12"/>
      <c r="CU145" s="12"/>
      <c r="CV145" s="12"/>
      <c r="CW145" s="12"/>
      <c r="CX145" s="12"/>
      <c r="CY145" s="12"/>
      <c r="CZ145" s="12"/>
      <c r="DA145" s="12"/>
      <c r="DB145" s="12"/>
      <c r="DC145" s="12"/>
      <c r="DD145" s="12"/>
    </row>
    <row r="146" ht="22.5" customHeight="1">
      <c r="A146" s="10">
        <v>45986.69432013889</v>
      </c>
      <c r="B146" s="11" t="s">
        <v>369</v>
      </c>
      <c r="C146" s="11" t="s">
        <v>1</v>
      </c>
      <c r="D146" s="12"/>
      <c r="E146" s="12"/>
      <c r="F146" s="12"/>
      <c r="G146" s="12"/>
      <c r="H146" s="12"/>
      <c r="I146" s="12"/>
      <c r="J146" s="12"/>
      <c r="K146" s="12"/>
      <c r="L146" s="12"/>
      <c r="M146" s="12"/>
      <c r="N146" s="12"/>
      <c r="O146" s="12"/>
      <c r="P146" s="12"/>
      <c r="Q146" s="12"/>
      <c r="R146" s="12"/>
      <c r="S146" s="12"/>
      <c r="T146" s="12"/>
      <c r="U146" s="12"/>
      <c r="V146" s="12"/>
      <c r="W146" s="12"/>
      <c r="X146" s="12"/>
      <c r="Y146" s="12"/>
      <c r="Z146" s="12"/>
      <c r="AA146" s="12"/>
      <c r="AB146" s="12"/>
      <c r="AC146" s="12"/>
      <c r="AD146" s="12"/>
      <c r="AE146" s="12"/>
      <c r="AF146" s="12"/>
      <c r="AG146" s="12"/>
      <c r="AH146" s="12"/>
      <c r="AI146" s="12"/>
      <c r="AJ146" s="12"/>
      <c r="AK146" s="12"/>
      <c r="AL146" s="12"/>
      <c r="AM146" s="12"/>
      <c r="AN146" s="12"/>
      <c r="AO146" s="12"/>
      <c r="AP146" s="12"/>
      <c r="AQ146" s="12"/>
      <c r="AR146" s="12"/>
      <c r="AS146" s="12"/>
      <c r="AT146" s="12"/>
      <c r="AU146" s="12"/>
      <c r="AV146" s="12"/>
      <c r="AW146" s="12"/>
      <c r="AX146" s="12"/>
      <c r="AY146" s="12"/>
      <c r="AZ146" s="12"/>
      <c r="BA146" s="12"/>
      <c r="BB146" s="12"/>
      <c r="BC146" s="12"/>
      <c r="BD146" s="12"/>
      <c r="BE146" s="12"/>
      <c r="BF146" s="12"/>
      <c r="BG146" s="12"/>
      <c r="BH146" s="12"/>
      <c r="BI146" s="12"/>
      <c r="BJ146" s="12"/>
      <c r="BK146" s="12"/>
      <c r="BL146" s="12"/>
      <c r="BM146" s="12"/>
      <c r="BN146" s="12"/>
      <c r="BO146" s="12"/>
      <c r="BP146" s="12"/>
      <c r="BQ146" s="12"/>
      <c r="BR146" s="12"/>
      <c r="BS146" s="12"/>
      <c r="BT146" s="12"/>
      <c r="BU146" s="12"/>
      <c r="BV146" s="12"/>
      <c r="BW146" s="12"/>
      <c r="BX146" s="12"/>
      <c r="BY146" s="12"/>
      <c r="BZ146" s="12"/>
      <c r="CA146" s="12"/>
      <c r="CB146" s="12"/>
      <c r="CC146" s="12"/>
      <c r="CD146" s="12"/>
      <c r="CE146" s="12"/>
      <c r="CF146" s="12"/>
      <c r="CG146" s="12"/>
      <c r="CH146" s="17"/>
      <c r="CI146" s="17"/>
      <c r="CJ146" s="12"/>
      <c r="CK146" s="12"/>
      <c r="CL146" s="12"/>
      <c r="CM146" s="12"/>
      <c r="CN146" s="12"/>
      <c r="CO146" s="12"/>
      <c r="CP146" s="12"/>
      <c r="CQ146" s="12"/>
      <c r="CR146" s="12"/>
      <c r="CS146" s="12"/>
      <c r="CT146" s="12"/>
      <c r="CU146" s="16">
        <v>45734.0</v>
      </c>
      <c r="CV146" s="11" t="s">
        <v>406</v>
      </c>
      <c r="CW146" s="11" t="s">
        <v>732</v>
      </c>
      <c r="CX146" s="11" t="s">
        <v>733</v>
      </c>
      <c r="CY146" s="11" t="s">
        <v>734</v>
      </c>
      <c r="CZ146" s="11" t="s">
        <v>735</v>
      </c>
      <c r="DA146" s="11" t="s">
        <v>736</v>
      </c>
      <c r="DB146" s="11" t="s">
        <v>162</v>
      </c>
      <c r="DC146" s="15" t="s">
        <v>737</v>
      </c>
      <c r="DD146" s="17"/>
    </row>
    <row r="147" ht="22.5" customHeight="1">
      <c r="A147" s="10">
        <v>45986.69619202546</v>
      </c>
      <c r="B147" s="11" t="s">
        <v>369</v>
      </c>
      <c r="C147" s="11" t="s">
        <v>1</v>
      </c>
      <c r="D147" s="12"/>
      <c r="E147" s="12"/>
      <c r="F147" s="12"/>
      <c r="G147" s="12"/>
      <c r="H147" s="12"/>
      <c r="I147" s="12"/>
      <c r="J147" s="12"/>
      <c r="K147" s="12"/>
      <c r="L147" s="12"/>
      <c r="M147" s="12"/>
      <c r="N147" s="12"/>
      <c r="O147" s="12"/>
      <c r="P147" s="12"/>
      <c r="Q147" s="12"/>
      <c r="R147" s="12"/>
      <c r="S147" s="12"/>
      <c r="T147" s="12"/>
      <c r="U147" s="12"/>
      <c r="V147" s="12"/>
      <c r="W147" s="12"/>
      <c r="X147" s="12"/>
      <c r="Y147" s="12"/>
      <c r="Z147" s="12"/>
      <c r="AA147" s="12"/>
      <c r="AB147" s="12"/>
      <c r="AC147" s="12"/>
      <c r="AD147" s="12"/>
      <c r="AE147" s="12"/>
      <c r="AF147" s="12"/>
      <c r="AG147" s="12"/>
      <c r="AH147" s="12"/>
      <c r="AI147" s="12"/>
      <c r="AJ147" s="12"/>
      <c r="AK147" s="12"/>
      <c r="AL147" s="12"/>
      <c r="AM147" s="12"/>
      <c r="AN147" s="12"/>
      <c r="AO147" s="12"/>
      <c r="AP147" s="12"/>
      <c r="AQ147" s="12"/>
      <c r="AR147" s="12"/>
      <c r="AS147" s="12"/>
      <c r="AT147" s="12"/>
      <c r="AU147" s="12"/>
      <c r="AV147" s="12"/>
      <c r="AW147" s="12"/>
      <c r="AX147" s="12"/>
      <c r="AY147" s="12"/>
      <c r="AZ147" s="12"/>
      <c r="BA147" s="12"/>
      <c r="BB147" s="12"/>
      <c r="BC147" s="12"/>
      <c r="BD147" s="12"/>
      <c r="BE147" s="12"/>
      <c r="BF147" s="12"/>
      <c r="BG147" s="12"/>
      <c r="BH147" s="12"/>
      <c r="BI147" s="12"/>
      <c r="BJ147" s="12"/>
      <c r="BK147" s="12"/>
      <c r="BL147" s="12"/>
      <c r="BM147" s="12"/>
      <c r="BN147" s="12"/>
      <c r="BO147" s="12"/>
      <c r="BP147" s="12"/>
      <c r="BQ147" s="12"/>
      <c r="BR147" s="12"/>
      <c r="BS147" s="12"/>
      <c r="BT147" s="12"/>
      <c r="BU147" s="12"/>
      <c r="BV147" s="12"/>
      <c r="BW147" s="12"/>
      <c r="BX147" s="12"/>
      <c r="BY147" s="12"/>
      <c r="BZ147" s="12"/>
      <c r="CA147" s="12"/>
      <c r="CB147" s="12"/>
      <c r="CC147" s="12"/>
      <c r="CD147" s="12"/>
      <c r="CE147" s="12"/>
      <c r="CF147" s="12"/>
      <c r="CG147" s="12"/>
      <c r="CH147" s="17"/>
      <c r="CI147" s="17"/>
      <c r="CJ147" s="12"/>
      <c r="CK147" s="12"/>
      <c r="CL147" s="12"/>
      <c r="CM147" s="12"/>
      <c r="CN147" s="12"/>
      <c r="CO147" s="12"/>
      <c r="CP147" s="12"/>
      <c r="CQ147" s="12"/>
      <c r="CR147" s="12"/>
      <c r="CS147" s="12"/>
      <c r="CT147" s="12"/>
      <c r="CU147" s="16">
        <v>45736.0</v>
      </c>
      <c r="CV147" s="11" t="s">
        <v>157</v>
      </c>
      <c r="CW147" s="11" t="s">
        <v>738</v>
      </c>
      <c r="CX147" s="11" t="s">
        <v>458</v>
      </c>
      <c r="CY147" s="11" t="s">
        <v>739</v>
      </c>
      <c r="CZ147" s="11" t="s">
        <v>403</v>
      </c>
      <c r="DA147" s="11" t="s">
        <v>334</v>
      </c>
      <c r="DB147" s="11" t="s">
        <v>267</v>
      </c>
      <c r="DC147" s="15" t="s">
        <v>740</v>
      </c>
      <c r="DD147" s="17"/>
    </row>
    <row r="148" ht="22.5" customHeight="1">
      <c r="A148" s="10">
        <v>45986.697380972226</v>
      </c>
      <c r="B148" s="11" t="s">
        <v>207</v>
      </c>
      <c r="C148" s="11" t="s">
        <v>6</v>
      </c>
      <c r="D148" s="12"/>
      <c r="E148" s="12"/>
      <c r="F148" s="12"/>
      <c r="G148" s="12"/>
      <c r="H148" s="12"/>
      <c r="I148" s="12"/>
      <c r="J148" s="12"/>
      <c r="K148" s="12"/>
      <c r="L148" s="12"/>
      <c r="M148" s="12"/>
      <c r="N148" s="12"/>
      <c r="O148" s="12"/>
      <c r="P148" s="12"/>
      <c r="Q148" s="12"/>
      <c r="R148" s="12"/>
      <c r="S148" s="12"/>
      <c r="T148" s="12"/>
      <c r="U148" s="12"/>
      <c r="V148" s="12"/>
      <c r="W148" s="12"/>
      <c r="X148" s="12"/>
      <c r="Y148" s="12"/>
      <c r="Z148" s="12"/>
      <c r="AA148" s="12"/>
      <c r="AB148" s="12"/>
      <c r="AC148" s="12"/>
      <c r="AD148" s="12"/>
      <c r="AE148" s="12"/>
      <c r="AF148" s="12"/>
      <c r="AG148" s="12"/>
      <c r="AH148" s="12"/>
      <c r="AI148" s="12"/>
      <c r="AJ148" s="12"/>
      <c r="AK148" s="12"/>
      <c r="AL148" s="12"/>
      <c r="AM148" s="12"/>
      <c r="AN148" s="12"/>
      <c r="AO148" s="12"/>
      <c r="AP148" s="12"/>
      <c r="AQ148" s="12"/>
      <c r="AR148" s="12"/>
      <c r="AS148" s="12"/>
      <c r="AT148" s="12"/>
      <c r="AU148" s="12"/>
      <c r="AV148" s="12"/>
      <c r="AW148" s="12"/>
      <c r="AX148" s="12"/>
      <c r="AY148" s="12"/>
      <c r="AZ148" s="16">
        <v>45347.0</v>
      </c>
      <c r="BA148" s="11" t="s">
        <v>318</v>
      </c>
      <c r="BB148" s="11" t="s">
        <v>741</v>
      </c>
      <c r="BC148" s="11" t="s">
        <v>305</v>
      </c>
      <c r="BD148" s="16">
        <v>45454.0</v>
      </c>
      <c r="BE148" s="11" t="s">
        <v>122</v>
      </c>
      <c r="BF148" s="11" t="s">
        <v>742</v>
      </c>
      <c r="BG148" s="11" t="s">
        <v>743</v>
      </c>
      <c r="BH148" s="11" t="s">
        <v>212</v>
      </c>
      <c r="BI148" s="11" t="s">
        <v>283</v>
      </c>
      <c r="BJ148" s="11" t="s">
        <v>214</v>
      </c>
      <c r="BK148" s="15" t="s">
        <v>744</v>
      </c>
      <c r="BL148" s="12"/>
      <c r="BM148" s="12"/>
      <c r="BN148" s="12"/>
      <c r="BO148" s="12"/>
      <c r="BP148" s="12"/>
      <c r="BQ148" s="12"/>
      <c r="BR148" s="12"/>
      <c r="BS148" s="12"/>
      <c r="BT148" s="12"/>
      <c r="BU148" s="12"/>
      <c r="BV148" s="12"/>
      <c r="BW148" s="12"/>
      <c r="BX148" s="12"/>
      <c r="BY148" s="12"/>
      <c r="BZ148" s="12"/>
      <c r="CA148" s="12"/>
      <c r="CB148" s="12"/>
      <c r="CC148" s="12"/>
      <c r="CD148" s="12"/>
      <c r="CE148" s="12"/>
      <c r="CF148" s="12"/>
      <c r="CG148" s="12"/>
      <c r="CH148" s="12"/>
      <c r="CI148" s="12"/>
      <c r="CJ148" s="12"/>
      <c r="CK148" s="12"/>
      <c r="CL148" s="12"/>
      <c r="CM148" s="12"/>
      <c r="CN148" s="12"/>
      <c r="CO148" s="12"/>
      <c r="CP148" s="12"/>
      <c r="CQ148" s="12"/>
      <c r="CR148" s="12"/>
      <c r="CS148" s="12"/>
      <c r="CT148" s="12"/>
      <c r="CU148" s="12"/>
      <c r="CV148" s="12"/>
      <c r="CW148" s="12"/>
      <c r="CX148" s="12"/>
      <c r="CY148" s="12"/>
      <c r="CZ148" s="12"/>
      <c r="DA148" s="12"/>
      <c r="DB148" s="12"/>
      <c r="DC148" s="12"/>
      <c r="DD148" s="12"/>
    </row>
    <row r="149" ht="22.5" customHeight="1">
      <c r="A149" s="10">
        <v>45986.69782071759</v>
      </c>
      <c r="B149" s="11" t="s">
        <v>369</v>
      </c>
      <c r="C149" s="11" t="s">
        <v>1</v>
      </c>
      <c r="D149" s="12"/>
      <c r="E149" s="12"/>
      <c r="F149" s="12"/>
      <c r="G149" s="12"/>
      <c r="H149" s="12"/>
      <c r="I149" s="12"/>
      <c r="J149" s="12"/>
      <c r="K149" s="12"/>
      <c r="L149" s="12"/>
      <c r="M149" s="12"/>
      <c r="N149" s="12"/>
      <c r="O149" s="12"/>
      <c r="P149" s="12"/>
      <c r="Q149" s="12"/>
      <c r="R149" s="12"/>
      <c r="S149" s="12"/>
      <c r="T149" s="12"/>
      <c r="U149" s="12"/>
      <c r="V149" s="12"/>
      <c r="W149" s="12"/>
      <c r="X149" s="12"/>
      <c r="Y149" s="12"/>
      <c r="Z149" s="12"/>
      <c r="AA149" s="12"/>
      <c r="AB149" s="12"/>
      <c r="AC149" s="12"/>
      <c r="AD149" s="12"/>
      <c r="AE149" s="12"/>
      <c r="AF149" s="12"/>
      <c r="AG149" s="12"/>
      <c r="AH149" s="12"/>
      <c r="AI149" s="12"/>
      <c r="AJ149" s="12"/>
      <c r="AK149" s="12"/>
      <c r="AL149" s="12"/>
      <c r="AM149" s="12"/>
      <c r="AN149" s="12"/>
      <c r="AO149" s="12"/>
      <c r="AP149" s="12"/>
      <c r="AQ149" s="12"/>
      <c r="AR149" s="12"/>
      <c r="AS149" s="12"/>
      <c r="AT149" s="12"/>
      <c r="AU149" s="12"/>
      <c r="AV149" s="12"/>
      <c r="AW149" s="12"/>
      <c r="AX149" s="12"/>
      <c r="AY149" s="12"/>
      <c r="AZ149" s="12"/>
      <c r="BA149" s="12"/>
      <c r="BB149" s="12"/>
      <c r="BC149" s="12"/>
      <c r="BD149" s="12"/>
      <c r="BE149" s="12"/>
      <c r="BF149" s="12"/>
      <c r="BG149" s="12"/>
      <c r="BH149" s="12"/>
      <c r="BI149" s="12"/>
      <c r="BJ149" s="12"/>
      <c r="BK149" s="12"/>
      <c r="BL149" s="12"/>
      <c r="BM149" s="12"/>
      <c r="BN149" s="12"/>
      <c r="BO149" s="12"/>
      <c r="BP149" s="12"/>
      <c r="BQ149" s="12"/>
      <c r="BR149" s="12"/>
      <c r="BS149" s="12"/>
      <c r="BT149" s="12"/>
      <c r="BU149" s="12"/>
      <c r="BV149" s="12"/>
      <c r="BW149" s="12"/>
      <c r="BX149" s="12"/>
      <c r="BY149" s="12"/>
      <c r="BZ149" s="12"/>
      <c r="CA149" s="12"/>
      <c r="CB149" s="12"/>
      <c r="CC149" s="12"/>
      <c r="CD149" s="12"/>
      <c r="CE149" s="12"/>
      <c r="CF149" s="12"/>
      <c r="CG149" s="12"/>
      <c r="CH149" s="17"/>
      <c r="CI149" s="17"/>
      <c r="CJ149" s="12"/>
      <c r="CK149" s="12"/>
      <c r="CL149" s="12"/>
      <c r="CM149" s="12"/>
      <c r="CN149" s="12"/>
      <c r="CO149" s="12"/>
      <c r="CP149" s="12"/>
      <c r="CQ149" s="12"/>
      <c r="CR149" s="12"/>
      <c r="CS149" s="12"/>
      <c r="CT149" s="12"/>
      <c r="CU149" s="16">
        <v>45740.0</v>
      </c>
      <c r="CV149" s="11" t="s">
        <v>157</v>
      </c>
      <c r="CW149" s="11" t="s">
        <v>745</v>
      </c>
      <c r="CX149" s="11" t="s">
        <v>396</v>
      </c>
      <c r="CY149" s="11" t="s">
        <v>746</v>
      </c>
      <c r="CZ149" s="11" t="s">
        <v>403</v>
      </c>
      <c r="DA149" s="11" t="s">
        <v>334</v>
      </c>
      <c r="DB149" s="11" t="s">
        <v>267</v>
      </c>
      <c r="DC149" s="15" t="s">
        <v>747</v>
      </c>
      <c r="DD149" s="17"/>
    </row>
    <row r="150" ht="22.5" customHeight="1">
      <c r="A150" s="10">
        <v>45986.70265438658</v>
      </c>
      <c r="B150" s="11" t="s">
        <v>120</v>
      </c>
      <c r="C150" s="11" t="s">
        <v>4</v>
      </c>
      <c r="D150" s="12"/>
      <c r="E150" s="12"/>
      <c r="F150" s="12"/>
      <c r="G150" s="12"/>
      <c r="H150" s="12"/>
      <c r="I150" s="12"/>
      <c r="J150" s="12"/>
      <c r="K150" s="12"/>
      <c r="L150" s="12"/>
      <c r="M150" s="12"/>
      <c r="N150" s="12"/>
      <c r="O150" s="12"/>
      <c r="P150" s="12"/>
      <c r="Q150" s="12"/>
      <c r="R150" s="12"/>
      <c r="S150" s="12"/>
      <c r="T150" s="12"/>
      <c r="U150" s="12"/>
      <c r="V150" s="12"/>
      <c r="W150" s="12"/>
      <c r="X150" s="12"/>
      <c r="Y150" s="12"/>
      <c r="Z150" s="12"/>
      <c r="AA150" s="12"/>
      <c r="AB150" s="12"/>
      <c r="AC150" s="12"/>
      <c r="AD150" s="12"/>
      <c r="AE150" s="12"/>
      <c r="AF150" s="12"/>
      <c r="AG150" s="12"/>
      <c r="AH150" s="12"/>
      <c r="AI150" s="12"/>
      <c r="AJ150" s="12"/>
      <c r="AK150" s="12"/>
      <c r="AL150" s="12"/>
      <c r="AM150" s="12"/>
      <c r="AN150" s="12"/>
      <c r="AO150" s="12"/>
      <c r="AP150" s="12"/>
      <c r="AQ150" s="12"/>
      <c r="AR150" s="12"/>
      <c r="AS150" s="12"/>
      <c r="AT150" s="12"/>
      <c r="AU150" s="12"/>
      <c r="AV150" s="12"/>
      <c r="AW150" s="12"/>
      <c r="AX150" s="12"/>
      <c r="AY150" s="12"/>
      <c r="AZ150" s="12"/>
      <c r="BA150" s="12"/>
      <c r="BB150" s="12"/>
      <c r="BC150" s="12"/>
      <c r="BD150" s="12"/>
      <c r="BE150" s="12"/>
      <c r="BF150" s="12"/>
      <c r="BG150" s="12"/>
      <c r="BH150" s="12"/>
      <c r="BI150" s="12"/>
      <c r="BJ150" s="12"/>
      <c r="BK150" s="12"/>
      <c r="BL150" s="12"/>
      <c r="BM150" s="12"/>
      <c r="BN150" s="12"/>
      <c r="BO150" s="12"/>
      <c r="BP150" s="12"/>
      <c r="BQ150" s="12"/>
      <c r="BR150" s="12"/>
      <c r="BS150" s="12"/>
      <c r="BT150" s="12"/>
      <c r="BU150" s="12"/>
      <c r="BV150" s="12"/>
      <c r="BW150" s="16">
        <v>45098.0</v>
      </c>
      <c r="BX150" s="11" t="s">
        <v>748</v>
      </c>
      <c r="BY150" s="11" t="s">
        <v>749</v>
      </c>
      <c r="BZ150" s="11" t="s">
        <v>750</v>
      </c>
      <c r="CA150" s="11" t="s">
        <v>751</v>
      </c>
      <c r="CB150" s="11" t="s">
        <v>267</v>
      </c>
      <c r="CC150" s="15" t="s">
        <v>752</v>
      </c>
      <c r="CD150" s="12"/>
      <c r="CE150" s="12"/>
      <c r="CF150" s="12"/>
      <c r="CG150" s="12"/>
      <c r="CH150" s="12"/>
      <c r="CI150" s="12"/>
      <c r="CJ150" s="12"/>
      <c r="CK150" s="12"/>
      <c r="CL150" s="12"/>
      <c r="CM150" s="12"/>
      <c r="CN150" s="12"/>
      <c r="CO150" s="12"/>
      <c r="CP150" s="12"/>
      <c r="CQ150" s="12"/>
      <c r="CR150" s="12"/>
      <c r="CS150" s="12"/>
      <c r="CT150" s="12"/>
      <c r="CU150" s="12"/>
      <c r="CV150" s="12"/>
      <c r="CW150" s="12"/>
      <c r="CX150" s="12"/>
      <c r="CY150" s="12"/>
      <c r="CZ150" s="12"/>
      <c r="DA150" s="12"/>
      <c r="DB150" s="12"/>
      <c r="DC150" s="12"/>
      <c r="DD150" s="12"/>
    </row>
    <row r="151" ht="22.5" customHeight="1">
      <c r="A151" s="10">
        <v>45986.70830293982</v>
      </c>
      <c r="B151" s="11" t="s">
        <v>120</v>
      </c>
      <c r="C151" s="11" t="s">
        <v>4</v>
      </c>
      <c r="D151" s="12"/>
      <c r="E151" s="12"/>
      <c r="F151" s="12"/>
      <c r="G151" s="12"/>
      <c r="H151" s="12"/>
      <c r="I151" s="12"/>
      <c r="J151" s="12"/>
      <c r="K151" s="12"/>
      <c r="L151" s="12"/>
      <c r="M151" s="12"/>
      <c r="N151" s="12"/>
      <c r="O151" s="12"/>
      <c r="P151" s="12"/>
      <c r="Q151" s="12"/>
      <c r="R151" s="12"/>
      <c r="S151" s="12"/>
      <c r="T151" s="12"/>
      <c r="U151" s="12"/>
      <c r="V151" s="12"/>
      <c r="W151" s="12"/>
      <c r="X151" s="12"/>
      <c r="Y151" s="12"/>
      <c r="Z151" s="12"/>
      <c r="AA151" s="12"/>
      <c r="AB151" s="12"/>
      <c r="AC151" s="12"/>
      <c r="AD151" s="12"/>
      <c r="AE151" s="12"/>
      <c r="AF151" s="12"/>
      <c r="AG151" s="12"/>
      <c r="AH151" s="12"/>
      <c r="AI151" s="12"/>
      <c r="AJ151" s="12"/>
      <c r="AK151" s="12"/>
      <c r="AL151" s="12"/>
      <c r="AM151" s="12"/>
      <c r="AN151" s="12"/>
      <c r="AO151" s="12"/>
      <c r="AP151" s="12"/>
      <c r="AQ151" s="12"/>
      <c r="AR151" s="12"/>
      <c r="AS151" s="12"/>
      <c r="AT151" s="12"/>
      <c r="AU151" s="12"/>
      <c r="AV151" s="12"/>
      <c r="AW151" s="12"/>
      <c r="AX151" s="12"/>
      <c r="AY151" s="12"/>
      <c r="AZ151" s="12"/>
      <c r="BA151" s="12"/>
      <c r="BB151" s="12"/>
      <c r="BC151" s="12"/>
      <c r="BD151" s="12"/>
      <c r="BE151" s="12"/>
      <c r="BF151" s="12"/>
      <c r="BG151" s="12"/>
      <c r="BH151" s="12"/>
      <c r="BI151" s="12"/>
      <c r="BJ151" s="12"/>
      <c r="BK151" s="12"/>
      <c r="BL151" s="12"/>
      <c r="BM151" s="12"/>
      <c r="BN151" s="12"/>
      <c r="BO151" s="12"/>
      <c r="BP151" s="12"/>
      <c r="BQ151" s="12"/>
      <c r="BR151" s="12"/>
      <c r="BS151" s="12"/>
      <c r="BT151" s="12"/>
      <c r="BU151" s="12"/>
      <c r="BV151" s="12"/>
      <c r="BW151" s="16">
        <v>45524.0</v>
      </c>
      <c r="BX151" s="11" t="s">
        <v>753</v>
      </c>
      <c r="BY151" s="11" t="s">
        <v>749</v>
      </c>
      <c r="BZ151" s="11" t="s">
        <v>750</v>
      </c>
      <c r="CA151" s="11" t="s">
        <v>754</v>
      </c>
      <c r="CB151" s="11" t="s">
        <v>267</v>
      </c>
      <c r="CC151" s="15" t="s">
        <v>755</v>
      </c>
      <c r="CD151" s="12"/>
      <c r="CE151" s="12"/>
      <c r="CF151" s="12"/>
      <c r="CG151" s="12"/>
      <c r="CH151" s="12"/>
      <c r="CI151" s="12"/>
      <c r="CJ151" s="12"/>
      <c r="CK151" s="12"/>
      <c r="CL151" s="12"/>
      <c r="CM151" s="12"/>
      <c r="CN151" s="12"/>
      <c r="CO151" s="12"/>
      <c r="CP151" s="12"/>
      <c r="CQ151" s="12"/>
      <c r="CR151" s="12"/>
      <c r="CS151" s="12"/>
      <c r="CT151" s="12"/>
      <c r="CU151" s="12"/>
      <c r="CV151" s="12"/>
      <c r="CW151" s="12"/>
      <c r="CX151" s="12"/>
      <c r="CY151" s="12"/>
      <c r="CZ151" s="12"/>
      <c r="DA151" s="12"/>
      <c r="DB151" s="12"/>
      <c r="DC151" s="12"/>
      <c r="DD151" s="12"/>
    </row>
    <row r="152" ht="22.5" customHeight="1">
      <c r="A152" s="10">
        <v>45986.715956597225</v>
      </c>
      <c r="B152" s="11" t="s">
        <v>120</v>
      </c>
      <c r="C152" s="11" t="s">
        <v>4</v>
      </c>
      <c r="D152" s="12"/>
      <c r="E152" s="12"/>
      <c r="F152" s="12"/>
      <c r="G152" s="12"/>
      <c r="H152" s="12"/>
      <c r="I152" s="12"/>
      <c r="J152" s="12"/>
      <c r="K152" s="12"/>
      <c r="L152" s="12"/>
      <c r="M152" s="12"/>
      <c r="N152" s="12"/>
      <c r="O152" s="12"/>
      <c r="P152" s="12"/>
      <c r="Q152" s="12"/>
      <c r="R152" s="12"/>
      <c r="S152" s="12"/>
      <c r="T152" s="12"/>
      <c r="U152" s="12"/>
      <c r="V152" s="12"/>
      <c r="W152" s="12"/>
      <c r="X152" s="12"/>
      <c r="Y152" s="12"/>
      <c r="Z152" s="12"/>
      <c r="AA152" s="12"/>
      <c r="AB152" s="12"/>
      <c r="AC152" s="12"/>
      <c r="AD152" s="12"/>
      <c r="AE152" s="12"/>
      <c r="AF152" s="12"/>
      <c r="AG152" s="12"/>
      <c r="AH152" s="12"/>
      <c r="AI152" s="12"/>
      <c r="AJ152" s="12"/>
      <c r="AK152" s="12"/>
      <c r="AL152" s="12"/>
      <c r="AM152" s="12"/>
      <c r="AN152" s="12"/>
      <c r="AO152" s="12"/>
      <c r="AP152" s="12"/>
      <c r="AQ152" s="12"/>
      <c r="AR152" s="12"/>
      <c r="AS152" s="12"/>
      <c r="AT152" s="12"/>
      <c r="AU152" s="12"/>
      <c r="AV152" s="12"/>
      <c r="AW152" s="12"/>
      <c r="AX152" s="12"/>
      <c r="AY152" s="12"/>
      <c r="AZ152" s="12"/>
      <c r="BA152" s="12"/>
      <c r="BB152" s="12"/>
      <c r="BC152" s="12"/>
      <c r="BD152" s="12"/>
      <c r="BE152" s="12"/>
      <c r="BF152" s="12"/>
      <c r="BG152" s="12"/>
      <c r="BH152" s="12"/>
      <c r="BI152" s="12"/>
      <c r="BJ152" s="12"/>
      <c r="BK152" s="12"/>
      <c r="BL152" s="12"/>
      <c r="BM152" s="12"/>
      <c r="BN152" s="12"/>
      <c r="BO152" s="12"/>
      <c r="BP152" s="12"/>
      <c r="BQ152" s="12"/>
      <c r="BR152" s="12"/>
      <c r="BS152" s="12"/>
      <c r="BT152" s="12"/>
      <c r="BU152" s="12"/>
      <c r="BV152" s="12"/>
      <c r="BW152" s="16">
        <v>45735.0</v>
      </c>
      <c r="BX152" s="11" t="s">
        <v>756</v>
      </c>
      <c r="BY152" s="11" t="s">
        <v>147</v>
      </c>
      <c r="BZ152" s="11" t="s">
        <v>750</v>
      </c>
      <c r="CA152" s="11" t="s">
        <v>757</v>
      </c>
      <c r="CB152" s="11" t="s">
        <v>267</v>
      </c>
      <c r="CC152" s="15" t="s">
        <v>758</v>
      </c>
      <c r="CD152" s="12"/>
      <c r="CE152" s="12"/>
      <c r="CF152" s="12"/>
      <c r="CG152" s="12"/>
      <c r="CH152" s="12"/>
      <c r="CI152" s="12"/>
      <c r="CJ152" s="12"/>
      <c r="CK152" s="12"/>
      <c r="CL152" s="12"/>
      <c r="CM152" s="12"/>
      <c r="CN152" s="12"/>
      <c r="CO152" s="12"/>
      <c r="CP152" s="12"/>
      <c r="CQ152" s="12"/>
      <c r="CR152" s="12"/>
      <c r="CS152" s="12"/>
      <c r="CT152" s="12"/>
      <c r="CU152" s="12"/>
      <c r="CV152" s="12"/>
      <c r="CW152" s="12"/>
      <c r="CX152" s="12"/>
      <c r="CY152" s="12"/>
      <c r="CZ152" s="12"/>
      <c r="DA152" s="12"/>
      <c r="DB152" s="12"/>
      <c r="DC152" s="12"/>
      <c r="DD152" s="12"/>
    </row>
    <row r="153" ht="22.5" customHeight="1">
      <c r="A153" s="10">
        <v>45986.82657234954</v>
      </c>
      <c r="B153" s="11" t="s">
        <v>369</v>
      </c>
      <c r="C153" s="11" t="s">
        <v>1</v>
      </c>
      <c r="D153" s="12"/>
      <c r="E153" s="12"/>
      <c r="F153" s="12"/>
      <c r="G153" s="12"/>
      <c r="H153" s="12"/>
      <c r="I153" s="12"/>
      <c r="J153" s="12"/>
      <c r="K153" s="12"/>
      <c r="L153" s="12"/>
      <c r="M153" s="12"/>
      <c r="N153" s="12"/>
      <c r="O153" s="12"/>
      <c r="P153" s="12"/>
      <c r="Q153" s="12"/>
      <c r="R153" s="12"/>
      <c r="S153" s="12"/>
      <c r="T153" s="12"/>
      <c r="U153" s="12"/>
      <c r="V153" s="12"/>
      <c r="W153" s="12"/>
      <c r="X153" s="12"/>
      <c r="Y153" s="12"/>
      <c r="Z153" s="12"/>
      <c r="AA153" s="12"/>
      <c r="AB153" s="12"/>
      <c r="AC153" s="12"/>
      <c r="AD153" s="12"/>
      <c r="AE153" s="12"/>
      <c r="AF153" s="12"/>
      <c r="AG153" s="12"/>
      <c r="AH153" s="12"/>
      <c r="AI153" s="12"/>
      <c r="AJ153" s="12"/>
      <c r="AK153" s="12"/>
      <c r="AL153" s="12"/>
      <c r="AM153" s="12"/>
      <c r="AN153" s="12"/>
      <c r="AO153" s="12"/>
      <c r="AP153" s="12"/>
      <c r="AQ153" s="12"/>
      <c r="AR153" s="12"/>
      <c r="AS153" s="12"/>
      <c r="AT153" s="12"/>
      <c r="AU153" s="12"/>
      <c r="AV153" s="12"/>
      <c r="AW153" s="12"/>
      <c r="AX153" s="12"/>
      <c r="AY153" s="12"/>
      <c r="AZ153" s="12"/>
      <c r="BA153" s="12"/>
      <c r="BB153" s="12"/>
      <c r="BC153" s="12"/>
      <c r="BD153" s="12"/>
      <c r="BE153" s="12"/>
      <c r="BF153" s="12"/>
      <c r="BG153" s="12"/>
      <c r="BH153" s="12"/>
      <c r="BI153" s="12"/>
      <c r="BJ153" s="12"/>
      <c r="BK153" s="12"/>
      <c r="BL153" s="12"/>
      <c r="BM153" s="12"/>
      <c r="BN153" s="12"/>
      <c r="BO153" s="12"/>
      <c r="BP153" s="12"/>
      <c r="BQ153" s="12"/>
      <c r="BR153" s="12"/>
      <c r="BS153" s="12"/>
      <c r="BT153" s="12"/>
      <c r="BU153" s="12"/>
      <c r="BV153" s="12"/>
      <c r="BW153" s="12"/>
      <c r="BX153" s="12"/>
      <c r="BY153" s="12"/>
      <c r="BZ153" s="12"/>
      <c r="CA153" s="12"/>
      <c r="CB153" s="12"/>
      <c r="CC153" s="12"/>
      <c r="CD153" s="12"/>
      <c r="CE153" s="12"/>
      <c r="CF153" s="12"/>
      <c r="CG153" s="12"/>
      <c r="CH153" s="12"/>
      <c r="CI153" s="12"/>
      <c r="CJ153" s="12"/>
      <c r="CK153" s="12"/>
      <c r="CL153" s="12"/>
      <c r="CM153" s="12"/>
      <c r="CN153" s="12"/>
      <c r="CO153" s="12"/>
      <c r="CP153" s="12"/>
      <c r="CQ153" s="12"/>
      <c r="CR153" s="12"/>
      <c r="CS153" s="12"/>
      <c r="CT153" s="12"/>
      <c r="CU153" s="16">
        <v>45740.0</v>
      </c>
      <c r="CV153" s="11" t="s">
        <v>157</v>
      </c>
      <c r="CW153" s="11" t="s">
        <v>759</v>
      </c>
      <c r="CX153" s="11" t="s">
        <v>458</v>
      </c>
      <c r="CY153" s="11" t="s">
        <v>760</v>
      </c>
      <c r="CZ153" s="11" t="s">
        <v>403</v>
      </c>
      <c r="DA153" s="11" t="s">
        <v>334</v>
      </c>
      <c r="DB153" s="11" t="s">
        <v>267</v>
      </c>
      <c r="DC153" s="12"/>
      <c r="DD153" s="12"/>
    </row>
    <row r="154" ht="22.5" customHeight="1">
      <c r="A154" s="10">
        <v>45986.82884074074</v>
      </c>
      <c r="B154" s="11" t="s">
        <v>369</v>
      </c>
      <c r="C154" s="11" t="s">
        <v>1</v>
      </c>
      <c r="D154" s="12"/>
      <c r="E154" s="12"/>
      <c r="F154" s="12"/>
      <c r="G154" s="12"/>
      <c r="H154" s="12"/>
      <c r="I154" s="12"/>
      <c r="J154" s="12"/>
      <c r="K154" s="12"/>
      <c r="L154" s="12"/>
      <c r="M154" s="12"/>
      <c r="N154" s="12"/>
      <c r="O154" s="12"/>
      <c r="P154" s="12"/>
      <c r="Q154" s="12"/>
      <c r="R154" s="12"/>
      <c r="S154" s="12"/>
      <c r="T154" s="12"/>
      <c r="U154" s="12"/>
      <c r="V154" s="12"/>
      <c r="W154" s="12"/>
      <c r="X154" s="12"/>
      <c r="Y154" s="12"/>
      <c r="Z154" s="12"/>
      <c r="AA154" s="12"/>
      <c r="AB154" s="12"/>
      <c r="AC154" s="12"/>
      <c r="AD154" s="12"/>
      <c r="AE154" s="12"/>
      <c r="AF154" s="12"/>
      <c r="AG154" s="12"/>
      <c r="AH154" s="12"/>
      <c r="AI154" s="12"/>
      <c r="AJ154" s="12"/>
      <c r="AK154" s="12"/>
      <c r="AL154" s="12"/>
      <c r="AM154" s="12"/>
      <c r="AN154" s="12"/>
      <c r="AO154" s="12"/>
      <c r="AP154" s="12"/>
      <c r="AQ154" s="12"/>
      <c r="AR154" s="12"/>
      <c r="AS154" s="12"/>
      <c r="AT154" s="12"/>
      <c r="AU154" s="12"/>
      <c r="AV154" s="12"/>
      <c r="AW154" s="12"/>
      <c r="AX154" s="12"/>
      <c r="AY154" s="12"/>
      <c r="AZ154" s="12"/>
      <c r="BA154" s="12"/>
      <c r="BB154" s="12"/>
      <c r="BC154" s="12"/>
      <c r="BD154" s="12"/>
      <c r="BE154" s="12"/>
      <c r="BF154" s="12"/>
      <c r="BG154" s="12"/>
      <c r="BH154" s="12"/>
      <c r="BI154" s="12"/>
      <c r="BJ154" s="12"/>
      <c r="BK154" s="12"/>
      <c r="BL154" s="12"/>
      <c r="BM154" s="12"/>
      <c r="BN154" s="12"/>
      <c r="BO154" s="12"/>
      <c r="BP154" s="12"/>
      <c r="BQ154" s="12"/>
      <c r="BR154" s="12"/>
      <c r="BS154" s="12"/>
      <c r="BT154" s="12"/>
      <c r="BU154" s="12"/>
      <c r="BV154" s="12"/>
      <c r="BW154" s="12"/>
      <c r="BX154" s="12"/>
      <c r="BY154" s="12"/>
      <c r="BZ154" s="12"/>
      <c r="CA154" s="12"/>
      <c r="CB154" s="12"/>
      <c r="CC154" s="12"/>
      <c r="CD154" s="12"/>
      <c r="CE154" s="12"/>
      <c r="CF154" s="12"/>
      <c r="CG154" s="12"/>
      <c r="CH154" s="17"/>
      <c r="CI154" s="17"/>
      <c r="CJ154" s="12"/>
      <c r="CK154" s="12"/>
      <c r="CL154" s="12"/>
      <c r="CM154" s="12"/>
      <c r="CN154" s="12"/>
      <c r="CO154" s="12"/>
      <c r="CP154" s="12"/>
      <c r="CQ154" s="12"/>
      <c r="CR154" s="12"/>
      <c r="CS154" s="12"/>
      <c r="CT154" s="12"/>
      <c r="CU154" s="16">
        <v>45751.0</v>
      </c>
      <c r="CV154" s="11" t="s">
        <v>157</v>
      </c>
      <c r="CW154" s="11" t="s">
        <v>761</v>
      </c>
      <c r="CX154" s="11" t="s">
        <v>408</v>
      </c>
      <c r="CY154" s="11" t="s">
        <v>762</v>
      </c>
      <c r="CZ154" s="11" t="s">
        <v>403</v>
      </c>
      <c r="DA154" s="11" t="s">
        <v>334</v>
      </c>
      <c r="DB154" s="11" t="s">
        <v>267</v>
      </c>
      <c r="DC154" s="15" t="s">
        <v>763</v>
      </c>
      <c r="DD154" s="17"/>
    </row>
    <row r="155" ht="22.5" customHeight="1">
      <c r="A155" s="10">
        <v>45986.83037024306</v>
      </c>
      <c r="B155" s="11" t="s">
        <v>369</v>
      </c>
      <c r="C155" s="11" t="s">
        <v>1</v>
      </c>
      <c r="D155" s="12"/>
      <c r="E155" s="12"/>
      <c r="F155" s="12"/>
      <c r="G155" s="12"/>
      <c r="H155" s="12"/>
      <c r="I155" s="12"/>
      <c r="J155" s="12"/>
      <c r="K155" s="12"/>
      <c r="L155" s="12"/>
      <c r="M155" s="12"/>
      <c r="N155" s="12"/>
      <c r="O155" s="12"/>
      <c r="P155" s="12"/>
      <c r="Q155" s="12"/>
      <c r="R155" s="12"/>
      <c r="S155" s="12"/>
      <c r="T155" s="12"/>
      <c r="U155" s="12"/>
      <c r="V155" s="12"/>
      <c r="W155" s="12"/>
      <c r="X155" s="12"/>
      <c r="Y155" s="12"/>
      <c r="Z155" s="12"/>
      <c r="AA155" s="12"/>
      <c r="AB155" s="12"/>
      <c r="AC155" s="12"/>
      <c r="AD155" s="12"/>
      <c r="AE155" s="12"/>
      <c r="AF155" s="12"/>
      <c r="AG155" s="12"/>
      <c r="AH155" s="12"/>
      <c r="AI155" s="12"/>
      <c r="AJ155" s="12"/>
      <c r="AK155" s="12"/>
      <c r="AL155" s="12"/>
      <c r="AM155" s="12"/>
      <c r="AN155" s="12"/>
      <c r="AO155" s="12"/>
      <c r="AP155" s="12"/>
      <c r="AQ155" s="12"/>
      <c r="AR155" s="12"/>
      <c r="AS155" s="12"/>
      <c r="AT155" s="12"/>
      <c r="AU155" s="12"/>
      <c r="AV155" s="12"/>
      <c r="AW155" s="12"/>
      <c r="AX155" s="12"/>
      <c r="AY155" s="12"/>
      <c r="AZ155" s="12"/>
      <c r="BA155" s="12"/>
      <c r="BB155" s="12"/>
      <c r="BC155" s="12"/>
      <c r="BD155" s="12"/>
      <c r="BE155" s="12"/>
      <c r="BF155" s="12"/>
      <c r="BG155" s="12"/>
      <c r="BH155" s="12"/>
      <c r="BI155" s="12"/>
      <c r="BJ155" s="12"/>
      <c r="BK155" s="12"/>
      <c r="BL155" s="12"/>
      <c r="BM155" s="12"/>
      <c r="BN155" s="12"/>
      <c r="BO155" s="12"/>
      <c r="BP155" s="12"/>
      <c r="BQ155" s="12"/>
      <c r="BR155" s="12"/>
      <c r="BS155" s="12"/>
      <c r="BT155" s="12"/>
      <c r="BU155" s="12"/>
      <c r="BV155" s="12"/>
      <c r="BW155" s="12"/>
      <c r="BX155" s="12"/>
      <c r="BY155" s="12"/>
      <c r="BZ155" s="12"/>
      <c r="CA155" s="12"/>
      <c r="CB155" s="12"/>
      <c r="CC155" s="12"/>
      <c r="CD155" s="12"/>
      <c r="CE155" s="12"/>
      <c r="CF155" s="12"/>
      <c r="CG155" s="12"/>
      <c r="CH155" s="17"/>
      <c r="CI155" s="17"/>
      <c r="CJ155" s="12"/>
      <c r="CK155" s="12"/>
      <c r="CL155" s="12"/>
      <c r="CM155" s="12"/>
      <c r="CN155" s="12"/>
      <c r="CO155" s="12"/>
      <c r="CP155" s="12"/>
      <c r="CQ155" s="12"/>
      <c r="CR155" s="12"/>
      <c r="CS155" s="12"/>
      <c r="CT155" s="12"/>
      <c r="CU155" s="16">
        <v>45755.0</v>
      </c>
      <c r="CV155" s="11" t="s">
        <v>157</v>
      </c>
      <c r="CW155" s="11" t="s">
        <v>764</v>
      </c>
      <c r="CX155" s="11" t="s">
        <v>682</v>
      </c>
      <c r="CY155" s="11" t="s">
        <v>765</v>
      </c>
      <c r="CZ155" s="11" t="s">
        <v>403</v>
      </c>
      <c r="DA155" s="11" t="s">
        <v>334</v>
      </c>
      <c r="DB155" s="11" t="s">
        <v>267</v>
      </c>
      <c r="DC155" s="15" t="s">
        <v>766</v>
      </c>
      <c r="DD155" s="17"/>
    </row>
    <row r="156" ht="22.5" customHeight="1">
      <c r="A156" s="10">
        <v>45986.83413554398</v>
      </c>
      <c r="B156" s="11" t="s">
        <v>369</v>
      </c>
      <c r="C156" s="11" t="s">
        <v>1</v>
      </c>
      <c r="D156" s="12"/>
      <c r="E156" s="12"/>
      <c r="F156" s="12"/>
      <c r="G156" s="12"/>
      <c r="H156" s="12"/>
      <c r="I156" s="12"/>
      <c r="J156" s="12"/>
      <c r="K156" s="12"/>
      <c r="L156" s="12"/>
      <c r="M156" s="12"/>
      <c r="N156" s="12"/>
      <c r="O156" s="12"/>
      <c r="P156" s="12"/>
      <c r="Q156" s="12"/>
      <c r="R156" s="12"/>
      <c r="S156" s="12"/>
      <c r="T156" s="12"/>
      <c r="U156" s="12"/>
      <c r="V156" s="12"/>
      <c r="W156" s="12"/>
      <c r="X156" s="12"/>
      <c r="Y156" s="12"/>
      <c r="Z156" s="12"/>
      <c r="AA156" s="12"/>
      <c r="AB156" s="12"/>
      <c r="AC156" s="12"/>
      <c r="AD156" s="12"/>
      <c r="AE156" s="12"/>
      <c r="AF156" s="12"/>
      <c r="AG156" s="12"/>
      <c r="AH156" s="12"/>
      <c r="AI156" s="12"/>
      <c r="AJ156" s="12"/>
      <c r="AK156" s="12"/>
      <c r="AL156" s="12"/>
      <c r="AM156" s="12"/>
      <c r="AN156" s="12"/>
      <c r="AO156" s="12"/>
      <c r="AP156" s="12"/>
      <c r="AQ156" s="12"/>
      <c r="AR156" s="12"/>
      <c r="AS156" s="12"/>
      <c r="AT156" s="12"/>
      <c r="AU156" s="12"/>
      <c r="AV156" s="12"/>
      <c r="AW156" s="12"/>
      <c r="AX156" s="12"/>
      <c r="AY156" s="12"/>
      <c r="AZ156" s="12"/>
      <c r="BA156" s="12"/>
      <c r="BB156" s="12"/>
      <c r="BC156" s="12"/>
      <c r="BD156" s="12"/>
      <c r="BE156" s="12"/>
      <c r="BF156" s="12"/>
      <c r="BG156" s="12"/>
      <c r="BH156" s="12"/>
      <c r="BI156" s="12"/>
      <c r="BJ156" s="12"/>
      <c r="BK156" s="12"/>
      <c r="BL156" s="12"/>
      <c r="BM156" s="12"/>
      <c r="BN156" s="12"/>
      <c r="BO156" s="12"/>
      <c r="BP156" s="12"/>
      <c r="BQ156" s="12"/>
      <c r="BR156" s="12"/>
      <c r="BS156" s="12"/>
      <c r="BT156" s="12"/>
      <c r="BU156" s="12"/>
      <c r="BV156" s="12"/>
      <c r="BW156" s="12"/>
      <c r="BX156" s="12"/>
      <c r="BY156" s="12"/>
      <c r="BZ156" s="12"/>
      <c r="CA156" s="12"/>
      <c r="CB156" s="12"/>
      <c r="CC156" s="12"/>
      <c r="CD156" s="12"/>
      <c r="CE156" s="12"/>
      <c r="CF156" s="12"/>
      <c r="CG156" s="12"/>
      <c r="CH156" s="17"/>
      <c r="CI156" s="17"/>
      <c r="CJ156" s="12"/>
      <c r="CK156" s="12"/>
      <c r="CL156" s="12"/>
      <c r="CM156" s="12"/>
      <c r="CN156" s="12"/>
      <c r="CO156" s="12"/>
      <c r="CP156" s="12"/>
      <c r="CQ156" s="12"/>
      <c r="CR156" s="12"/>
      <c r="CS156" s="12"/>
      <c r="CT156" s="12"/>
      <c r="CU156" s="16">
        <v>45762.0</v>
      </c>
      <c r="CV156" s="11" t="s">
        <v>157</v>
      </c>
      <c r="CW156" s="11" t="s">
        <v>767</v>
      </c>
      <c r="CX156" s="11" t="s">
        <v>607</v>
      </c>
      <c r="CY156" s="11" t="s">
        <v>768</v>
      </c>
      <c r="CZ156" s="11" t="s">
        <v>403</v>
      </c>
      <c r="DA156" s="11" t="s">
        <v>334</v>
      </c>
      <c r="DB156" s="11" t="s">
        <v>162</v>
      </c>
      <c r="DC156" s="15" t="s">
        <v>769</v>
      </c>
      <c r="DD156" s="17"/>
    </row>
    <row r="157" ht="22.5" customHeight="1">
      <c r="A157" s="10">
        <v>45986.83889387731</v>
      </c>
      <c r="B157" s="11" t="s">
        <v>369</v>
      </c>
      <c r="C157" s="11" t="s">
        <v>1</v>
      </c>
      <c r="D157" s="12"/>
      <c r="E157" s="12"/>
      <c r="F157" s="12"/>
      <c r="G157" s="12"/>
      <c r="H157" s="12"/>
      <c r="I157" s="12"/>
      <c r="J157" s="12"/>
      <c r="K157" s="12"/>
      <c r="L157" s="12"/>
      <c r="M157" s="12"/>
      <c r="N157" s="12"/>
      <c r="O157" s="12"/>
      <c r="P157" s="12"/>
      <c r="Q157" s="12"/>
      <c r="R157" s="12"/>
      <c r="S157" s="12"/>
      <c r="T157" s="12"/>
      <c r="U157" s="12"/>
      <c r="V157" s="12"/>
      <c r="W157" s="12"/>
      <c r="X157" s="12"/>
      <c r="Y157" s="12"/>
      <c r="Z157" s="12"/>
      <c r="AA157" s="12"/>
      <c r="AB157" s="12"/>
      <c r="AC157" s="12"/>
      <c r="AD157" s="12"/>
      <c r="AE157" s="12"/>
      <c r="AF157" s="12"/>
      <c r="AG157" s="12"/>
      <c r="AH157" s="12"/>
      <c r="AI157" s="12"/>
      <c r="AJ157" s="12"/>
      <c r="AK157" s="12"/>
      <c r="AL157" s="12"/>
      <c r="AM157" s="12"/>
      <c r="AN157" s="12"/>
      <c r="AO157" s="12"/>
      <c r="AP157" s="12"/>
      <c r="AQ157" s="12"/>
      <c r="AR157" s="12"/>
      <c r="AS157" s="12"/>
      <c r="AT157" s="12"/>
      <c r="AU157" s="12"/>
      <c r="AV157" s="12"/>
      <c r="AW157" s="12"/>
      <c r="AX157" s="12"/>
      <c r="AY157" s="12"/>
      <c r="AZ157" s="12"/>
      <c r="BA157" s="12"/>
      <c r="BB157" s="12"/>
      <c r="BC157" s="12"/>
      <c r="BD157" s="12"/>
      <c r="BE157" s="12"/>
      <c r="BF157" s="12"/>
      <c r="BG157" s="12"/>
      <c r="BH157" s="12"/>
      <c r="BI157" s="12"/>
      <c r="BJ157" s="12"/>
      <c r="BK157" s="12"/>
      <c r="BL157" s="12"/>
      <c r="BM157" s="12"/>
      <c r="BN157" s="12"/>
      <c r="BO157" s="12"/>
      <c r="BP157" s="12"/>
      <c r="BQ157" s="12"/>
      <c r="BR157" s="12"/>
      <c r="BS157" s="12"/>
      <c r="BT157" s="12"/>
      <c r="BU157" s="12"/>
      <c r="BV157" s="12"/>
      <c r="BW157" s="12"/>
      <c r="BX157" s="12"/>
      <c r="BY157" s="12"/>
      <c r="BZ157" s="12"/>
      <c r="CA157" s="12"/>
      <c r="CB157" s="12"/>
      <c r="CC157" s="12"/>
      <c r="CD157" s="12"/>
      <c r="CE157" s="12"/>
      <c r="CF157" s="12"/>
      <c r="CG157" s="12"/>
      <c r="CH157" s="17"/>
      <c r="CI157" s="17"/>
      <c r="CJ157" s="12"/>
      <c r="CK157" s="12"/>
      <c r="CL157" s="12"/>
      <c r="CM157" s="12"/>
      <c r="CN157" s="12"/>
      <c r="CO157" s="12"/>
      <c r="CP157" s="12"/>
      <c r="CQ157" s="12"/>
      <c r="CR157" s="12"/>
      <c r="CS157" s="12"/>
      <c r="CT157" s="12"/>
      <c r="CU157" s="16">
        <v>45764.0</v>
      </c>
      <c r="CV157" s="11" t="s">
        <v>157</v>
      </c>
      <c r="CW157" s="11" t="s">
        <v>770</v>
      </c>
      <c r="CX157" s="11" t="s">
        <v>449</v>
      </c>
      <c r="CY157" s="11" t="s">
        <v>771</v>
      </c>
      <c r="CZ157" s="11" t="s">
        <v>403</v>
      </c>
      <c r="DA157" s="11" t="s">
        <v>334</v>
      </c>
      <c r="DB157" s="11" t="s">
        <v>162</v>
      </c>
      <c r="DC157" s="15" t="s">
        <v>772</v>
      </c>
      <c r="DD157" s="17"/>
    </row>
    <row r="158" ht="22.5" customHeight="1">
      <c r="A158" s="10">
        <v>45986.840545439816</v>
      </c>
      <c r="B158" s="11" t="s">
        <v>369</v>
      </c>
      <c r="C158" s="11" t="s">
        <v>1</v>
      </c>
      <c r="D158" s="12"/>
      <c r="E158" s="12"/>
      <c r="F158" s="12"/>
      <c r="G158" s="12"/>
      <c r="H158" s="12"/>
      <c r="I158" s="12"/>
      <c r="J158" s="12"/>
      <c r="K158" s="12"/>
      <c r="L158" s="12"/>
      <c r="M158" s="12"/>
      <c r="N158" s="12"/>
      <c r="O158" s="12"/>
      <c r="P158" s="12"/>
      <c r="Q158" s="12"/>
      <c r="R158" s="12"/>
      <c r="S158" s="12"/>
      <c r="T158" s="12"/>
      <c r="U158" s="12"/>
      <c r="V158" s="12"/>
      <c r="W158" s="12"/>
      <c r="X158" s="12"/>
      <c r="Y158" s="12"/>
      <c r="Z158" s="12"/>
      <c r="AA158" s="12"/>
      <c r="AB158" s="12"/>
      <c r="AC158" s="12"/>
      <c r="AD158" s="12"/>
      <c r="AE158" s="12"/>
      <c r="AF158" s="12"/>
      <c r="AG158" s="12"/>
      <c r="AH158" s="12"/>
      <c r="AI158" s="12"/>
      <c r="AJ158" s="12"/>
      <c r="AK158" s="12"/>
      <c r="AL158" s="12"/>
      <c r="AM158" s="12"/>
      <c r="AN158" s="12"/>
      <c r="AO158" s="12"/>
      <c r="AP158" s="12"/>
      <c r="AQ158" s="12"/>
      <c r="AR158" s="12"/>
      <c r="AS158" s="12"/>
      <c r="AT158" s="12"/>
      <c r="AU158" s="12"/>
      <c r="AV158" s="12"/>
      <c r="AW158" s="12"/>
      <c r="AX158" s="12"/>
      <c r="AY158" s="12"/>
      <c r="AZ158" s="12"/>
      <c r="BA158" s="12"/>
      <c r="BB158" s="12"/>
      <c r="BC158" s="12"/>
      <c r="BD158" s="12"/>
      <c r="BE158" s="12"/>
      <c r="BF158" s="12"/>
      <c r="BG158" s="12"/>
      <c r="BH158" s="12"/>
      <c r="BI158" s="12"/>
      <c r="BJ158" s="12"/>
      <c r="BK158" s="12"/>
      <c r="BL158" s="12"/>
      <c r="BM158" s="12"/>
      <c r="BN158" s="12"/>
      <c r="BO158" s="12"/>
      <c r="BP158" s="12"/>
      <c r="BQ158" s="12"/>
      <c r="BR158" s="12"/>
      <c r="BS158" s="12"/>
      <c r="BT158" s="12"/>
      <c r="BU158" s="12"/>
      <c r="BV158" s="12"/>
      <c r="BW158" s="12"/>
      <c r="BX158" s="12"/>
      <c r="BY158" s="12"/>
      <c r="BZ158" s="12"/>
      <c r="CA158" s="12"/>
      <c r="CB158" s="12"/>
      <c r="CC158" s="12"/>
      <c r="CD158" s="12"/>
      <c r="CE158" s="12"/>
      <c r="CF158" s="12"/>
      <c r="CG158" s="12"/>
      <c r="CH158" s="17"/>
      <c r="CI158" s="17"/>
      <c r="CJ158" s="12"/>
      <c r="CK158" s="12"/>
      <c r="CL158" s="12"/>
      <c r="CM158" s="12"/>
      <c r="CN158" s="12"/>
      <c r="CO158" s="12"/>
      <c r="CP158" s="12"/>
      <c r="CQ158" s="12"/>
      <c r="CR158" s="12"/>
      <c r="CS158" s="12"/>
      <c r="CT158" s="12"/>
      <c r="CU158" s="16">
        <v>45769.0</v>
      </c>
      <c r="CV158" s="11" t="s">
        <v>157</v>
      </c>
      <c r="CW158" s="11" t="s">
        <v>773</v>
      </c>
      <c r="CX158" s="11" t="s">
        <v>449</v>
      </c>
      <c r="CY158" s="11" t="s">
        <v>216</v>
      </c>
      <c r="CZ158" s="11" t="s">
        <v>403</v>
      </c>
      <c r="DA158" s="11" t="s">
        <v>334</v>
      </c>
      <c r="DB158" s="11" t="s">
        <v>162</v>
      </c>
      <c r="DC158" s="15" t="s">
        <v>774</v>
      </c>
      <c r="DD158" s="17"/>
    </row>
    <row r="159" ht="22.5" customHeight="1">
      <c r="A159" s="10">
        <v>45986.84348045139</v>
      </c>
      <c r="B159" s="11" t="s">
        <v>369</v>
      </c>
      <c r="C159" s="11" t="s">
        <v>1</v>
      </c>
      <c r="D159" s="12"/>
      <c r="E159" s="12"/>
      <c r="F159" s="12"/>
      <c r="G159" s="12"/>
      <c r="H159" s="12"/>
      <c r="I159" s="12"/>
      <c r="J159" s="12"/>
      <c r="K159" s="12"/>
      <c r="L159" s="12"/>
      <c r="M159" s="12"/>
      <c r="N159" s="12"/>
      <c r="O159" s="12"/>
      <c r="P159" s="12"/>
      <c r="Q159" s="12"/>
      <c r="R159" s="12"/>
      <c r="S159" s="12"/>
      <c r="T159" s="12"/>
      <c r="U159" s="12"/>
      <c r="V159" s="12"/>
      <c r="W159" s="12"/>
      <c r="X159" s="12"/>
      <c r="Y159" s="12"/>
      <c r="Z159" s="12"/>
      <c r="AA159" s="12"/>
      <c r="AB159" s="12"/>
      <c r="AC159" s="12"/>
      <c r="AD159" s="12"/>
      <c r="AE159" s="12"/>
      <c r="AF159" s="12"/>
      <c r="AG159" s="12"/>
      <c r="AH159" s="12"/>
      <c r="AI159" s="12"/>
      <c r="AJ159" s="12"/>
      <c r="AK159" s="12"/>
      <c r="AL159" s="12"/>
      <c r="AM159" s="12"/>
      <c r="AN159" s="12"/>
      <c r="AO159" s="12"/>
      <c r="AP159" s="12"/>
      <c r="AQ159" s="12"/>
      <c r="AR159" s="12"/>
      <c r="AS159" s="12"/>
      <c r="AT159" s="12"/>
      <c r="AU159" s="12"/>
      <c r="AV159" s="12"/>
      <c r="AW159" s="12"/>
      <c r="AX159" s="12"/>
      <c r="AY159" s="12"/>
      <c r="AZ159" s="12"/>
      <c r="BA159" s="12"/>
      <c r="BB159" s="12"/>
      <c r="BC159" s="12"/>
      <c r="BD159" s="12"/>
      <c r="BE159" s="12"/>
      <c r="BF159" s="12"/>
      <c r="BG159" s="12"/>
      <c r="BH159" s="12"/>
      <c r="BI159" s="12"/>
      <c r="BJ159" s="12"/>
      <c r="BK159" s="12"/>
      <c r="BL159" s="12"/>
      <c r="BM159" s="12"/>
      <c r="BN159" s="12"/>
      <c r="BO159" s="12"/>
      <c r="BP159" s="12"/>
      <c r="BQ159" s="12"/>
      <c r="BR159" s="12"/>
      <c r="BS159" s="12"/>
      <c r="BT159" s="12"/>
      <c r="BU159" s="12"/>
      <c r="BV159" s="12"/>
      <c r="BW159" s="12"/>
      <c r="BX159" s="12"/>
      <c r="BY159" s="12"/>
      <c r="BZ159" s="12"/>
      <c r="CA159" s="12"/>
      <c r="CB159" s="12"/>
      <c r="CC159" s="12"/>
      <c r="CD159" s="12"/>
      <c r="CE159" s="12"/>
      <c r="CF159" s="12"/>
      <c r="CG159" s="12"/>
      <c r="CH159" s="17"/>
      <c r="CI159" s="17"/>
      <c r="CJ159" s="12"/>
      <c r="CK159" s="12"/>
      <c r="CL159" s="12"/>
      <c r="CM159" s="12"/>
      <c r="CN159" s="12"/>
      <c r="CO159" s="12"/>
      <c r="CP159" s="12"/>
      <c r="CQ159" s="12"/>
      <c r="CR159" s="12"/>
      <c r="CS159" s="12"/>
      <c r="CT159" s="12"/>
      <c r="CU159" s="16">
        <v>45786.0</v>
      </c>
      <c r="CV159" s="11" t="s">
        <v>157</v>
      </c>
      <c r="CW159" s="11" t="s">
        <v>775</v>
      </c>
      <c r="CX159" s="11" t="s">
        <v>733</v>
      </c>
      <c r="CY159" s="11" t="s">
        <v>776</v>
      </c>
      <c r="CZ159" s="11" t="s">
        <v>403</v>
      </c>
      <c r="DA159" s="11" t="s">
        <v>334</v>
      </c>
      <c r="DB159" s="11" t="s">
        <v>162</v>
      </c>
      <c r="DC159" s="15" t="s">
        <v>777</v>
      </c>
      <c r="DD159" s="17"/>
    </row>
    <row r="160" ht="22.5" customHeight="1">
      <c r="A160" s="10">
        <v>45986.84642028935</v>
      </c>
      <c r="B160" s="11" t="s">
        <v>369</v>
      </c>
      <c r="C160" s="11" t="s">
        <v>1</v>
      </c>
      <c r="D160" s="12"/>
      <c r="E160" s="12"/>
      <c r="F160" s="12"/>
      <c r="G160" s="12"/>
      <c r="H160" s="12"/>
      <c r="I160" s="12"/>
      <c r="J160" s="12"/>
      <c r="K160" s="12"/>
      <c r="L160" s="12"/>
      <c r="M160" s="12"/>
      <c r="N160" s="12"/>
      <c r="O160" s="12"/>
      <c r="P160" s="12"/>
      <c r="Q160" s="12"/>
      <c r="R160" s="12"/>
      <c r="S160" s="12"/>
      <c r="T160" s="12"/>
      <c r="U160" s="12"/>
      <c r="V160" s="12"/>
      <c r="W160" s="12"/>
      <c r="X160" s="12"/>
      <c r="Y160" s="12"/>
      <c r="Z160" s="12"/>
      <c r="AA160" s="12"/>
      <c r="AB160" s="12"/>
      <c r="AC160" s="12"/>
      <c r="AD160" s="12"/>
      <c r="AE160" s="12"/>
      <c r="AF160" s="12"/>
      <c r="AG160" s="12"/>
      <c r="AH160" s="12"/>
      <c r="AI160" s="12"/>
      <c r="AJ160" s="12"/>
      <c r="AK160" s="12"/>
      <c r="AL160" s="12"/>
      <c r="AM160" s="12"/>
      <c r="AN160" s="12"/>
      <c r="AO160" s="12"/>
      <c r="AP160" s="12"/>
      <c r="AQ160" s="12"/>
      <c r="AR160" s="12"/>
      <c r="AS160" s="12"/>
      <c r="AT160" s="12"/>
      <c r="AU160" s="12"/>
      <c r="AV160" s="12"/>
      <c r="AW160" s="12"/>
      <c r="AX160" s="12"/>
      <c r="AY160" s="12"/>
      <c r="AZ160" s="12"/>
      <c r="BA160" s="12"/>
      <c r="BB160" s="12"/>
      <c r="BC160" s="12"/>
      <c r="BD160" s="12"/>
      <c r="BE160" s="12"/>
      <c r="BF160" s="12"/>
      <c r="BG160" s="12"/>
      <c r="BH160" s="12"/>
      <c r="BI160" s="12"/>
      <c r="BJ160" s="12"/>
      <c r="BK160" s="12"/>
      <c r="BL160" s="12"/>
      <c r="BM160" s="12"/>
      <c r="BN160" s="12"/>
      <c r="BO160" s="12"/>
      <c r="BP160" s="12"/>
      <c r="BQ160" s="12"/>
      <c r="BR160" s="12"/>
      <c r="BS160" s="12"/>
      <c r="BT160" s="12"/>
      <c r="BU160" s="12"/>
      <c r="BV160" s="12"/>
      <c r="BW160" s="12"/>
      <c r="BX160" s="12"/>
      <c r="BY160" s="12"/>
      <c r="BZ160" s="12"/>
      <c r="CA160" s="12"/>
      <c r="CB160" s="12"/>
      <c r="CC160" s="12"/>
      <c r="CD160" s="12"/>
      <c r="CE160" s="12"/>
      <c r="CF160" s="12"/>
      <c r="CG160" s="12"/>
      <c r="CH160" s="17"/>
      <c r="CI160" s="17"/>
      <c r="CJ160" s="12"/>
      <c r="CK160" s="12"/>
      <c r="CL160" s="12"/>
      <c r="CM160" s="12"/>
      <c r="CN160" s="12"/>
      <c r="CO160" s="12"/>
      <c r="CP160" s="12"/>
      <c r="CQ160" s="12"/>
      <c r="CR160" s="12"/>
      <c r="CS160" s="12"/>
      <c r="CT160" s="12"/>
      <c r="CU160" s="16">
        <v>45797.0</v>
      </c>
      <c r="CV160" s="11" t="s">
        <v>656</v>
      </c>
      <c r="CW160" s="11" t="s">
        <v>778</v>
      </c>
      <c r="CX160" s="11" t="s">
        <v>318</v>
      </c>
      <c r="CY160" s="11" t="s">
        <v>779</v>
      </c>
      <c r="CZ160" s="11" t="s">
        <v>780</v>
      </c>
      <c r="DA160" s="11" t="s">
        <v>334</v>
      </c>
      <c r="DB160" s="11" t="s">
        <v>267</v>
      </c>
      <c r="DC160" s="15" t="s">
        <v>781</v>
      </c>
      <c r="DD160" s="17"/>
    </row>
    <row r="161" ht="22.5" customHeight="1">
      <c r="A161" s="10">
        <v>45986.848210428245</v>
      </c>
      <c r="B161" s="11" t="s">
        <v>369</v>
      </c>
      <c r="C161" s="11" t="s">
        <v>1</v>
      </c>
      <c r="D161" s="12"/>
      <c r="E161" s="12"/>
      <c r="F161" s="12"/>
      <c r="G161" s="12"/>
      <c r="H161" s="12"/>
      <c r="I161" s="12"/>
      <c r="J161" s="12"/>
      <c r="K161" s="12"/>
      <c r="L161" s="12"/>
      <c r="M161" s="12"/>
      <c r="N161" s="12"/>
      <c r="O161" s="12"/>
      <c r="P161" s="12"/>
      <c r="Q161" s="12"/>
      <c r="R161" s="12"/>
      <c r="S161" s="12"/>
      <c r="T161" s="12"/>
      <c r="U161" s="12"/>
      <c r="V161" s="12"/>
      <c r="W161" s="12"/>
      <c r="X161" s="12"/>
      <c r="Y161" s="12"/>
      <c r="Z161" s="12"/>
      <c r="AA161" s="12"/>
      <c r="AB161" s="12"/>
      <c r="AC161" s="12"/>
      <c r="AD161" s="12"/>
      <c r="AE161" s="12"/>
      <c r="AF161" s="12"/>
      <c r="AG161" s="12"/>
      <c r="AH161" s="12"/>
      <c r="AI161" s="12"/>
      <c r="AJ161" s="12"/>
      <c r="AK161" s="12"/>
      <c r="AL161" s="12"/>
      <c r="AM161" s="12"/>
      <c r="AN161" s="12"/>
      <c r="AO161" s="12"/>
      <c r="AP161" s="12"/>
      <c r="AQ161" s="12"/>
      <c r="AR161" s="12"/>
      <c r="AS161" s="12"/>
      <c r="AT161" s="12"/>
      <c r="AU161" s="12"/>
      <c r="AV161" s="12"/>
      <c r="AW161" s="12"/>
      <c r="AX161" s="12"/>
      <c r="AY161" s="12"/>
      <c r="AZ161" s="12"/>
      <c r="BA161" s="12"/>
      <c r="BB161" s="12"/>
      <c r="BC161" s="12"/>
      <c r="BD161" s="12"/>
      <c r="BE161" s="12"/>
      <c r="BF161" s="12"/>
      <c r="BG161" s="12"/>
      <c r="BH161" s="12"/>
      <c r="BI161" s="12"/>
      <c r="BJ161" s="12"/>
      <c r="BK161" s="12"/>
      <c r="BL161" s="12"/>
      <c r="BM161" s="12"/>
      <c r="BN161" s="12"/>
      <c r="BO161" s="12"/>
      <c r="BP161" s="12"/>
      <c r="BQ161" s="12"/>
      <c r="BR161" s="12"/>
      <c r="BS161" s="12"/>
      <c r="BT161" s="12"/>
      <c r="BU161" s="12"/>
      <c r="BV161" s="12"/>
      <c r="BW161" s="12"/>
      <c r="BX161" s="12"/>
      <c r="BY161" s="12"/>
      <c r="BZ161" s="12"/>
      <c r="CA161" s="12"/>
      <c r="CB161" s="12"/>
      <c r="CC161" s="12"/>
      <c r="CD161" s="12"/>
      <c r="CE161" s="12"/>
      <c r="CF161" s="12"/>
      <c r="CG161" s="12"/>
      <c r="CH161" s="12"/>
      <c r="CI161" s="12"/>
      <c r="CJ161" s="12"/>
      <c r="CK161" s="12"/>
      <c r="CL161" s="12"/>
      <c r="CM161" s="12"/>
      <c r="CN161" s="12"/>
      <c r="CO161" s="12"/>
      <c r="CP161" s="12"/>
      <c r="CQ161" s="12"/>
      <c r="CR161" s="12"/>
      <c r="CS161" s="12"/>
      <c r="CT161" s="12"/>
      <c r="CU161" s="16">
        <v>45803.0</v>
      </c>
      <c r="CV161" s="11" t="s">
        <v>157</v>
      </c>
      <c r="CW161" s="11" t="s">
        <v>782</v>
      </c>
      <c r="CX161" s="11" t="s">
        <v>318</v>
      </c>
      <c r="CY161" s="11" t="s">
        <v>783</v>
      </c>
      <c r="CZ161" s="11" t="s">
        <v>403</v>
      </c>
      <c r="DA161" s="11" t="s">
        <v>334</v>
      </c>
      <c r="DB161" s="11" t="s">
        <v>267</v>
      </c>
      <c r="DC161" s="12"/>
      <c r="DD161" s="12"/>
    </row>
    <row r="162" ht="22.5" customHeight="1">
      <c r="A162" s="10">
        <v>45986.886763206014</v>
      </c>
      <c r="B162" s="11" t="s">
        <v>369</v>
      </c>
      <c r="C162" s="11" t="s">
        <v>1</v>
      </c>
      <c r="D162" s="12"/>
      <c r="E162" s="12"/>
      <c r="F162" s="12"/>
      <c r="G162" s="12"/>
      <c r="H162" s="12"/>
      <c r="I162" s="12"/>
      <c r="J162" s="12"/>
      <c r="K162" s="12"/>
      <c r="L162" s="12"/>
      <c r="M162" s="12"/>
      <c r="N162" s="12"/>
      <c r="O162" s="12"/>
      <c r="P162" s="12"/>
      <c r="Q162" s="12"/>
      <c r="R162" s="12"/>
      <c r="S162" s="12"/>
      <c r="T162" s="12"/>
      <c r="U162" s="12"/>
      <c r="V162" s="12"/>
      <c r="W162" s="12"/>
      <c r="X162" s="12"/>
      <c r="Y162" s="12"/>
      <c r="Z162" s="12"/>
      <c r="AA162" s="12"/>
      <c r="AB162" s="12"/>
      <c r="AC162" s="12"/>
      <c r="AD162" s="12"/>
      <c r="AE162" s="12"/>
      <c r="AF162" s="12"/>
      <c r="AG162" s="12"/>
      <c r="AH162" s="12"/>
      <c r="AI162" s="12"/>
      <c r="AJ162" s="12"/>
      <c r="AK162" s="12"/>
      <c r="AL162" s="12"/>
      <c r="AM162" s="12"/>
      <c r="AN162" s="12"/>
      <c r="AO162" s="12"/>
      <c r="AP162" s="12"/>
      <c r="AQ162" s="12"/>
      <c r="AR162" s="12"/>
      <c r="AS162" s="12"/>
      <c r="AT162" s="12"/>
      <c r="AU162" s="12"/>
      <c r="AV162" s="12"/>
      <c r="AW162" s="12"/>
      <c r="AX162" s="12"/>
      <c r="AY162" s="12"/>
      <c r="AZ162" s="12"/>
      <c r="BA162" s="12"/>
      <c r="BB162" s="12"/>
      <c r="BC162" s="12"/>
      <c r="BD162" s="12"/>
      <c r="BE162" s="12"/>
      <c r="BF162" s="12"/>
      <c r="BG162" s="12"/>
      <c r="BH162" s="12"/>
      <c r="BI162" s="12"/>
      <c r="BJ162" s="12"/>
      <c r="BK162" s="12"/>
      <c r="BL162" s="12"/>
      <c r="BM162" s="12"/>
      <c r="BN162" s="12"/>
      <c r="BO162" s="12"/>
      <c r="BP162" s="12"/>
      <c r="BQ162" s="12"/>
      <c r="BR162" s="12"/>
      <c r="BS162" s="12"/>
      <c r="BT162" s="12"/>
      <c r="BU162" s="12"/>
      <c r="BV162" s="12"/>
      <c r="BW162" s="12"/>
      <c r="BX162" s="12"/>
      <c r="BY162" s="12"/>
      <c r="BZ162" s="12"/>
      <c r="CA162" s="12"/>
      <c r="CB162" s="12"/>
      <c r="CC162" s="12"/>
      <c r="CD162" s="12"/>
      <c r="CE162" s="12"/>
      <c r="CF162" s="12"/>
      <c r="CG162" s="12"/>
      <c r="CH162" s="12"/>
      <c r="CI162" s="12"/>
      <c r="CJ162" s="12"/>
      <c r="CK162" s="12"/>
      <c r="CL162" s="12"/>
      <c r="CM162" s="12"/>
      <c r="CN162" s="12"/>
      <c r="CO162" s="12"/>
      <c r="CP162" s="12"/>
      <c r="CQ162" s="12"/>
      <c r="CR162" s="12"/>
      <c r="CS162" s="12"/>
      <c r="CT162" s="12"/>
      <c r="CU162" s="16">
        <v>45852.0</v>
      </c>
      <c r="CV162" s="11" t="s">
        <v>157</v>
      </c>
      <c r="CW162" s="11" t="s">
        <v>784</v>
      </c>
      <c r="CX162" s="11" t="s">
        <v>552</v>
      </c>
      <c r="CY162" s="11" t="s">
        <v>785</v>
      </c>
      <c r="CZ162" s="11" t="s">
        <v>403</v>
      </c>
      <c r="DA162" s="11" t="s">
        <v>334</v>
      </c>
      <c r="DB162" s="11" t="s">
        <v>162</v>
      </c>
      <c r="DC162" s="12"/>
      <c r="DD162" s="12"/>
    </row>
    <row r="163" ht="22.5" customHeight="1">
      <c r="A163" s="10">
        <v>45986.88852141204</v>
      </c>
      <c r="B163" s="11" t="s">
        <v>369</v>
      </c>
      <c r="C163" s="11" t="s">
        <v>1</v>
      </c>
      <c r="D163" s="12"/>
      <c r="E163" s="12"/>
      <c r="F163" s="12"/>
      <c r="G163" s="12"/>
      <c r="H163" s="12"/>
      <c r="I163" s="12"/>
      <c r="J163" s="12"/>
      <c r="K163" s="12"/>
      <c r="L163" s="12"/>
      <c r="M163" s="12"/>
      <c r="N163" s="12"/>
      <c r="O163" s="12"/>
      <c r="P163" s="12"/>
      <c r="Q163" s="12"/>
      <c r="R163" s="12"/>
      <c r="S163" s="12"/>
      <c r="T163" s="12"/>
      <c r="U163" s="12"/>
      <c r="V163" s="12"/>
      <c r="W163" s="12"/>
      <c r="X163" s="12"/>
      <c r="Y163" s="12"/>
      <c r="Z163" s="12"/>
      <c r="AA163" s="12"/>
      <c r="AB163" s="12"/>
      <c r="AC163" s="12"/>
      <c r="AD163" s="12"/>
      <c r="AE163" s="12"/>
      <c r="AF163" s="12"/>
      <c r="AG163" s="12"/>
      <c r="AH163" s="12"/>
      <c r="AI163" s="12"/>
      <c r="AJ163" s="12"/>
      <c r="AK163" s="12"/>
      <c r="AL163" s="12"/>
      <c r="AM163" s="12"/>
      <c r="AN163" s="12"/>
      <c r="AO163" s="12"/>
      <c r="AP163" s="12"/>
      <c r="AQ163" s="12"/>
      <c r="AR163" s="12"/>
      <c r="AS163" s="12"/>
      <c r="AT163" s="12"/>
      <c r="AU163" s="12"/>
      <c r="AV163" s="12"/>
      <c r="AW163" s="12"/>
      <c r="AX163" s="12"/>
      <c r="AY163" s="12"/>
      <c r="AZ163" s="12"/>
      <c r="BA163" s="12"/>
      <c r="BB163" s="12"/>
      <c r="BC163" s="12"/>
      <c r="BD163" s="12"/>
      <c r="BE163" s="12"/>
      <c r="BF163" s="12"/>
      <c r="BG163" s="12"/>
      <c r="BH163" s="12"/>
      <c r="BI163" s="12"/>
      <c r="BJ163" s="12"/>
      <c r="BK163" s="12"/>
      <c r="BL163" s="12"/>
      <c r="BM163" s="12"/>
      <c r="BN163" s="12"/>
      <c r="BO163" s="12"/>
      <c r="BP163" s="12"/>
      <c r="BQ163" s="12"/>
      <c r="BR163" s="12"/>
      <c r="BS163" s="12"/>
      <c r="BT163" s="12"/>
      <c r="BU163" s="12"/>
      <c r="BV163" s="12"/>
      <c r="BW163" s="12"/>
      <c r="BX163" s="12"/>
      <c r="BY163" s="12"/>
      <c r="BZ163" s="12"/>
      <c r="CA163" s="12"/>
      <c r="CB163" s="12"/>
      <c r="CC163" s="12"/>
      <c r="CD163" s="12"/>
      <c r="CE163" s="12"/>
      <c r="CF163" s="12"/>
      <c r="CG163" s="12"/>
      <c r="CH163" s="17"/>
      <c r="CI163" s="17"/>
      <c r="CJ163" s="12"/>
      <c r="CK163" s="12"/>
      <c r="CL163" s="12"/>
      <c r="CM163" s="12"/>
      <c r="CN163" s="12"/>
      <c r="CO163" s="12"/>
      <c r="CP163" s="12"/>
      <c r="CQ163" s="12"/>
      <c r="CR163" s="12"/>
      <c r="CS163" s="12"/>
      <c r="CT163" s="12"/>
      <c r="CU163" s="16">
        <v>45904.0</v>
      </c>
      <c r="CV163" s="11" t="s">
        <v>157</v>
      </c>
      <c r="CW163" s="11" t="s">
        <v>786</v>
      </c>
      <c r="CX163" s="11" t="s">
        <v>449</v>
      </c>
      <c r="CY163" s="11" t="s">
        <v>235</v>
      </c>
      <c r="CZ163" s="11" t="s">
        <v>403</v>
      </c>
      <c r="DA163" s="11" t="s">
        <v>334</v>
      </c>
      <c r="DB163" s="11" t="s">
        <v>267</v>
      </c>
      <c r="DC163" s="15" t="s">
        <v>787</v>
      </c>
      <c r="DD163" s="17"/>
    </row>
    <row r="164" ht="22.5" customHeight="1">
      <c r="A164" s="10">
        <v>45986.891652418984</v>
      </c>
      <c r="B164" s="11" t="s">
        <v>369</v>
      </c>
      <c r="C164" s="11" t="s">
        <v>1</v>
      </c>
      <c r="D164" s="12"/>
      <c r="E164" s="12"/>
      <c r="F164" s="12"/>
      <c r="G164" s="12"/>
      <c r="H164" s="12"/>
      <c r="I164" s="12"/>
      <c r="J164" s="12"/>
      <c r="K164" s="12"/>
      <c r="L164" s="12"/>
      <c r="M164" s="12"/>
      <c r="N164" s="12"/>
      <c r="O164" s="12"/>
      <c r="P164" s="12"/>
      <c r="Q164" s="12"/>
      <c r="R164" s="12"/>
      <c r="S164" s="12"/>
      <c r="T164" s="12"/>
      <c r="U164" s="12"/>
      <c r="V164" s="12"/>
      <c r="W164" s="12"/>
      <c r="X164" s="12"/>
      <c r="Y164" s="12"/>
      <c r="Z164" s="12"/>
      <c r="AA164" s="12"/>
      <c r="AB164" s="12"/>
      <c r="AC164" s="12"/>
      <c r="AD164" s="12"/>
      <c r="AE164" s="12"/>
      <c r="AF164" s="12"/>
      <c r="AG164" s="12"/>
      <c r="AH164" s="12"/>
      <c r="AI164" s="12"/>
      <c r="AJ164" s="12"/>
      <c r="AK164" s="12"/>
      <c r="AL164" s="12"/>
      <c r="AM164" s="12"/>
      <c r="AN164" s="12"/>
      <c r="AO164" s="12"/>
      <c r="AP164" s="12"/>
      <c r="AQ164" s="12"/>
      <c r="AR164" s="12"/>
      <c r="AS164" s="12"/>
      <c r="AT164" s="12"/>
      <c r="AU164" s="12"/>
      <c r="AV164" s="12"/>
      <c r="AW164" s="12"/>
      <c r="AX164" s="12"/>
      <c r="AY164" s="12"/>
      <c r="AZ164" s="12"/>
      <c r="BA164" s="12"/>
      <c r="BB164" s="12"/>
      <c r="BC164" s="12"/>
      <c r="BD164" s="12"/>
      <c r="BE164" s="12"/>
      <c r="BF164" s="12"/>
      <c r="BG164" s="12"/>
      <c r="BH164" s="12"/>
      <c r="BI164" s="12"/>
      <c r="BJ164" s="12"/>
      <c r="BK164" s="12"/>
      <c r="BL164" s="12"/>
      <c r="BM164" s="12"/>
      <c r="BN164" s="12"/>
      <c r="BO164" s="12"/>
      <c r="BP164" s="12"/>
      <c r="BQ164" s="12"/>
      <c r="BR164" s="12"/>
      <c r="BS164" s="12"/>
      <c r="BT164" s="12"/>
      <c r="BU164" s="12"/>
      <c r="BV164" s="12"/>
      <c r="BW164" s="12"/>
      <c r="BX164" s="12"/>
      <c r="BY164" s="12"/>
      <c r="BZ164" s="12"/>
      <c r="CA164" s="12"/>
      <c r="CB164" s="12"/>
      <c r="CC164" s="12"/>
      <c r="CD164" s="12"/>
      <c r="CE164" s="12"/>
      <c r="CF164" s="12"/>
      <c r="CG164" s="12"/>
      <c r="CH164" s="12"/>
      <c r="CI164" s="12"/>
      <c r="CJ164" s="12"/>
      <c r="CK164" s="12"/>
      <c r="CL164" s="12"/>
      <c r="CM164" s="12"/>
      <c r="CN164" s="12"/>
      <c r="CO164" s="12"/>
      <c r="CP164" s="12"/>
      <c r="CQ164" s="12"/>
      <c r="CR164" s="12"/>
      <c r="CS164" s="12"/>
      <c r="CT164" s="12"/>
      <c r="CU164" s="16">
        <v>45967.0</v>
      </c>
      <c r="CV164" s="11" t="s">
        <v>406</v>
      </c>
      <c r="CW164" s="11" t="s">
        <v>788</v>
      </c>
      <c r="CX164" s="11" t="s">
        <v>408</v>
      </c>
      <c r="CY164" s="11" t="s">
        <v>789</v>
      </c>
      <c r="CZ164" s="11" t="s">
        <v>790</v>
      </c>
      <c r="DA164" s="11" t="s">
        <v>791</v>
      </c>
      <c r="DB164" s="11" t="s">
        <v>162</v>
      </c>
      <c r="DC164" s="12"/>
      <c r="DD164" s="12"/>
    </row>
    <row r="165" ht="22.5" customHeight="1">
      <c r="A165" s="18">
        <v>45987.814984675926</v>
      </c>
      <c r="B165" s="19" t="s">
        <v>369</v>
      </c>
      <c r="C165" s="19" t="s">
        <v>1</v>
      </c>
      <c r="CU165" s="20">
        <v>45496.0</v>
      </c>
      <c r="CV165" s="19" t="s">
        <v>157</v>
      </c>
      <c r="CW165" s="19" t="s">
        <v>792</v>
      </c>
      <c r="CX165" s="19" t="s">
        <v>449</v>
      </c>
      <c r="CY165" s="19" t="s">
        <v>793</v>
      </c>
      <c r="CZ165" s="19" t="s">
        <v>403</v>
      </c>
      <c r="DA165" s="19" t="s">
        <v>334</v>
      </c>
      <c r="DB165" s="19" t="s">
        <v>267</v>
      </c>
    </row>
    <row r="166" ht="22.5" customHeight="1">
      <c r="A166" s="18">
        <v>45987.820401793986</v>
      </c>
      <c r="B166" s="19" t="s">
        <v>369</v>
      </c>
      <c r="C166" s="19" t="s">
        <v>1</v>
      </c>
      <c r="CU166" s="20">
        <v>45502.0</v>
      </c>
      <c r="CV166" s="19" t="s">
        <v>157</v>
      </c>
      <c r="CW166" s="19" t="s">
        <v>794</v>
      </c>
      <c r="CX166" s="19" t="s">
        <v>733</v>
      </c>
      <c r="CY166" s="19" t="s">
        <v>409</v>
      </c>
      <c r="CZ166" s="19" t="s">
        <v>403</v>
      </c>
      <c r="DA166" s="19" t="s">
        <v>334</v>
      </c>
      <c r="DB166" s="19" t="s">
        <v>267</v>
      </c>
    </row>
    <row r="167" ht="22.5" customHeight="1">
      <c r="A167" s="18">
        <v>45987.8357341088</v>
      </c>
      <c r="B167" s="19" t="s">
        <v>369</v>
      </c>
      <c r="C167" s="19" t="s">
        <v>1</v>
      </c>
      <c r="CU167" s="20">
        <v>45510.0</v>
      </c>
      <c r="CV167" s="19" t="s">
        <v>157</v>
      </c>
      <c r="CW167" s="19" t="s">
        <v>795</v>
      </c>
      <c r="CX167" s="19" t="s">
        <v>151</v>
      </c>
      <c r="CY167" s="19" t="s">
        <v>796</v>
      </c>
      <c r="CZ167" s="19" t="s">
        <v>403</v>
      </c>
      <c r="DA167" s="19" t="s">
        <v>334</v>
      </c>
      <c r="DB167" s="19" t="s">
        <v>267</v>
      </c>
      <c r="DC167" s="21" t="s">
        <v>797</v>
      </c>
    </row>
    <row r="168" ht="22.5" customHeight="1">
      <c r="A168" s="18">
        <v>45987.838157060185</v>
      </c>
      <c r="B168" s="19" t="s">
        <v>369</v>
      </c>
      <c r="C168" s="19" t="s">
        <v>1</v>
      </c>
      <c r="CU168" s="20">
        <v>45525.0</v>
      </c>
      <c r="CV168" s="19" t="s">
        <v>157</v>
      </c>
      <c r="CW168" s="19" t="s">
        <v>798</v>
      </c>
      <c r="CX168" s="19" t="s">
        <v>408</v>
      </c>
      <c r="CY168" s="19" t="s">
        <v>799</v>
      </c>
      <c r="CZ168" s="19" t="s">
        <v>403</v>
      </c>
      <c r="DA168" s="19" t="s">
        <v>334</v>
      </c>
      <c r="DB168" s="19" t="s">
        <v>267</v>
      </c>
      <c r="DC168" s="21" t="s">
        <v>800</v>
      </c>
    </row>
    <row r="169" ht="22.5" customHeight="1">
      <c r="A169" s="18">
        <v>45987.84102248843</v>
      </c>
      <c r="B169" s="19" t="s">
        <v>369</v>
      </c>
      <c r="C169" s="19" t="s">
        <v>1</v>
      </c>
      <c r="CU169" s="20">
        <v>45532.0</v>
      </c>
      <c r="CV169" s="19" t="s">
        <v>157</v>
      </c>
      <c r="CW169" s="19" t="s">
        <v>801</v>
      </c>
      <c r="CX169" s="19" t="s">
        <v>552</v>
      </c>
      <c r="CY169" s="19" t="s">
        <v>802</v>
      </c>
      <c r="CZ169" s="19" t="s">
        <v>403</v>
      </c>
      <c r="DA169" s="19" t="s">
        <v>334</v>
      </c>
      <c r="DB169" s="19" t="s">
        <v>162</v>
      </c>
      <c r="DC169" s="21" t="s">
        <v>803</v>
      </c>
    </row>
    <row r="170" ht="22.5" customHeight="1">
      <c r="A170" s="18">
        <v>45987.84320513889</v>
      </c>
      <c r="B170" s="19" t="s">
        <v>369</v>
      </c>
      <c r="C170" s="19" t="s">
        <v>1</v>
      </c>
      <c r="CU170" s="20">
        <v>45547.0</v>
      </c>
      <c r="CV170" s="19" t="s">
        <v>157</v>
      </c>
      <c r="CW170" s="19" t="s">
        <v>804</v>
      </c>
      <c r="CX170" s="19" t="s">
        <v>733</v>
      </c>
      <c r="CY170" s="19" t="s">
        <v>805</v>
      </c>
      <c r="CZ170" s="19" t="s">
        <v>403</v>
      </c>
      <c r="DA170" s="19" t="s">
        <v>334</v>
      </c>
      <c r="DB170" s="19" t="s">
        <v>162</v>
      </c>
      <c r="DC170" s="21" t="s">
        <v>806</v>
      </c>
    </row>
    <row r="171" ht="22.5" customHeight="1">
      <c r="A171" s="18">
        <v>45987.84701622685</v>
      </c>
      <c r="B171" s="19" t="s">
        <v>369</v>
      </c>
      <c r="C171" s="19" t="s">
        <v>1</v>
      </c>
      <c r="CU171" s="20">
        <v>45553.0</v>
      </c>
      <c r="CV171" s="19" t="s">
        <v>406</v>
      </c>
      <c r="CW171" s="19" t="s">
        <v>807</v>
      </c>
      <c r="CX171" s="19" t="s">
        <v>573</v>
      </c>
      <c r="CY171" s="19" t="s">
        <v>808</v>
      </c>
      <c r="CZ171" s="19" t="s">
        <v>809</v>
      </c>
      <c r="DA171" s="19" t="s">
        <v>810</v>
      </c>
      <c r="DB171" s="19" t="s">
        <v>162</v>
      </c>
      <c r="DC171" s="21" t="s">
        <v>811</v>
      </c>
    </row>
    <row r="172" ht="22.5" customHeight="1">
      <c r="A172" s="18">
        <v>45987.951912881945</v>
      </c>
      <c r="B172" s="19" t="s">
        <v>207</v>
      </c>
      <c r="C172" s="19" t="s">
        <v>6</v>
      </c>
      <c r="AZ172" s="20">
        <v>45011.0</v>
      </c>
      <c r="BA172" s="19" t="s">
        <v>318</v>
      </c>
      <c r="BB172" s="19" t="s">
        <v>812</v>
      </c>
      <c r="BC172" s="19" t="s">
        <v>813</v>
      </c>
      <c r="BD172" s="20">
        <v>45402.0</v>
      </c>
      <c r="BE172" s="19" t="s">
        <v>122</v>
      </c>
      <c r="BF172" s="19" t="s">
        <v>814</v>
      </c>
      <c r="BG172" s="19" t="s">
        <v>815</v>
      </c>
      <c r="BH172" s="19" t="s">
        <v>212</v>
      </c>
      <c r="BI172" s="19" t="s">
        <v>294</v>
      </c>
      <c r="BJ172" s="19" t="s">
        <v>214</v>
      </c>
      <c r="BK172" s="21" t="s">
        <v>816</v>
      </c>
    </row>
    <row r="173" ht="22.5" customHeight="1">
      <c r="A173" s="18">
        <v>45987.95474405093</v>
      </c>
      <c r="B173" s="19" t="s">
        <v>207</v>
      </c>
      <c r="C173" s="19" t="s">
        <v>6</v>
      </c>
      <c r="AZ173" s="20">
        <v>45079.0</v>
      </c>
      <c r="BA173" s="19" t="s">
        <v>318</v>
      </c>
      <c r="BB173" s="19" t="s">
        <v>817</v>
      </c>
      <c r="BC173" s="19" t="s">
        <v>217</v>
      </c>
      <c r="BD173" s="20">
        <v>45085.0</v>
      </c>
      <c r="BE173" s="19" t="s">
        <v>122</v>
      </c>
      <c r="BF173" s="19" t="s">
        <v>818</v>
      </c>
      <c r="BG173" s="19" t="s">
        <v>819</v>
      </c>
      <c r="BH173" s="19" t="s">
        <v>212</v>
      </c>
      <c r="BI173" s="19" t="s">
        <v>820</v>
      </c>
      <c r="BJ173" s="19" t="s">
        <v>214</v>
      </c>
      <c r="BK173" s="21" t="s">
        <v>821</v>
      </c>
    </row>
    <row r="174" ht="22.5" customHeight="1">
      <c r="A174" s="18">
        <v>45987.95838505787</v>
      </c>
      <c r="B174" s="19" t="s">
        <v>207</v>
      </c>
      <c r="C174" s="19" t="s">
        <v>6</v>
      </c>
      <c r="AZ174" s="20">
        <v>45104.0</v>
      </c>
      <c r="BA174" s="19" t="s">
        <v>318</v>
      </c>
      <c r="BB174" s="19" t="s">
        <v>822</v>
      </c>
      <c r="BC174" s="19" t="s">
        <v>217</v>
      </c>
      <c r="BD174" s="20">
        <v>45116.0</v>
      </c>
      <c r="BE174" s="19" t="s">
        <v>122</v>
      </c>
      <c r="BF174" s="19" t="s">
        <v>823</v>
      </c>
      <c r="BG174" s="19" t="s">
        <v>824</v>
      </c>
      <c r="BH174" s="19" t="s">
        <v>212</v>
      </c>
      <c r="BI174" s="19" t="s">
        <v>233</v>
      </c>
      <c r="BJ174" s="19" t="s">
        <v>214</v>
      </c>
      <c r="BK174" s="21" t="s">
        <v>825</v>
      </c>
    </row>
    <row r="175" ht="22.5" customHeight="1">
      <c r="A175" s="18">
        <v>45987.96286297454</v>
      </c>
      <c r="B175" s="19" t="s">
        <v>207</v>
      </c>
      <c r="C175" s="19" t="s">
        <v>6</v>
      </c>
      <c r="AZ175" s="20">
        <v>45183.0</v>
      </c>
      <c r="BA175" s="19" t="s">
        <v>318</v>
      </c>
      <c r="BB175" s="19" t="s">
        <v>826</v>
      </c>
      <c r="BC175" s="19" t="s">
        <v>217</v>
      </c>
      <c r="BD175" s="20">
        <v>45183.0</v>
      </c>
      <c r="BE175" s="19" t="s">
        <v>122</v>
      </c>
      <c r="BF175" s="19" t="s">
        <v>827</v>
      </c>
      <c r="BG175" s="19" t="s">
        <v>828</v>
      </c>
      <c r="BH175" s="19" t="s">
        <v>212</v>
      </c>
      <c r="BI175" s="19" t="s">
        <v>294</v>
      </c>
      <c r="BJ175" s="19" t="s">
        <v>214</v>
      </c>
      <c r="BK175" s="21" t="s">
        <v>829</v>
      </c>
    </row>
    <row r="176" ht="22.5" customHeight="1">
      <c r="A176" s="18">
        <v>45987.968764074074</v>
      </c>
      <c r="B176" s="19" t="s">
        <v>207</v>
      </c>
      <c r="C176" s="19" t="s">
        <v>6</v>
      </c>
      <c r="AZ176" s="20">
        <v>45275.0</v>
      </c>
      <c r="BA176" s="19" t="s">
        <v>318</v>
      </c>
      <c r="BB176" s="19" t="s">
        <v>830</v>
      </c>
      <c r="BC176" s="19" t="s">
        <v>217</v>
      </c>
      <c r="BD176" s="20">
        <v>45275.0</v>
      </c>
      <c r="BE176" s="19" t="s">
        <v>122</v>
      </c>
      <c r="BF176" s="19" t="s">
        <v>831</v>
      </c>
      <c r="BG176" s="19" t="s">
        <v>832</v>
      </c>
      <c r="BH176" s="19" t="s">
        <v>212</v>
      </c>
      <c r="BI176" s="19" t="s">
        <v>294</v>
      </c>
      <c r="BJ176" s="19" t="s">
        <v>214</v>
      </c>
      <c r="BK176" s="21" t="s">
        <v>833</v>
      </c>
    </row>
    <row r="177" ht="22.5" customHeight="1">
      <c r="A177" s="18">
        <v>45987.97646081018</v>
      </c>
      <c r="B177" s="19" t="s">
        <v>207</v>
      </c>
      <c r="C177" s="19" t="s">
        <v>6</v>
      </c>
      <c r="AZ177" s="20">
        <v>45776.0</v>
      </c>
      <c r="BA177" s="19" t="s">
        <v>318</v>
      </c>
      <c r="BB177" s="19" t="s">
        <v>834</v>
      </c>
      <c r="BC177" s="19" t="s">
        <v>217</v>
      </c>
      <c r="BD177" s="20">
        <v>45831.0</v>
      </c>
      <c r="BE177" s="19" t="s">
        <v>122</v>
      </c>
      <c r="BF177" s="19" t="s">
        <v>835</v>
      </c>
      <c r="BG177" s="19" t="s">
        <v>836</v>
      </c>
      <c r="BH177" s="19" t="s">
        <v>212</v>
      </c>
      <c r="BI177" s="19" t="s">
        <v>233</v>
      </c>
      <c r="BJ177" s="19" t="s">
        <v>214</v>
      </c>
      <c r="BK177" s="21" t="s">
        <v>837</v>
      </c>
    </row>
    <row r="178" ht="22.5" customHeight="1">
      <c r="A178" s="18">
        <v>45987.97898042824</v>
      </c>
      <c r="B178" s="19" t="s">
        <v>207</v>
      </c>
      <c r="C178" s="19" t="s">
        <v>6</v>
      </c>
      <c r="AZ178" s="20">
        <v>45583.0</v>
      </c>
      <c r="BA178" s="19" t="s">
        <v>682</v>
      </c>
      <c r="BB178" s="19" t="s">
        <v>838</v>
      </c>
      <c r="BC178" s="19" t="s">
        <v>217</v>
      </c>
      <c r="BD178" s="20">
        <v>45589.0</v>
      </c>
      <c r="BE178" s="19" t="s">
        <v>122</v>
      </c>
      <c r="BF178" s="19" t="s">
        <v>839</v>
      </c>
      <c r="BG178" s="19" t="s">
        <v>840</v>
      </c>
      <c r="BH178" s="19" t="s">
        <v>212</v>
      </c>
      <c r="BI178" s="19" t="s">
        <v>233</v>
      </c>
      <c r="BJ178" s="19" t="s">
        <v>214</v>
      </c>
      <c r="BK178" s="21" t="s">
        <v>841</v>
      </c>
    </row>
    <row r="179" ht="22.5" customHeight="1">
      <c r="A179" s="18">
        <v>45987.98623314815</v>
      </c>
      <c r="B179" s="19" t="s">
        <v>207</v>
      </c>
      <c r="C179" s="19" t="s">
        <v>6</v>
      </c>
      <c r="AZ179" s="20">
        <v>45000.0</v>
      </c>
      <c r="BA179" s="19" t="s">
        <v>682</v>
      </c>
      <c r="BB179" s="19" t="s">
        <v>842</v>
      </c>
      <c r="BC179" s="19" t="s">
        <v>418</v>
      </c>
      <c r="BD179" s="20">
        <v>45027.0</v>
      </c>
      <c r="BE179" s="19" t="s">
        <v>122</v>
      </c>
      <c r="BF179" s="19" t="s">
        <v>843</v>
      </c>
      <c r="BG179" s="19" t="s">
        <v>844</v>
      </c>
      <c r="BH179" s="19" t="s">
        <v>212</v>
      </c>
      <c r="BI179" s="19" t="s">
        <v>233</v>
      </c>
      <c r="BJ179" s="19" t="s">
        <v>214</v>
      </c>
      <c r="BK179" s="21" t="s">
        <v>845</v>
      </c>
    </row>
    <row r="180" ht="22.5" customHeight="1">
      <c r="A180" s="18">
        <v>45987.98891721065</v>
      </c>
      <c r="B180" s="19" t="s">
        <v>207</v>
      </c>
      <c r="C180" s="19" t="s">
        <v>6</v>
      </c>
      <c r="AZ180" s="20">
        <v>45146.0</v>
      </c>
      <c r="BA180" s="19" t="s">
        <v>682</v>
      </c>
      <c r="BB180" s="19" t="s">
        <v>846</v>
      </c>
      <c r="BC180" s="19" t="s">
        <v>217</v>
      </c>
      <c r="BD180" s="20">
        <v>45245.0</v>
      </c>
      <c r="BE180" s="19" t="s">
        <v>122</v>
      </c>
      <c r="BF180" s="19" t="s">
        <v>847</v>
      </c>
      <c r="BG180" s="19" t="s">
        <v>848</v>
      </c>
      <c r="BH180" s="19" t="s">
        <v>212</v>
      </c>
      <c r="BI180" s="19" t="s">
        <v>233</v>
      </c>
      <c r="BJ180" s="19" t="s">
        <v>214</v>
      </c>
      <c r="BK180" s="21" t="s">
        <v>849</v>
      </c>
    </row>
    <row r="181" ht="22.5" customHeight="1">
      <c r="A181" s="18">
        <v>45987.99372377315</v>
      </c>
      <c r="B181" s="19" t="s">
        <v>207</v>
      </c>
      <c r="C181" s="19" t="s">
        <v>6</v>
      </c>
      <c r="AZ181" s="20">
        <v>45251.0</v>
      </c>
      <c r="BA181" s="19" t="s">
        <v>850</v>
      </c>
      <c r="BB181" s="19" t="s">
        <v>851</v>
      </c>
      <c r="BC181" s="19" t="s">
        <v>217</v>
      </c>
      <c r="BD181" s="20">
        <v>45275.0</v>
      </c>
      <c r="BE181" s="19" t="s">
        <v>122</v>
      </c>
      <c r="BF181" s="19" t="s">
        <v>852</v>
      </c>
      <c r="BG181" s="19" t="s">
        <v>853</v>
      </c>
      <c r="BH181" s="19" t="s">
        <v>212</v>
      </c>
      <c r="BI181" s="19" t="s">
        <v>233</v>
      </c>
      <c r="BJ181" s="19" t="s">
        <v>214</v>
      </c>
      <c r="BK181" s="21" t="s">
        <v>854</v>
      </c>
    </row>
    <row r="182" ht="22.5" customHeight="1">
      <c r="A182" s="18">
        <v>45987.997053506944</v>
      </c>
      <c r="B182" s="19" t="s">
        <v>207</v>
      </c>
      <c r="C182" s="19" t="s">
        <v>6</v>
      </c>
      <c r="AZ182" s="20">
        <v>45594.0</v>
      </c>
      <c r="BA182" s="19" t="s">
        <v>855</v>
      </c>
      <c r="BB182" s="19" t="s">
        <v>856</v>
      </c>
      <c r="BC182" s="19" t="s">
        <v>217</v>
      </c>
      <c r="BD182" s="20">
        <v>45595.0</v>
      </c>
      <c r="BE182" s="19" t="s">
        <v>122</v>
      </c>
      <c r="BF182" s="19" t="s">
        <v>857</v>
      </c>
      <c r="BG182" s="19" t="s">
        <v>858</v>
      </c>
      <c r="BH182" s="19" t="s">
        <v>212</v>
      </c>
      <c r="BI182" s="19" t="s">
        <v>859</v>
      </c>
      <c r="BJ182" s="19" t="s">
        <v>214</v>
      </c>
      <c r="BK182" s="21" t="s">
        <v>860</v>
      </c>
    </row>
    <row r="183" ht="22.5" customHeight="1">
      <c r="A183" s="18">
        <v>45987.99988841436</v>
      </c>
      <c r="B183" s="19" t="s">
        <v>207</v>
      </c>
      <c r="C183" s="19" t="s">
        <v>6</v>
      </c>
      <c r="AZ183" s="20">
        <v>45033.0</v>
      </c>
      <c r="BA183" s="19" t="s">
        <v>861</v>
      </c>
      <c r="BB183" s="19" t="s">
        <v>862</v>
      </c>
      <c r="BC183" s="19" t="s">
        <v>217</v>
      </c>
      <c r="BD183" s="20">
        <v>45057.0</v>
      </c>
      <c r="BE183" s="19" t="s">
        <v>122</v>
      </c>
      <c r="BF183" s="19" t="s">
        <v>863</v>
      </c>
      <c r="BG183" s="19" t="s">
        <v>864</v>
      </c>
      <c r="BH183" s="19" t="s">
        <v>212</v>
      </c>
      <c r="BI183" s="19" t="s">
        <v>294</v>
      </c>
      <c r="BJ183" s="19" t="s">
        <v>214</v>
      </c>
      <c r="BK183" s="21" t="s">
        <v>865</v>
      </c>
    </row>
    <row r="184" ht="22.5" customHeight="1">
      <c r="A184" s="18">
        <v>45988.00404489583</v>
      </c>
      <c r="B184" s="19" t="s">
        <v>207</v>
      </c>
      <c r="C184" s="19" t="s">
        <v>6</v>
      </c>
      <c r="AZ184" s="20">
        <v>45049.0</v>
      </c>
      <c r="BA184" s="19" t="s">
        <v>861</v>
      </c>
      <c r="BB184" s="19" t="s">
        <v>866</v>
      </c>
      <c r="BC184" s="19" t="s">
        <v>383</v>
      </c>
      <c r="BD184" s="20">
        <v>45116.0</v>
      </c>
      <c r="BE184" s="19" t="s">
        <v>122</v>
      </c>
      <c r="BF184" s="19" t="s">
        <v>867</v>
      </c>
      <c r="BG184" s="19" t="s">
        <v>868</v>
      </c>
      <c r="BH184" s="19" t="s">
        <v>212</v>
      </c>
      <c r="BI184" s="19" t="s">
        <v>233</v>
      </c>
      <c r="BJ184" s="19" t="s">
        <v>214</v>
      </c>
      <c r="BK184" s="21" t="s">
        <v>869</v>
      </c>
    </row>
    <row r="185" ht="22.5" customHeight="1">
      <c r="A185" s="18">
        <v>45988.470291377314</v>
      </c>
      <c r="B185" s="19" t="s">
        <v>207</v>
      </c>
      <c r="C185" s="19" t="s">
        <v>1</v>
      </c>
      <c r="CU185" s="20">
        <v>45986.0</v>
      </c>
      <c r="CV185" s="19" t="s">
        <v>157</v>
      </c>
      <c r="CW185" s="19" t="s">
        <v>870</v>
      </c>
      <c r="CX185" s="19" t="s">
        <v>147</v>
      </c>
      <c r="CY185" s="19" t="s">
        <v>871</v>
      </c>
      <c r="CZ185" s="19" t="s">
        <v>872</v>
      </c>
      <c r="DA185" s="19" t="s">
        <v>873</v>
      </c>
      <c r="DB185" s="19" t="s">
        <v>267</v>
      </c>
      <c r="DC185" s="21" t="s">
        <v>874</v>
      </c>
    </row>
    <row r="186" ht="22.5" customHeight="1">
      <c r="A186" s="18">
        <v>45988.48954491898</v>
      </c>
      <c r="B186" s="19" t="s">
        <v>207</v>
      </c>
      <c r="C186" s="19" t="s">
        <v>1</v>
      </c>
      <c r="CU186" s="20">
        <v>45987.0</v>
      </c>
      <c r="CV186" s="19" t="s">
        <v>157</v>
      </c>
      <c r="CW186" s="19" t="s">
        <v>875</v>
      </c>
      <c r="CX186" s="19" t="s">
        <v>876</v>
      </c>
      <c r="CY186" s="19" t="s">
        <v>467</v>
      </c>
      <c r="CZ186" s="19" t="s">
        <v>877</v>
      </c>
      <c r="DA186" s="19" t="s">
        <v>878</v>
      </c>
      <c r="DB186" s="19" t="s">
        <v>267</v>
      </c>
      <c r="DC186" s="21" t="s">
        <v>879</v>
      </c>
    </row>
    <row r="187" ht="22.5" customHeight="1">
      <c r="A187" s="18">
        <v>45988.63952337963</v>
      </c>
      <c r="B187" s="19" t="s">
        <v>369</v>
      </c>
      <c r="C187" s="19" t="s">
        <v>1</v>
      </c>
      <c r="CU187" s="20">
        <v>45561.0</v>
      </c>
      <c r="CV187" s="19" t="s">
        <v>406</v>
      </c>
      <c r="CW187" s="19" t="s">
        <v>880</v>
      </c>
      <c r="CX187" s="19" t="s">
        <v>733</v>
      </c>
      <c r="CY187" s="19" t="s">
        <v>881</v>
      </c>
      <c r="CZ187" s="19" t="s">
        <v>882</v>
      </c>
      <c r="DA187" s="19" t="s">
        <v>883</v>
      </c>
      <c r="DB187" s="19" t="s">
        <v>267</v>
      </c>
      <c r="DC187" s="21" t="s">
        <v>884</v>
      </c>
    </row>
    <row r="188" ht="22.5" customHeight="1">
      <c r="A188" s="18">
        <v>45988.64296686342</v>
      </c>
      <c r="B188" s="19" t="s">
        <v>369</v>
      </c>
      <c r="C188" s="19" t="s">
        <v>1</v>
      </c>
      <c r="CU188" s="20">
        <v>45565.0</v>
      </c>
      <c r="CV188" s="19" t="s">
        <v>157</v>
      </c>
      <c r="CW188" s="19" t="s">
        <v>885</v>
      </c>
      <c r="CX188" s="19" t="s">
        <v>408</v>
      </c>
      <c r="CY188" s="19" t="s">
        <v>799</v>
      </c>
      <c r="CZ188" s="19" t="s">
        <v>403</v>
      </c>
      <c r="DA188" s="19" t="s">
        <v>334</v>
      </c>
      <c r="DB188" s="19" t="s">
        <v>267</v>
      </c>
      <c r="DC188" s="21" t="s">
        <v>886</v>
      </c>
    </row>
    <row r="189" ht="22.5" customHeight="1">
      <c r="A189" s="18">
        <v>45988.6444879051</v>
      </c>
      <c r="B189" s="19" t="s">
        <v>369</v>
      </c>
      <c r="C189" s="19" t="s">
        <v>1</v>
      </c>
      <c r="CU189" s="20">
        <v>45575.0</v>
      </c>
      <c r="CV189" s="19" t="s">
        <v>157</v>
      </c>
      <c r="CW189" s="19" t="s">
        <v>887</v>
      </c>
      <c r="CX189" s="19" t="s">
        <v>449</v>
      </c>
      <c r="CY189" s="19" t="s">
        <v>888</v>
      </c>
      <c r="CZ189" s="19" t="s">
        <v>403</v>
      </c>
      <c r="DA189" s="19" t="s">
        <v>334</v>
      </c>
      <c r="DB189" s="19" t="s">
        <v>267</v>
      </c>
      <c r="DC189" s="21" t="s">
        <v>889</v>
      </c>
    </row>
    <row r="190" ht="22.5" customHeight="1">
      <c r="A190" s="18">
        <v>45988.64792320602</v>
      </c>
      <c r="B190" s="19" t="s">
        <v>369</v>
      </c>
      <c r="C190" s="19" t="s">
        <v>1</v>
      </c>
      <c r="CU190" s="20">
        <v>45611.0</v>
      </c>
      <c r="CV190" s="19" t="s">
        <v>157</v>
      </c>
      <c r="CW190" s="19" t="s">
        <v>890</v>
      </c>
      <c r="CX190" s="19" t="s">
        <v>449</v>
      </c>
      <c r="CY190" s="19" t="s">
        <v>891</v>
      </c>
      <c r="CZ190" s="19" t="s">
        <v>403</v>
      </c>
      <c r="DA190" s="19" t="s">
        <v>154</v>
      </c>
      <c r="DB190" s="19" t="s">
        <v>267</v>
      </c>
      <c r="DC190" s="21" t="s">
        <v>892</v>
      </c>
    </row>
    <row r="191" ht="22.5" customHeight="1">
      <c r="A191" s="18">
        <v>45988.64939365741</v>
      </c>
      <c r="B191" s="19" t="s">
        <v>369</v>
      </c>
      <c r="C191" s="19" t="s">
        <v>1</v>
      </c>
      <c r="CU191" s="20">
        <v>45615.0</v>
      </c>
      <c r="CV191" s="19" t="s">
        <v>157</v>
      </c>
      <c r="CW191" s="19" t="s">
        <v>893</v>
      </c>
      <c r="CX191" s="19" t="s">
        <v>894</v>
      </c>
      <c r="CY191" s="19" t="s">
        <v>895</v>
      </c>
      <c r="CZ191" s="19" t="s">
        <v>403</v>
      </c>
      <c r="DA191" s="19" t="s">
        <v>334</v>
      </c>
      <c r="DB191" s="19" t="s">
        <v>162</v>
      </c>
      <c r="DC191" s="21" t="s">
        <v>896</v>
      </c>
    </row>
    <row r="192" ht="22.5" customHeight="1">
      <c r="A192" s="18">
        <v>45988.65122170139</v>
      </c>
      <c r="B192" s="19" t="s">
        <v>369</v>
      </c>
      <c r="C192" s="19" t="s">
        <v>1</v>
      </c>
      <c r="CU192" s="20">
        <v>45631.0</v>
      </c>
      <c r="CV192" s="19" t="s">
        <v>157</v>
      </c>
      <c r="CW192" s="19" t="s">
        <v>897</v>
      </c>
      <c r="CX192" s="19" t="s">
        <v>408</v>
      </c>
      <c r="CY192" s="19" t="s">
        <v>898</v>
      </c>
      <c r="CZ192" s="19" t="s">
        <v>403</v>
      </c>
      <c r="DA192" s="19" t="s">
        <v>334</v>
      </c>
      <c r="DB192" s="19" t="s">
        <v>162</v>
      </c>
      <c r="DC192" s="21" t="s">
        <v>899</v>
      </c>
    </row>
    <row r="193" ht="22.5" customHeight="1">
      <c r="A193" s="18">
        <v>45988.65583320602</v>
      </c>
      <c r="B193" s="19" t="s">
        <v>369</v>
      </c>
      <c r="C193" s="19" t="s">
        <v>1</v>
      </c>
      <c r="CU193" s="20">
        <v>45635.0</v>
      </c>
      <c r="CV193" s="19" t="s">
        <v>157</v>
      </c>
      <c r="CW193" s="19" t="s">
        <v>900</v>
      </c>
      <c r="CX193" s="19" t="s">
        <v>274</v>
      </c>
      <c r="CY193" s="19" t="s">
        <v>901</v>
      </c>
      <c r="CZ193" s="19" t="s">
        <v>902</v>
      </c>
      <c r="DA193" s="19" t="s">
        <v>334</v>
      </c>
      <c r="DB193" s="19" t="s">
        <v>267</v>
      </c>
      <c r="DC193" s="21" t="s">
        <v>903</v>
      </c>
    </row>
    <row r="194" ht="22.5" customHeight="1">
      <c r="A194" s="18">
        <v>45988.65866350694</v>
      </c>
      <c r="B194" s="19" t="s">
        <v>369</v>
      </c>
      <c r="C194" s="19" t="s">
        <v>1</v>
      </c>
      <c r="CU194" s="20">
        <v>45639.0</v>
      </c>
      <c r="CV194" s="19" t="s">
        <v>157</v>
      </c>
      <c r="CW194" s="19" t="s">
        <v>904</v>
      </c>
      <c r="CX194" s="19" t="s">
        <v>318</v>
      </c>
      <c r="CY194" s="19" t="s">
        <v>905</v>
      </c>
      <c r="CZ194" s="19" t="s">
        <v>403</v>
      </c>
      <c r="DA194" s="19" t="s">
        <v>334</v>
      </c>
      <c r="DB194" s="19" t="s">
        <v>267</v>
      </c>
      <c r="DC194" s="21" t="s">
        <v>906</v>
      </c>
    </row>
    <row r="195" ht="22.5" customHeight="1">
      <c r="A195" s="18">
        <v>45988.65967408565</v>
      </c>
      <c r="B195" s="19" t="s">
        <v>369</v>
      </c>
      <c r="C195" s="19" t="s">
        <v>1</v>
      </c>
      <c r="CU195" s="20">
        <v>45639.0</v>
      </c>
      <c r="CV195" s="19" t="s">
        <v>157</v>
      </c>
      <c r="CW195" s="19" t="s">
        <v>907</v>
      </c>
      <c r="CX195" s="19" t="s">
        <v>449</v>
      </c>
      <c r="CY195" s="19" t="s">
        <v>891</v>
      </c>
      <c r="CZ195" s="19" t="s">
        <v>403</v>
      </c>
      <c r="DA195" s="19" t="s">
        <v>334</v>
      </c>
      <c r="DB195" s="19" t="s">
        <v>162</v>
      </c>
      <c r="DC195" s="21" t="s">
        <v>908</v>
      </c>
    </row>
    <row r="196" ht="22.5" customHeight="1">
      <c r="A196" s="18">
        <v>45988.66127247685</v>
      </c>
      <c r="B196" s="19" t="s">
        <v>369</v>
      </c>
      <c r="C196" s="19" t="s">
        <v>1</v>
      </c>
      <c r="CU196" s="20">
        <v>45642.0</v>
      </c>
      <c r="CV196" s="19" t="s">
        <v>157</v>
      </c>
      <c r="CW196" s="19" t="s">
        <v>909</v>
      </c>
      <c r="CX196" s="19" t="s">
        <v>449</v>
      </c>
      <c r="CY196" s="19" t="s">
        <v>910</v>
      </c>
      <c r="CZ196" s="19" t="s">
        <v>403</v>
      </c>
      <c r="DA196" s="19" t="s">
        <v>334</v>
      </c>
      <c r="DB196" s="19" t="s">
        <v>267</v>
      </c>
    </row>
    <row r="197" ht="22.5" customHeight="1">
      <c r="A197" s="18">
        <v>45988.664621041666</v>
      </c>
      <c r="B197" s="19" t="s">
        <v>369</v>
      </c>
      <c r="C197" s="19" t="s">
        <v>1</v>
      </c>
      <c r="CU197" s="20">
        <v>44944.0</v>
      </c>
      <c r="CV197" s="19" t="s">
        <v>157</v>
      </c>
      <c r="CW197" s="19" t="s">
        <v>911</v>
      </c>
      <c r="CX197" s="19" t="s">
        <v>682</v>
      </c>
      <c r="CY197" s="19" t="s">
        <v>912</v>
      </c>
      <c r="CZ197" s="19" t="s">
        <v>403</v>
      </c>
      <c r="DA197" s="19" t="s">
        <v>334</v>
      </c>
      <c r="DB197" s="19" t="s">
        <v>267</v>
      </c>
    </row>
    <row r="198" ht="22.5" customHeight="1">
      <c r="A198" s="18">
        <v>45988.67349119213</v>
      </c>
      <c r="B198" s="19" t="s">
        <v>369</v>
      </c>
      <c r="C198" s="19" t="s">
        <v>1</v>
      </c>
      <c r="CU198" s="20">
        <v>45009.0</v>
      </c>
      <c r="CV198" s="19" t="s">
        <v>157</v>
      </c>
      <c r="CW198" s="19" t="s">
        <v>913</v>
      </c>
      <c r="CX198" s="19" t="s">
        <v>449</v>
      </c>
      <c r="CY198" s="19" t="s">
        <v>248</v>
      </c>
      <c r="CZ198" s="19" t="s">
        <v>403</v>
      </c>
      <c r="DA198" s="19" t="s">
        <v>334</v>
      </c>
      <c r="DB198" s="19" t="s">
        <v>162</v>
      </c>
      <c r="DC198" s="21" t="s">
        <v>914</v>
      </c>
    </row>
    <row r="199" ht="22.5" customHeight="1">
      <c r="A199" s="18">
        <v>45988.67635231481</v>
      </c>
      <c r="B199" s="19" t="s">
        <v>369</v>
      </c>
      <c r="C199" s="19" t="s">
        <v>1</v>
      </c>
      <c r="CU199" s="20">
        <v>44980.0</v>
      </c>
      <c r="CV199" s="19" t="s">
        <v>157</v>
      </c>
      <c r="CW199" s="19" t="s">
        <v>915</v>
      </c>
      <c r="CX199" s="19" t="s">
        <v>458</v>
      </c>
      <c r="CY199" s="19" t="s">
        <v>916</v>
      </c>
      <c r="CZ199" s="19" t="s">
        <v>403</v>
      </c>
      <c r="DA199" s="19" t="s">
        <v>334</v>
      </c>
      <c r="DB199" s="19" t="s">
        <v>162</v>
      </c>
      <c r="DC199" s="21" t="s">
        <v>917</v>
      </c>
    </row>
    <row r="200" ht="22.5" customHeight="1">
      <c r="A200" s="18">
        <v>45988.67707659722</v>
      </c>
      <c r="B200" s="19" t="s">
        <v>369</v>
      </c>
      <c r="C200" s="19" t="s">
        <v>1</v>
      </c>
      <c r="CU200" s="20">
        <v>45010.0</v>
      </c>
      <c r="CV200" s="19" t="s">
        <v>157</v>
      </c>
      <c r="CW200" s="19" t="s">
        <v>918</v>
      </c>
      <c r="CX200" s="19" t="s">
        <v>318</v>
      </c>
      <c r="CY200" s="19" t="s">
        <v>919</v>
      </c>
      <c r="CZ200" s="19" t="s">
        <v>403</v>
      </c>
      <c r="DA200" s="19" t="s">
        <v>334</v>
      </c>
      <c r="DB200" s="19" t="s">
        <v>162</v>
      </c>
    </row>
    <row r="201" ht="22.5" customHeight="1">
      <c r="A201" s="18">
        <v>45988.681562025464</v>
      </c>
      <c r="B201" s="19" t="s">
        <v>369</v>
      </c>
      <c r="C201" s="19" t="s">
        <v>1</v>
      </c>
      <c r="CU201" s="20">
        <v>45029.0</v>
      </c>
      <c r="CV201" s="19" t="s">
        <v>157</v>
      </c>
      <c r="CW201" s="19" t="s">
        <v>920</v>
      </c>
      <c r="CX201" s="19" t="s">
        <v>552</v>
      </c>
      <c r="CY201" s="19" t="s">
        <v>921</v>
      </c>
      <c r="CZ201" s="19" t="s">
        <v>403</v>
      </c>
      <c r="DA201" s="19" t="s">
        <v>334</v>
      </c>
      <c r="DB201" s="19" t="s">
        <v>267</v>
      </c>
    </row>
    <row r="202" ht="22.5" customHeight="1">
      <c r="A202" s="18">
        <v>45988.68490983796</v>
      </c>
      <c r="B202" s="19" t="s">
        <v>369</v>
      </c>
      <c r="C202" s="19" t="s">
        <v>1</v>
      </c>
      <c r="CU202" s="20">
        <v>45035.0</v>
      </c>
      <c r="CV202" s="19" t="s">
        <v>157</v>
      </c>
      <c r="CW202" s="19" t="s">
        <v>922</v>
      </c>
      <c r="CX202" s="19" t="s">
        <v>733</v>
      </c>
      <c r="CY202" s="19" t="s">
        <v>923</v>
      </c>
      <c r="CZ202" s="19" t="s">
        <v>403</v>
      </c>
      <c r="DA202" s="19" t="s">
        <v>334</v>
      </c>
      <c r="DB202" s="19" t="s">
        <v>267</v>
      </c>
      <c r="DC202" s="21" t="s">
        <v>924</v>
      </c>
    </row>
    <row r="203" ht="22.5" customHeight="1">
      <c r="A203" s="18">
        <v>45988.68615797454</v>
      </c>
      <c r="B203" s="19" t="s">
        <v>369</v>
      </c>
      <c r="C203" s="19" t="s">
        <v>1</v>
      </c>
      <c r="CU203" s="20">
        <v>45036.0</v>
      </c>
      <c r="CV203" s="19" t="s">
        <v>157</v>
      </c>
      <c r="CW203" s="19" t="s">
        <v>925</v>
      </c>
      <c r="CX203" s="19" t="s">
        <v>286</v>
      </c>
      <c r="CY203" s="19" t="s">
        <v>926</v>
      </c>
      <c r="CZ203" s="19" t="s">
        <v>403</v>
      </c>
      <c r="DA203" s="19" t="s">
        <v>334</v>
      </c>
      <c r="DB203" s="19" t="s">
        <v>267</v>
      </c>
      <c r="DC203" s="21" t="s">
        <v>927</v>
      </c>
    </row>
    <row r="204" ht="22.5" customHeight="1">
      <c r="A204" s="18">
        <v>45988.68741774306</v>
      </c>
      <c r="B204" s="19" t="s">
        <v>369</v>
      </c>
      <c r="C204" s="19" t="s">
        <v>1</v>
      </c>
      <c r="CU204" s="20">
        <v>45037.0</v>
      </c>
      <c r="CV204" s="19" t="s">
        <v>157</v>
      </c>
      <c r="CW204" s="19" t="s">
        <v>928</v>
      </c>
      <c r="CX204" s="19" t="s">
        <v>274</v>
      </c>
      <c r="CY204" s="19" t="s">
        <v>929</v>
      </c>
      <c r="CZ204" s="19" t="s">
        <v>403</v>
      </c>
      <c r="DA204" s="19" t="s">
        <v>334</v>
      </c>
      <c r="DB204" s="19" t="s">
        <v>162</v>
      </c>
    </row>
    <row r="205" ht="22.5" customHeight="1">
      <c r="A205" s="18">
        <v>45988.68849987269</v>
      </c>
      <c r="B205" s="19" t="s">
        <v>369</v>
      </c>
      <c r="C205" s="19" t="s">
        <v>1</v>
      </c>
      <c r="CU205" s="20">
        <v>45044.0</v>
      </c>
      <c r="CV205" s="19" t="s">
        <v>157</v>
      </c>
      <c r="CW205" s="19" t="s">
        <v>930</v>
      </c>
      <c r="CX205" s="19" t="s">
        <v>449</v>
      </c>
      <c r="CY205" s="19" t="s">
        <v>931</v>
      </c>
      <c r="CZ205" s="19" t="s">
        <v>403</v>
      </c>
      <c r="DA205" s="19" t="s">
        <v>334</v>
      </c>
      <c r="DB205" s="19" t="s">
        <v>162</v>
      </c>
    </row>
    <row r="206" ht="22.5" customHeight="1">
      <c r="A206" s="18">
        <v>45988.69070604167</v>
      </c>
      <c r="B206" s="19" t="s">
        <v>369</v>
      </c>
      <c r="C206" s="19" t="s">
        <v>1</v>
      </c>
      <c r="CU206" s="20">
        <v>45068.0</v>
      </c>
      <c r="CV206" s="19" t="s">
        <v>157</v>
      </c>
      <c r="CW206" s="19" t="s">
        <v>932</v>
      </c>
      <c r="CX206" s="19" t="s">
        <v>861</v>
      </c>
      <c r="CY206" s="19" t="s">
        <v>861</v>
      </c>
      <c r="CZ206" s="19" t="s">
        <v>403</v>
      </c>
      <c r="DA206" s="19" t="s">
        <v>334</v>
      </c>
      <c r="DB206" s="19" t="s">
        <v>267</v>
      </c>
    </row>
    <row r="207" ht="22.5" customHeight="1">
      <c r="A207" s="18">
        <v>45988.69237803241</v>
      </c>
      <c r="B207" s="19" t="s">
        <v>369</v>
      </c>
      <c r="C207" s="19" t="s">
        <v>1</v>
      </c>
      <c r="CU207" s="20">
        <v>45135.0</v>
      </c>
      <c r="CV207" s="19" t="s">
        <v>157</v>
      </c>
      <c r="CW207" s="19" t="s">
        <v>933</v>
      </c>
      <c r="CX207" s="19" t="s">
        <v>934</v>
      </c>
      <c r="CY207" s="19" t="s">
        <v>148</v>
      </c>
      <c r="CZ207" s="19" t="s">
        <v>403</v>
      </c>
      <c r="DA207" s="19" t="s">
        <v>334</v>
      </c>
      <c r="DB207" s="19" t="s">
        <v>162</v>
      </c>
      <c r="DC207" s="21" t="s">
        <v>935</v>
      </c>
    </row>
    <row r="208" ht="22.5" customHeight="1">
      <c r="A208" s="18">
        <v>45988.69323658565</v>
      </c>
      <c r="B208" s="19" t="s">
        <v>369</v>
      </c>
      <c r="C208" s="19" t="s">
        <v>1</v>
      </c>
      <c r="CU208" s="20">
        <v>45170.0</v>
      </c>
      <c r="CV208" s="19" t="s">
        <v>157</v>
      </c>
      <c r="CW208" s="19" t="s">
        <v>936</v>
      </c>
      <c r="CX208" s="19" t="s">
        <v>449</v>
      </c>
      <c r="CY208" s="19" t="s">
        <v>937</v>
      </c>
      <c r="CZ208" s="19" t="s">
        <v>403</v>
      </c>
      <c r="DA208" s="19" t="s">
        <v>334</v>
      </c>
      <c r="DB208" s="19" t="s">
        <v>267</v>
      </c>
    </row>
    <row r="209" ht="22.5" customHeight="1">
      <c r="A209" s="18">
        <v>45988.69482619213</v>
      </c>
      <c r="B209" s="19" t="s">
        <v>369</v>
      </c>
      <c r="C209" s="19" t="s">
        <v>1</v>
      </c>
      <c r="CU209" s="20">
        <v>45215.0</v>
      </c>
      <c r="CV209" s="19" t="s">
        <v>157</v>
      </c>
      <c r="CW209" s="19" t="s">
        <v>938</v>
      </c>
      <c r="CX209" s="19" t="s">
        <v>939</v>
      </c>
      <c r="CY209" s="19" t="s">
        <v>940</v>
      </c>
      <c r="CZ209" s="19" t="s">
        <v>403</v>
      </c>
      <c r="DA209" s="19" t="s">
        <v>334</v>
      </c>
      <c r="DB209" s="19" t="s">
        <v>267</v>
      </c>
      <c r="DC209" s="21" t="s">
        <v>941</v>
      </c>
    </row>
    <row r="210" ht="22.5" customHeight="1">
      <c r="A210" s="18">
        <v>45988.69611159722</v>
      </c>
      <c r="B210" s="19" t="s">
        <v>369</v>
      </c>
      <c r="C210" s="19" t="s">
        <v>1</v>
      </c>
      <c r="CU210" s="20">
        <v>45218.0</v>
      </c>
      <c r="CV210" s="19" t="s">
        <v>157</v>
      </c>
      <c r="CW210" s="19" t="s">
        <v>942</v>
      </c>
      <c r="CX210" s="19" t="s">
        <v>449</v>
      </c>
      <c r="CY210" s="19" t="s">
        <v>943</v>
      </c>
      <c r="CZ210" s="19" t="s">
        <v>403</v>
      </c>
      <c r="DA210" s="19" t="s">
        <v>334</v>
      </c>
      <c r="DB210" s="19" t="s">
        <v>267</v>
      </c>
      <c r="DC210" s="21" t="s">
        <v>944</v>
      </c>
    </row>
    <row r="211" ht="22.5" customHeight="1">
      <c r="A211" s="18">
        <v>45988.69745983796</v>
      </c>
      <c r="B211" s="19" t="s">
        <v>369</v>
      </c>
      <c r="C211" s="19" t="s">
        <v>1</v>
      </c>
      <c r="CU211" s="20">
        <v>45227.0</v>
      </c>
      <c r="CV211" s="19" t="s">
        <v>157</v>
      </c>
      <c r="CW211" s="19" t="s">
        <v>945</v>
      </c>
      <c r="CX211" s="19" t="s">
        <v>946</v>
      </c>
      <c r="CY211" s="19" t="s">
        <v>947</v>
      </c>
      <c r="CZ211" s="19" t="s">
        <v>403</v>
      </c>
      <c r="DA211" s="19" t="s">
        <v>334</v>
      </c>
      <c r="DB211" s="19" t="s">
        <v>267</v>
      </c>
      <c r="DC211" s="21" t="s">
        <v>948</v>
      </c>
    </row>
    <row r="212" ht="22.5" customHeight="1">
      <c r="A212" s="18">
        <v>45988.698424699076</v>
      </c>
      <c r="B212" s="19" t="s">
        <v>369</v>
      </c>
      <c r="C212" s="19" t="s">
        <v>1</v>
      </c>
      <c r="CU212" s="20">
        <v>45275.0</v>
      </c>
      <c r="CV212" s="19" t="s">
        <v>157</v>
      </c>
      <c r="CW212" s="19" t="s">
        <v>949</v>
      </c>
      <c r="CX212" s="19" t="s">
        <v>950</v>
      </c>
      <c r="CY212" s="19" t="s">
        <v>951</v>
      </c>
      <c r="CZ212" s="19" t="s">
        <v>403</v>
      </c>
      <c r="DA212" s="19" t="s">
        <v>334</v>
      </c>
      <c r="DB212" s="19" t="s">
        <v>267</v>
      </c>
    </row>
    <row r="213" ht="22.5" customHeight="1">
      <c r="A213" s="18">
        <v>45992.432534444444</v>
      </c>
      <c r="B213" s="19" t="s">
        <v>164</v>
      </c>
      <c r="C213" s="19" t="s">
        <v>1</v>
      </c>
      <c r="CU213" s="20">
        <v>45988.0</v>
      </c>
      <c r="CV213" s="19" t="s">
        <v>406</v>
      </c>
      <c r="CW213" s="19" t="s">
        <v>952</v>
      </c>
      <c r="CX213" s="19" t="s">
        <v>147</v>
      </c>
      <c r="CY213" s="19" t="s">
        <v>953</v>
      </c>
      <c r="CZ213" s="19" t="s">
        <v>954</v>
      </c>
      <c r="DA213" s="19" t="s">
        <v>140</v>
      </c>
      <c r="DB213" s="19" t="s">
        <v>162</v>
      </c>
      <c r="DC213" s="21" t="s">
        <v>955</v>
      </c>
    </row>
    <row r="214" ht="22.5" customHeight="1">
      <c r="A214" s="18">
        <v>45992.434226516205</v>
      </c>
      <c r="B214" s="19" t="s">
        <v>164</v>
      </c>
      <c r="C214" s="19" t="s">
        <v>1</v>
      </c>
      <c r="CU214" s="20">
        <v>45989.0</v>
      </c>
      <c r="CV214" s="19" t="s">
        <v>406</v>
      </c>
      <c r="CW214" s="19" t="s">
        <v>956</v>
      </c>
      <c r="CX214" s="19" t="s">
        <v>147</v>
      </c>
      <c r="CY214" s="19" t="s">
        <v>957</v>
      </c>
      <c r="CZ214" s="19" t="s">
        <v>958</v>
      </c>
      <c r="DA214" s="19" t="s">
        <v>140</v>
      </c>
      <c r="DB214" s="19" t="s">
        <v>162</v>
      </c>
      <c r="DC214" s="21" t="s">
        <v>959</v>
      </c>
    </row>
    <row r="215" ht="22.5" customHeight="1">
      <c r="A215" s="18">
        <v>46001.39191697916</v>
      </c>
      <c r="B215" s="19" t="s">
        <v>156</v>
      </c>
      <c r="C215" s="19" t="s">
        <v>1</v>
      </c>
      <c r="CU215" s="20">
        <v>46000.0</v>
      </c>
      <c r="CV215" s="19" t="s">
        <v>406</v>
      </c>
      <c r="CW215" s="19" t="s">
        <v>960</v>
      </c>
      <c r="CX215" s="19" t="s">
        <v>147</v>
      </c>
      <c r="CY215" s="19" t="s">
        <v>961</v>
      </c>
      <c r="CZ215" s="19" t="s">
        <v>962</v>
      </c>
      <c r="DA215" s="19" t="s">
        <v>963</v>
      </c>
      <c r="DB215" s="19" t="s">
        <v>162</v>
      </c>
      <c r="DC215" s="21" t="s">
        <v>964</v>
      </c>
    </row>
    <row r="216" ht="22.5" customHeight="1">
      <c r="A216" s="18">
        <v>46004.415777291666</v>
      </c>
      <c r="B216" s="19" t="s">
        <v>156</v>
      </c>
      <c r="C216" s="19" t="s">
        <v>1</v>
      </c>
      <c r="CU216" s="20">
        <v>46003.0</v>
      </c>
      <c r="CV216" s="19" t="s">
        <v>406</v>
      </c>
      <c r="CW216" s="19" t="s">
        <v>965</v>
      </c>
      <c r="CX216" s="19" t="s">
        <v>286</v>
      </c>
      <c r="CY216" s="19" t="s">
        <v>966</v>
      </c>
      <c r="CZ216" s="19" t="s">
        <v>967</v>
      </c>
      <c r="DA216" s="19" t="s">
        <v>968</v>
      </c>
      <c r="DB216" s="19" t="s">
        <v>162</v>
      </c>
      <c r="DC216" s="21" t="s">
        <v>969</v>
      </c>
    </row>
    <row r="217" ht="22.5" customHeight="1">
      <c r="A217" s="18">
        <v>46008.51064122685</v>
      </c>
      <c r="B217" s="19" t="s">
        <v>970</v>
      </c>
      <c r="C217" s="19" t="s">
        <v>1</v>
      </c>
      <c r="CU217" s="20">
        <v>46008.0</v>
      </c>
      <c r="CV217" s="19" t="s">
        <v>157</v>
      </c>
      <c r="CW217" s="19" t="s">
        <v>971</v>
      </c>
      <c r="CX217" s="19" t="s">
        <v>971</v>
      </c>
      <c r="CY217" s="19" t="s">
        <v>971</v>
      </c>
      <c r="CZ217" s="19" t="s">
        <v>971</v>
      </c>
      <c r="DA217" s="19" t="s">
        <v>971</v>
      </c>
      <c r="DB217" s="19" t="s">
        <v>162</v>
      </c>
    </row>
    <row r="218" ht="22.5" customHeight="1">
      <c r="A218" s="18">
        <v>46010.60339121528</v>
      </c>
      <c r="B218" s="19" t="s">
        <v>120</v>
      </c>
      <c r="C218" s="19" t="s">
        <v>4</v>
      </c>
      <c r="BW218" s="20">
        <v>46371.0</v>
      </c>
      <c r="BX218" s="19" t="s">
        <v>972</v>
      </c>
      <c r="BY218" s="19" t="s">
        <v>749</v>
      </c>
      <c r="BZ218" s="19" t="s">
        <v>750</v>
      </c>
      <c r="CA218" s="19" t="s">
        <v>973</v>
      </c>
      <c r="CB218" s="19" t="s">
        <v>267</v>
      </c>
      <c r="CC218" s="21" t="s">
        <v>974</v>
      </c>
    </row>
    <row r="219" ht="22.5" customHeight="1">
      <c r="A219" s="18">
        <v>46010.68462172453</v>
      </c>
      <c r="B219" s="19" t="s">
        <v>970</v>
      </c>
      <c r="C219" s="19" t="s">
        <v>1</v>
      </c>
      <c r="CU219" s="20">
        <v>46011.0</v>
      </c>
      <c r="CV219" s="19" t="s">
        <v>157</v>
      </c>
      <c r="CW219" s="19" t="s">
        <v>971</v>
      </c>
      <c r="CX219" s="19" t="s">
        <v>971</v>
      </c>
      <c r="CY219" s="19" t="s">
        <v>971</v>
      </c>
      <c r="CZ219" s="19" t="s">
        <v>971</v>
      </c>
      <c r="DA219" s="19" t="s">
        <v>971</v>
      </c>
      <c r="DB219" s="19" t="s">
        <v>162</v>
      </c>
    </row>
    <row r="220" ht="22.5" customHeight="1">
      <c r="A220" s="18">
        <v>46021.63295184028</v>
      </c>
      <c r="B220" s="19" t="s">
        <v>120</v>
      </c>
      <c r="C220" s="19" t="s">
        <v>2</v>
      </c>
      <c r="CM220" s="20">
        <v>45204.0</v>
      </c>
      <c r="CN220" s="19" t="s">
        <v>33</v>
      </c>
      <c r="CO220" s="19" t="s">
        <v>975</v>
      </c>
      <c r="CP220" s="19" t="s">
        <v>148</v>
      </c>
      <c r="CQ220" s="19" t="s">
        <v>349</v>
      </c>
      <c r="CR220" s="19" t="s">
        <v>976</v>
      </c>
      <c r="CS220" s="19" t="s">
        <v>129</v>
      </c>
      <c r="CT220" s="21" t="s">
        <v>977</v>
      </c>
    </row>
    <row r="221" ht="22.5" customHeight="1">
      <c r="A221" s="18">
        <v>46021.6532696875</v>
      </c>
      <c r="B221" s="19" t="s">
        <v>120</v>
      </c>
      <c r="C221" s="19" t="s">
        <v>2</v>
      </c>
      <c r="CM221" s="20">
        <v>45219.0</v>
      </c>
      <c r="CN221" s="19" t="s">
        <v>33</v>
      </c>
      <c r="CO221" s="19" t="s">
        <v>978</v>
      </c>
      <c r="CP221" s="19" t="s">
        <v>979</v>
      </c>
      <c r="CQ221" s="19" t="s">
        <v>266</v>
      </c>
      <c r="CR221" s="19" t="s">
        <v>980</v>
      </c>
      <c r="CS221" s="19" t="s">
        <v>267</v>
      </c>
      <c r="CT221" s="21" t="s">
        <v>981</v>
      </c>
    </row>
    <row r="222" ht="22.5" customHeight="1">
      <c r="A222" s="18">
        <v>46021.65677216435</v>
      </c>
      <c r="B222" s="19" t="s">
        <v>120</v>
      </c>
      <c r="C222" s="19" t="s">
        <v>2</v>
      </c>
      <c r="CM222" s="20">
        <v>45230.0</v>
      </c>
      <c r="CN222" s="19" t="s">
        <v>33</v>
      </c>
      <c r="CO222" s="19" t="s">
        <v>982</v>
      </c>
      <c r="CP222" s="19" t="s">
        <v>983</v>
      </c>
      <c r="CQ222" s="19" t="s">
        <v>266</v>
      </c>
      <c r="CR222" s="19" t="s">
        <v>984</v>
      </c>
      <c r="CS222" s="19" t="s">
        <v>267</v>
      </c>
      <c r="CT222" s="21" t="s">
        <v>985</v>
      </c>
    </row>
    <row r="223" ht="22.5" customHeight="1">
      <c r="A223" s="18">
        <v>46021.65947247685</v>
      </c>
      <c r="B223" s="19" t="s">
        <v>120</v>
      </c>
      <c r="C223" s="19" t="s">
        <v>2</v>
      </c>
      <c r="CM223" s="20">
        <v>45267.0</v>
      </c>
      <c r="CN223" s="19" t="s">
        <v>33</v>
      </c>
      <c r="CO223" s="19" t="s">
        <v>986</v>
      </c>
      <c r="CP223" s="19" t="s">
        <v>987</v>
      </c>
      <c r="CQ223" s="19" t="s">
        <v>266</v>
      </c>
      <c r="CR223" s="19" t="s">
        <v>988</v>
      </c>
      <c r="CS223" s="19" t="s">
        <v>129</v>
      </c>
      <c r="CT223" s="21" t="s">
        <v>989</v>
      </c>
    </row>
    <row r="224" ht="22.5" customHeight="1">
      <c r="A224" s="18">
        <v>46021.66383276621</v>
      </c>
      <c r="B224" s="19" t="s">
        <v>120</v>
      </c>
      <c r="C224" s="19" t="s">
        <v>2</v>
      </c>
      <c r="CM224" s="20">
        <v>45422.0</v>
      </c>
      <c r="CN224" s="19" t="s">
        <v>990</v>
      </c>
      <c r="CO224" s="19" t="s">
        <v>991</v>
      </c>
      <c r="CP224" s="19" t="s">
        <v>992</v>
      </c>
      <c r="CQ224" s="19" t="s">
        <v>266</v>
      </c>
      <c r="CR224" s="19" t="s">
        <v>993</v>
      </c>
      <c r="CS224" s="19" t="s">
        <v>129</v>
      </c>
      <c r="CT224" s="21" t="s">
        <v>994</v>
      </c>
    </row>
    <row r="225" ht="22.5" customHeight="1">
      <c r="A225" s="11" t="s">
        <v>995</v>
      </c>
      <c r="B225" s="11" t="s">
        <v>120</v>
      </c>
      <c r="C225" s="11" t="s">
        <v>121</v>
      </c>
      <c r="D225" s="12"/>
      <c r="E225" s="12"/>
      <c r="F225" s="12"/>
      <c r="G225" s="12"/>
      <c r="H225" s="12"/>
      <c r="I225" s="12"/>
      <c r="J225" s="12"/>
      <c r="K225" s="12"/>
      <c r="L225" s="12"/>
      <c r="M225" s="12"/>
      <c r="N225" s="12"/>
      <c r="O225" s="12"/>
      <c r="P225" s="12"/>
      <c r="Q225" s="12"/>
      <c r="R225" s="12"/>
      <c r="S225" s="12"/>
      <c r="T225" s="12"/>
      <c r="U225" s="12"/>
      <c r="V225" s="12"/>
      <c r="W225" s="12"/>
      <c r="X225" s="12"/>
      <c r="Y225" s="12"/>
      <c r="Z225" s="12"/>
      <c r="AA225" s="12"/>
      <c r="AB225" s="12"/>
      <c r="AC225" s="12"/>
      <c r="AD225" s="12"/>
      <c r="AE225" s="12"/>
      <c r="AF225" s="12"/>
      <c r="AG225" s="12"/>
      <c r="AH225" s="12"/>
      <c r="AI225" s="12"/>
      <c r="AJ225" s="12"/>
      <c r="AK225" s="12"/>
      <c r="AL225" s="12"/>
      <c r="AM225" s="12"/>
      <c r="AN225" s="12"/>
      <c r="AO225" s="12"/>
      <c r="AP225" s="12"/>
      <c r="AQ225" s="12"/>
      <c r="AR225" s="12"/>
      <c r="AS225" s="12"/>
      <c r="AT225" s="12"/>
      <c r="AU225" s="12"/>
      <c r="AV225" s="12"/>
      <c r="AW225" s="12"/>
      <c r="AX225" s="12"/>
      <c r="AY225" s="12"/>
      <c r="AZ225" s="12"/>
      <c r="BA225" s="12"/>
      <c r="BB225" s="12"/>
      <c r="BC225" s="12"/>
      <c r="BD225" s="12"/>
      <c r="BE225" s="12"/>
      <c r="BF225" s="12"/>
      <c r="BG225" s="12"/>
      <c r="BH225" s="12"/>
      <c r="BI225" s="12"/>
      <c r="BJ225" s="12"/>
      <c r="BK225" s="12"/>
      <c r="BL225" s="11" t="s">
        <v>122</v>
      </c>
      <c r="BM225" s="22" t="s">
        <v>123</v>
      </c>
      <c r="BN225" s="23" t="s">
        <v>996</v>
      </c>
      <c r="BO225" s="23" t="s">
        <v>997</v>
      </c>
      <c r="BP225" s="23" t="s">
        <v>552</v>
      </c>
      <c r="BQ225" s="24">
        <v>45178.0</v>
      </c>
      <c r="BR225" s="25" t="s">
        <v>998</v>
      </c>
      <c r="BS225" s="23" t="s">
        <v>559</v>
      </c>
      <c r="BT225" s="22" t="s">
        <v>999</v>
      </c>
      <c r="BU225" s="11" t="s">
        <v>129</v>
      </c>
      <c r="BV225" s="26" t="s">
        <v>1000</v>
      </c>
      <c r="BW225" s="12"/>
      <c r="BX225" s="12"/>
      <c r="BY225" s="12"/>
      <c r="BZ225" s="12"/>
      <c r="CA225" s="12"/>
      <c r="CB225" s="12"/>
      <c r="CC225" s="12"/>
      <c r="CD225" s="12"/>
      <c r="CE225" s="12"/>
      <c r="CF225" s="12"/>
      <c r="CG225" s="12"/>
      <c r="CH225" s="12"/>
      <c r="CI225" s="12"/>
      <c r="CJ225" s="12"/>
      <c r="CK225" s="12"/>
      <c r="CL225" s="12"/>
      <c r="CM225" s="12"/>
      <c r="CN225" s="12"/>
      <c r="CO225" s="12"/>
      <c r="CP225" s="12"/>
      <c r="CQ225" s="12"/>
      <c r="CR225" s="12"/>
      <c r="CS225" s="12"/>
      <c r="CT225" s="12"/>
      <c r="CU225" s="12"/>
      <c r="CV225" s="12"/>
      <c r="CW225" s="12"/>
      <c r="CX225" s="12"/>
      <c r="CY225" s="12"/>
      <c r="CZ225" s="12"/>
      <c r="DA225" s="12"/>
      <c r="DB225" s="12"/>
      <c r="DC225" s="12"/>
      <c r="DD225" s="12"/>
    </row>
    <row r="226" ht="22.5" customHeight="1">
      <c r="A226" s="11" t="s">
        <v>995</v>
      </c>
      <c r="B226" s="11" t="s">
        <v>120</v>
      </c>
      <c r="C226" s="11" t="s">
        <v>121</v>
      </c>
      <c r="D226" s="12"/>
      <c r="E226" s="12"/>
      <c r="F226" s="12"/>
      <c r="G226" s="12"/>
      <c r="H226" s="12"/>
      <c r="I226" s="12"/>
      <c r="J226" s="12"/>
      <c r="K226" s="12"/>
      <c r="L226" s="12"/>
      <c r="M226" s="12"/>
      <c r="N226" s="12"/>
      <c r="O226" s="12"/>
      <c r="P226" s="12"/>
      <c r="Q226" s="12"/>
      <c r="R226" s="12"/>
      <c r="S226" s="12"/>
      <c r="T226" s="12"/>
      <c r="U226" s="12"/>
      <c r="V226" s="12"/>
      <c r="W226" s="12"/>
      <c r="X226" s="12"/>
      <c r="Y226" s="12"/>
      <c r="Z226" s="12"/>
      <c r="AA226" s="12"/>
      <c r="AB226" s="12"/>
      <c r="AC226" s="12"/>
      <c r="AD226" s="12"/>
      <c r="AE226" s="12"/>
      <c r="AF226" s="12"/>
      <c r="AG226" s="12"/>
      <c r="AH226" s="12"/>
      <c r="AI226" s="12"/>
      <c r="AJ226" s="12"/>
      <c r="AK226" s="12"/>
      <c r="AL226" s="12"/>
      <c r="AM226" s="12"/>
      <c r="AN226" s="12"/>
      <c r="AO226" s="12"/>
      <c r="AP226" s="12"/>
      <c r="AQ226" s="12"/>
      <c r="AR226" s="12"/>
      <c r="AS226" s="12"/>
      <c r="AT226" s="12"/>
      <c r="AU226" s="12"/>
      <c r="AV226" s="12"/>
      <c r="AW226" s="12"/>
      <c r="AX226" s="12"/>
      <c r="AY226" s="12"/>
      <c r="AZ226" s="12"/>
      <c r="BA226" s="12"/>
      <c r="BB226" s="12"/>
      <c r="BC226" s="12"/>
      <c r="BD226" s="12"/>
      <c r="BE226" s="12"/>
      <c r="BF226" s="12"/>
      <c r="BG226" s="12"/>
      <c r="BH226" s="12"/>
      <c r="BI226" s="12"/>
      <c r="BJ226" s="12"/>
      <c r="BK226" s="12"/>
      <c r="BL226" s="11" t="s">
        <v>122</v>
      </c>
      <c r="BM226" s="22" t="s">
        <v>123</v>
      </c>
      <c r="BN226" s="23" t="s">
        <v>1001</v>
      </c>
      <c r="BO226" s="23" t="s">
        <v>1002</v>
      </c>
      <c r="BP226" s="23" t="s">
        <v>573</v>
      </c>
      <c r="BQ226" s="24">
        <v>45294.0</v>
      </c>
      <c r="BR226" s="25" t="s">
        <v>1003</v>
      </c>
      <c r="BS226" s="23" t="s">
        <v>567</v>
      </c>
      <c r="BT226" s="22" t="s">
        <v>999</v>
      </c>
      <c r="BU226" s="11" t="s">
        <v>267</v>
      </c>
      <c r="BV226" s="26" t="s">
        <v>1004</v>
      </c>
      <c r="BW226" s="12"/>
      <c r="BX226" s="12"/>
      <c r="BY226" s="12"/>
      <c r="BZ226" s="12"/>
      <c r="CA226" s="12"/>
      <c r="CB226" s="12"/>
      <c r="CC226" s="12"/>
      <c r="CD226" s="12"/>
      <c r="CE226" s="12"/>
      <c r="CF226" s="12"/>
      <c r="CG226" s="12"/>
      <c r="CH226" s="12"/>
      <c r="CI226" s="12"/>
      <c r="CJ226" s="12"/>
      <c r="CK226" s="12"/>
      <c r="CL226" s="12"/>
      <c r="CM226" s="12"/>
      <c r="CN226" s="12"/>
      <c r="CO226" s="12"/>
      <c r="CP226" s="12"/>
      <c r="CQ226" s="12"/>
      <c r="CR226" s="12"/>
      <c r="CS226" s="12"/>
      <c r="CT226" s="12"/>
      <c r="CU226" s="12"/>
      <c r="CV226" s="12"/>
      <c r="CW226" s="12"/>
      <c r="CX226" s="12"/>
      <c r="CY226" s="12"/>
      <c r="CZ226" s="12"/>
      <c r="DA226" s="12"/>
      <c r="DB226" s="12"/>
      <c r="DC226" s="12"/>
      <c r="DD226" s="12"/>
    </row>
    <row r="227" ht="22.5" customHeight="1">
      <c r="A227" s="11" t="s">
        <v>995</v>
      </c>
      <c r="B227" s="11" t="s">
        <v>120</v>
      </c>
      <c r="C227" s="11" t="s">
        <v>121</v>
      </c>
      <c r="D227" s="12"/>
      <c r="E227" s="12"/>
      <c r="F227" s="12"/>
      <c r="G227" s="12"/>
      <c r="H227" s="12"/>
      <c r="I227" s="12"/>
      <c r="J227" s="12"/>
      <c r="K227" s="12"/>
      <c r="L227" s="12"/>
      <c r="M227" s="12"/>
      <c r="N227" s="12"/>
      <c r="O227" s="12"/>
      <c r="P227" s="12"/>
      <c r="Q227" s="12"/>
      <c r="R227" s="12"/>
      <c r="S227" s="12"/>
      <c r="T227" s="12"/>
      <c r="U227" s="12"/>
      <c r="V227" s="12"/>
      <c r="W227" s="12"/>
      <c r="X227" s="12"/>
      <c r="Y227" s="12"/>
      <c r="Z227" s="12"/>
      <c r="AA227" s="12"/>
      <c r="AB227" s="12"/>
      <c r="AC227" s="12"/>
      <c r="AD227" s="12"/>
      <c r="AE227" s="12"/>
      <c r="AF227" s="12"/>
      <c r="AG227" s="12"/>
      <c r="AH227" s="12"/>
      <c r="AI227" s="12"/>
      <c r="AJ227" s="12"/>
      <c r="AK227" s="12"/>
      <c r="AL227" s="12"/>
      <c r="AM227" s="12"/>
      <c r="AN227" s="12"/>
      <c r="AO227" s="12"/>
      <c r="AP227" s="12"/>
      <c r="AQ227" s="12"/>
      <c r="AR227" s="12"/>
      <c r="AS227" s="12"/>
      <c r="AT227" s="12"/>
      <c r="AU227" s="12"/>
      <c r="AV227" s="12"/>
      <c r="AW227" s="12"/>
      <c r="AX227" s="12"/>
      <c r="AY227" s="12"/>
      <c r="AZ227" s="12"/>
      <c r="BA227" s="12"/>
      <c r="BB227" s="12"/>
      <c r="BC227" s="12"/>
      <c r="BD227" s="12"/>
      <c r="BE227" s="12"/>
      <c r="BF227" s="12"/>
      <c r="BG227" s="12"/>
      <c r="BH227" s="12"/>
      <c r="BI227" s="12"/>
      <c r="BJ227" s="12"/>
      <c r="BK227" s="12"/>
      <c r="BL227" s="11" t="s">
        <v>122</v>
      </c>
      <c r="BM227" s="22" t="s">
        <v>123</v>
      </c>
      <c r="BN227" s="23" t="s">
        <v>1005</v>
      </c>
      <c r="BO227" s="23" t="s">
        <v>1006</v>
      </c>
      <c r="BP227" s="23" t="s">
        <v>946</v>
      </c>
      <c r="BQ227" s="25" t="s">
        <v>1007</v>
      </c>
      <c r="BR227" s="25" t="s">
        <v>1008</v>
      </c>
      <c r="BS227" s="23" t="s">
        <v>567</v>
      </c>
      <c r="BT227" s="22" t="s">
        <v>999</v>
      </c>
      <c r="BU227" s="11" t="s">
        <v>267</v>
      </c>
      <c r="BV227" s="26" t="s">
        <v>1009</v>
      </c>
      <c r="BW227" s="12"/>
      <c r="BX227" s="12"/>
      <c r="BY227" s="12"/>
      <c r="BZ227" s="12"/>
      <c r="CA227" s="12"/>
      <c r="CB227" s="12"/>
      <c r="CC227" s="12"/>
      <c r="CD227" s="12"/>
      <c r="CE227" s="12"/>
      <c r="CF227" s="12"/>
      <c r="CG227" s="12"/>
      <c r="CH227" s="12"/>
      <c r="CI227" s="12"/>
      <c r="CJ227" s="12"/>
      <c r="CK227" s="12"/>
      <c r="CL227" s="12"/>
      <c r="CM227" s="12"/>
      <c r="CN227" s="12"/>
      <c r="CO227" s="12"/>
      <c r="CP227" s="12"/>
      <c r="CQ227" s="12"/>
      <c r="CR227" s="12"/>
      <c r="CS227" s="12"/>
      <c r="CT227" s="12"/>
      <c r="CU227" s="12"/>
      <c r="CV227" s="12"/>
      <c r="CW227" s="12"/>
      <c r="CX227" s="12"/>
      <c r="CY227" s="12"/>
      <c r="CZ227" s="12"/>
      <c r="DA227" s="12"/>
      <c r="DB227" s="12"/>
      <c r="DC227" s="12"/>
      <c r="DD227" s="12"/>
    </row>
    <row r="228" ht="22.5" customHeight="1">
      <c r="A228" s="11" t="s">
        <v>995</v>
      </c>
      <c r="B228" s="11" t="s">
        <v>120</v>
      </c>
      <c r="C228" s="11" t="s">
        <v>121</v>
      </c>
      <c r="D228" s="12"/>
      <c r="E228" s="12"/>
      <c r="F228" s="12"/>
      <c r="G228" s="12"/>
      <c r="H228" s="12"/>
      <c r="I228" s="12"/>
      <c r="J228" s="12"/>
      <c r="K228" s="12"/>
      <c r="L228" s="12"/>
      <c r="M228" s="12"/>
      <c r="N228" s="12"/>
      <c r="O228" s="12"/>
      <c r="P228" s="12"/>
      <c r="Q228" s="12"/>
      <c r="R228" s="12"/>
      <c r="S228" s="12"/>
      <c r="T228" s="12"/>
      <c r="U228" s="12"/>
      <c r="V228" s="12"/>
      <c r="W228" s="12"/>
      <c r="X228" s="12"/>
      <c r="Y228" s="12"/>
      <c r="Z228" s="12"/>
      <c r="AA228" s="12"/>
      <c r="AB228" s="12"/>
      <c r="AC228" s="12"/>
      <c r="AD228" s="12"/>
      <c r="AE228" s="12"/>
      <c r="AF228" s="12"/>
      <c r="AG228" s="12"/>
      <c r="AH228" s="12"/>
      <c r="AI228" s="12"/>
      <c r="AJ228" s="12"/>
      <c r="AK228" s="12"/>
      <c r="AL228" s="12"/>
      <c r="AM228" s="12"/>
      <c r="AN228" s="12"/>
      <c r="AO228" s="12"/>
      <c r="AP228" s="12"/>
      <c r="AQ228" s="12"/>
      <c r="AR228" s="12"/>
      <c r="AS228" s="12"/>
      <c r="AT228" s="12"/>
      <c r="AU228" s="12"/>
      <c r="AV228" s="12"/>
      <c r="AW228" s="12"/>
      <c r="AX228" s="12"/>
      <c r="AY228" s="12"/>
      <c r="AZ228" s="12"/>
      <c r="BA228" s="12"/>
      <c r="BB228" s="12"/>
      <c r="BC228" s="12"/>
      <c r="BD228" s="12"/>
      <c r="BE228" s="12"/>
      <c r="BF228" s="12"/>
      <c r="BG228" s="12"/>
      <c r="BH228" s="12"/>
      <c r="BI228" s="12"/>
      <c r="BJ228" s="12"/>
      <c r="BK228" s="12"/>
      <c r="BL228" s="11" t="s">
        <v>122</v>
      </c>
      <c r="BM228" s="22" t="s">
        <v>123</v>
      </c>
      <c r="BN228" s="23" t="s">
        <v>1010</v>
      </c>
      <c r="BO228" s="23" t="s">
        <v>749</v>
      </c>
      <c r="BP228" s="23" t="s">
        <v>749</v>
      </c>
      <c r="BQ228" s="25" t="s">
        <v>1011</v>
      </c>
      <c r="BR228" s="25" t="s">
        <v>1012</v>
      </c>
      <c r="BS228" s="23" t="s">
        <v>559</v>
      </c>
      <c r="BT228" s="22" t="s">
        <v>999</v>
      </c>
      <c r="BU228" s="11" t="s">
        <v>129</v>
      </c>
      <c r="BV228" s="26" t="s">
        <v>1013</v>
      </c>
      <c r="BW228" s="12"/>
      <c r="BX228" s="12"/>
      <c r="BY228" s="12"/>
      <c r="BZ228" s="12"/>
      <c r="CA228" s="12"/>
      <c r="CB228" s="12"/>
      <c r="CC228" s="12"/>
      <c r="CD228" s="12"/>
      <c r="CE228" s="12"/>
      <c r="CF228" s="12"/>
      <c r="CG228" s="12"/>
      <c r="CH228" s="12"/>
      <c r="CI228" s="12"/>
      <c r="CJ228" s="12"/>
      <c r="CK228" s="12"/>
      <c r="CL228" s="12"/>
      <c r="CM228" s="12"/>
      <c r="CN228" s="12"/>
      <c r="CO228" s="12"/>
      <c r="CP228" s="12"/>
      <c r="CQ228" s="12"/>
      <c r="CR228" s="12"/>
      <c r="CS228" s="12"/>
      <c r="CT228" s="12"/>
      <c r="CU228" s="12"/>
      <c r="CV228" s="12"/>
      <c r="CW228" s="12"/>
      <c r="CX228" s="12"/>
      <c r="CY228" s="12"/>
      <c r="CZ228" s="12"/>
      <c r="DA228" s="12"/>
      <c r="DB228" s="12"/>
      <c r="DC228" s="12"/>
      <c r="DD228" s="12"/>
    </row>
    <row r="229" ht="22.5" customHeight="1">
      <c r="A229" s="11" t="s">
        <v>995</v>
      </c>
      <c r="B229" s="11" t="s">
        <v>120</v>
      </c>
      <c r="C229" s="11" t="s">
        <v>121</v>
      </c>
      <c r="D229" s="12"/>
      <c r="E229" s="12"/>
      <c r="F229" s="12"/>
      <c r="G229" s="12"/>
      <c r="H229" s="12"/>
      <c r="I229" s="12"/>
      <c r="J229" s="12"/>
      <c r="K229" s="12"/>
      <c r="L229" s="12"/>
      <c r="M229" s="12"/>
      <c r="N229" s="12"/>
      <c r="O229" s="12"/>
      <c r="P229" s="12"/>
      <c r="Q229" s="12"/>
      <c r="R229" s="12"/>
      <c r="S229" s="12"/>
      <c r="T229" s="12"/>
      <c r="U229" s="12"/>
      <c r="V229" s="12"/>
      <c r="W229" s="12"/>
      <c r="X229" s="12"/>
      <c r="Y229" s="12"/>
      <c r="Z229" s="12"/>
      <c r="AA229" s="12"/>
      <c r="AB229" s="12"/>
      <c r="AC229" s="12"/>
      <c r="AD229" s="12"/>
      <c r="AE229" s="12"/>
      <c r="AF229" s="12"/>
      <c r="AG229" s="12"/>
      <c r="AH229" s="12"/>
      <c r="AI229" s="12"/>
      <c r="AJ229" s="12"/>
      <c r="AK229" s="12"/>
      <c r="AL229" s="12"/>
      <c r="AM229" s="12"/>
      <c r="AN229" s="12"/>
      <c r="AO229" s="12"/>
      <c r="AP229" s="12"/>
      <c r="AQ229" s="12"/>
      <c r="AR229" s="12"/>
      <c r="AS229" s="12"/>
      <c r="AT229" s="12"/>
      <c r="AU229" s="12"/>
      <c r="AV229" s="12"/>
      <c r="AW229" s="12"/>
      <c r="AX229" s="12"/>
      <c r="AY229" s="12"/>
      <c r="AZ229" s="12"/>
      <c r="BA229" s="12"/>
      <c r="BB229" s="12"/>
      <c r="BC229" s="12"/>
      <c r="BD229" s="12"/>
      <c r="BE229" s="12"/>
      <c r="BF229" s="12"/>
      <c r="BG229" s="12"/>
      <c r="BH229" s="12"/>
      <c r="BI229" s="12"/>
      <c r="BJ229" s="12"/>
      <c r="BK229" s="12"/>
      <c r="BL229" s="11" t="s">
        <v>122</v>
      </c>
      <c r="BM229" s="22" t="s">
        <v>123</v>
      </c>
      <c r="BN229" s="23" t="s">
        <v>1014</v>
      </c>
      <c r="BO229" s="23" t="s">
        <v>1015</v>
      </c>
      <c r="BP229" s="23" t="s">
        <v>946</v>
      </c>
      <c r="BQ229" s="25" t="s">
        <v>1016</v>
      </c>
      <c r="BR229" s="24">
        <v>45538.0</v>
      </c>
      <c r="BS229" s="23" t="s">
        <v>559</v>
      </c>
      <c r="BT229" s="22" t="s">
        <v>999</v>
      </c>
      <c r="BU229" s="11" t="s">
        <v>129</v>
      </c>
      <c r="BV229" s="11"/>
      <c r="BW229" s="12"/>
      <c r="BX229" s="12"/>
      <c r="BY229" s="12"/>
      <c r="BZ229" s="12"/>
      <c r="CA229" s="12"/>
      <c r="CB229" s="12"/>
      <c r="CC229" s="12"/>
      <c r="CD229" s="12"/>
      <c r="CE229" s="12"/>
      <c r="CF229" s="12"/>
      <c r="CG229" s="12"/>
      <c r="CH229" s="12"/>
      <c r="CI229" s="12"/>
      <c r="CJ229" s="12"/>
      <c r="CK229" s="12"/>
      <c r="CL229" s="12"/>
      <c r="CM229" s="12"/>
      <c r="CN229" s="12"/>
      <c r="CO229" s="12"/>
      <c r="CP229" s="12"/>
      <c r="CQ229" s="12"/>
      <c r="CR229" s="12"/>
      <c r="CS229" s="12"/>
      <c r="CT229" s="12"/>
      <c r="CU229" s="12"/>
      <c r="CV229" s="12"/>
      <c r="CW229" s="12"/>
      <c r="CX229" s="12"/>
      <c r="CY229" s="12"/>
      <c r="CZ229" s="12"/>
      <c r="DA229" s="12"/>
      <c r="DB229" s="12"/>
      <c r="DC229" s="12"/>
      <c r="DD229" s="12"/>
    </row>
    <row r="230" ht="22.5" customHeight="1">
      <c r="A230" s="11" t="s">
        <v>995</v>
      </c>
      <c r="B230" s="11" t="s">
        <v>120</v>
      </c>
      <c r="C230" s="11" t="s">
        <v>121</v>
      </c>
      <c r="D230" s="12"/>
      <c r="E230" s="12"/>
      <c r="F230" s="12"/>
      <c r="G230" s="12"/>
      <c r="H230" s="12"/>
      <c r="I230" s="12"/>
      <c r="J230" s="12"/>
      <c r="K230" s="12"/>
      <c r="L230" s="12"/>
      <c r="M230" s="12"/>
      <c r="N230" s="12"/>
      <c r="O230" s="12"/>
      <c r="P230" s="12"/>
      <c r="Q230" s="12"/>
      <c r="R230" s="12"/>
      <c r="S230" s="12"/>
      <c r="T230" s="12"/>
      <c r="U230" s="12"/>
      <c r="V230" s="12"/>
      <c r="W230" s="12"/>
      <c r="X230" s="12"/>
      <c r="Y230" s="12"/>
      <c r="Z230" s="12"/>
      <c r="AA230" s="12"/>
      <c r="AB230" s="12"/>
      <c r="AC230" s="12"/>
      <c r="AD230" s="12"/>
      <c r="AE230" s="12"/>
      <c r="AF230" s="12"/>
      <c r="AG230" s="12"/>
      <c r="AH230" s="12"/>
      <c r="AI230" s="12"/>
      <c r="AJ230" s="12"/>
      <c r="AK230" s="12"/>
      <c r="AL230" s="12"/>
      <c r="AM230" s="12"/>
      <c r="AN230" s="12"/>
      <c r="AO230" s="12"/>
      <c r="AP230" s="12"/>
      <c r="AQ230" s="12"/>
      <c r="AR230" s="12"/>
      <c r="AS230" s="12"/>
      <c r="AT230" s="12"/>
      <c r="AU230" s="12"/>
      <c r="AV230" s="12"/>
      <c r="AW230" s="12"/>
      <c r="AX230" s="12"/>
      <c r="AY230" s="12"/>
      <c r="AZ230" s="12"/>
      <c r="BA230" s="12"/>
      <c r="BB230" s="12"/>
      <c r="BC230" s="12"/>
      <c r="BD230" s="12"/>
      <c r="BE230" s="12"/>
      <c r="BF230" s="12"/>
      <c r="BG230" s="12"/>
      <c r="BH230" s="12"/>
      <c r="BI230" s="12"/>
      <c r="BJ230" s="12"/>
      <c r="BK230" s="12"/>
      <c r="BL230" s="11" t="s">
        <v>122</v>
      </c>
      <c r="BM230" s="22" t="s">
        <v>123</v>
      </c>
      <c r="BN230" s="23" t="s">
        <v>996</v>
      </c>
      <c r="BO230" s="23" t="s">
        <v>997</v>
      </c>
      <c r="BP230" s="23" t="s">
        <v>552</v>
      </c>
      <c r="BQ230" s="24">
        <v>45631.0</v>
      </c>
      <c r="BR230" s="25" t="s">
        <v>1011</v>
      </c>
      <c r="BS230" s="23" t="s">
        <v>559</v>
      </c>
      <c r="BT230" s="22" t="s">
        <v>999</v>
      </c>
      <c r="BU230" s="11" t="s">
        <v>129</v>
      </c>
      <c r="BV230" s="26" t="s">
        <v>1017</v>
      </c>
      <c r="BW230" s="12"/>
      <c r="BX230" s="12"/>
      <c r="BY230" s="12"/>
      <c r="BZ230" s="12"/>
      <c r="CA230" s="12"/>
      <c r="CB230" s="12"/>
      <c r="CC230" s="12"/>
      <c r="CD230" s="12"/>
      <c r="CE230" s="12"/>
      <c r="CF230" s="12"/>
      <c r="CG230" s="12"/>
      <c r="CH230" s="12"/>
      <c r="CI230" s="12"/>
      <c r="CJ230" s="12"/>
      <c r="CK230" s="12"/>
      <c r="CL230" s="12"/>
      <c r="CM230" s="12"/>
      <c r="CN230" s="12"/>
      <c r="CO230" s="12"/>
      <c r="CP230" s="12"/>
      <c r="CQ230" s="12"/>
      <c r="CR230" s="12"/>
      <c r="CS230" s="12"/>
      <c r="CT230" s="12"/>
      <c r="CU230" s="12"/>
      <c r="CV230" s="12"/>
      <c r="CW230" s="12"/>
      <c r="CX230" s="12"/>
      <c r="CY230" s="12"/>
      <c r="CZ230" s="12"/>
      <c r="DA230" s="12"/>
      <c r="DB230" s="12"/>
      <c r="DC230" s="12"/>
      <c r="DD230" s="12"/>
    </row>
    <row r="231" ht="22.5" customHeight="1">
      <c r="A231" s="11" t="s">
        <v>995</v>
      </c>
      <c r="B231" s="11" t="s">
        <v>120</v>
      </c>
      <c r="C231" s="11" t="s">
        <v>121</v>
      </c>
      <c r="D231" s="12"/>
      <c r="E231" s="12"/>
      <c r="F231" s="12"/>
      <c r="G231" s="12"/>
      <c r="H231" s="12"/>
      <c r="I231" s="12"/>
      <c r="J231" s="12"/>
      <c r="K231" s="12"/>
      <c r="L231" s="12"/>
      <c r="M231" s="12"/>
      <c r="N231" s="12"/>
      <c r="O231" s="12"/>
      <c r="P231" s="12"/>
      <c r="Q231" s="12"/>
      <c r="R231" s="12"/>
      <c r="S231" s="12"/>
      <c r="T231" s="12"/>
      <c r="U231" s="12"/>
      <c r="V231" s="12"/>
      <c r="W231" s="12"/>
      <c r="X231" s="12"/>
      <c r="Y231" s="12"/>
      <c r="Z231" s="12"/>
      <c r="AA231" s="12"/>
      <c r="AB231" s="12"/>
      <c r="AC231" s="12"/>
      <c r="AD231" s="12"/>
      <c r="AE231" s="12"/>
      <c r="AF231" s="12"/>
      <c r="AG231" s="12"/>
      <c r="AH231" s="12"/>
      <c r="AI231" s="12"/>
      <c r="AJ231" s="12"/>
      <c r="AK231" s="12"/>
      <c r="AL231" s="12"/>
      <c r="AM231" s="12"/>
      <c r="AN231" s="12"/>
      <c r="AO231" s="12"/>
      <c r="AP231" s="12"/>
      <c r="AQ231" s="12"/>
      <c r="AR231" s="12"/>
      <c r="AS231" s="12"/>
      <c r="AT231" s="12"/>
      <c r="AU231" s="12"/>
      <c r="AV231" s="12"/>
      <c r="AW231" s="12"/>
      <c r="AX231" s="12"/>
      <c r="AY231" s="12"/>
      <c r="AZ231" s="12"/>
      <c r="BA231" s="12"/>
      <c r="BB231" s="12"/>
      <c r="BC231" s="12"/>
      <c r="BD231" s="12"/>
      <c r="BE231" s="12"/>
      <c r="BF231" s="12"/>
      <c r="BG231" s="12"/>
      <c r="BH231" s="12"/>
      <c r="BI231" s="12"/>
      <c r="BJ231" s="12"/>
      <c r="BK231" s="12"/>
      <c r="BL231" s="11" t="s">
        <v>122</v>
      </c>
      <c r="BM231" s="22" t="s">
        <v>123</v>
      </c>
      <c r="BN231" s="23" t="s">
        <v>1018</v>
      </c>
      <c r="BO231" s="23" t="s">
        <v>1019</v>
      </c>
      <c r="BP231" s="23" t="s">
        <v>373</v>
      </c>
      <c r="BQ231" s="25" t="s">
        <v>1020</v>
      </c>
      <c r="BR231" s="24">
        <v>45422.0</v>
      </c>
      <c r="BS231" s="23" t="s">
        <v>559</v>
      </c>
      <c r="BT231" s="22" t="s">
        <v>999</v>
      </c>
      <c r="BU231" s="11" t="s">
        <v>129</v>
      </c>
      <c r="BV231" s="26" t="s">
        <v>1021</v>
      </c>
      <c r="BW231" s="12"/>
      <c r="BX231" s="12"/>
      <c r="BY231" s="12"/>
      <c r="BZ231" s="12"/>
      <c r="CA231" s="12"/>
      <c r="CB231" s="12"/>
      <c r="CC231" s="12"/>
      <c r="CD231" s="12"/>
      <c r="CE231" s="12"/>
      <c r="CF231" s="12"/>
      <c r="CG231" s="12"/>
      <c r="CH231" s="12"/>
      <c r="CI231" s="12"/>
      <c r="CJ231" s="12"/>
      <c r="CK231" s="12"/>
      <c r="CL231" s="12"/>
      <c r="CM231" s="12"/>
      <c r="CN231" s="12"/>
      <c r="CO231" s="12"/>
      <c r="CP231" s="12"/>
      <c r="CQ231" s="12"/>
      <c r="CR231" s="12"/>
      <c r="CS231" s="12"/>
      <c r="CT231" s="12"/>
      <c r="CU231" s="12"/>
      <c r="CV231" s="12"/>
      <c r="CW231" s="12"/>
      <c r="CX231" s="12"/>
      <c r="CY231" s="12"/>
      <c r="CZ231" s="12"/>
      <c r="DA231" s="12"/>
      <c r="DB231" s="12"/>
      <c r="DC231" s="12"/>
      <c r="DD231" s="12"/>
    </row>
    <row r="232" ht="22.5" customHeight="1">
      <c r="A232" s="11" t="s">
        <v>995</v>
      </c>
      <c r="B232" s="11" t="s">
        <v>120</v>
      </c>
      <c r="C232" s="11" t="s">
        <v>121</v>
      </c>
      <c r="D232" s="12"/>
      <c r="E232" s="12"/>
      <c r="F232" s="12"/>
      <c r="G232" s="12"/>
      <c r="H232" s="12"/>
      <c r="I232" s="12"/>
      <c r="J232" s="12"/>
      <c r="K232" s="12"/>
      <c r="L232" s="12"/>
      <c r="M232" s="12"/>
      <c r="N232" s="12"/>
      <c r="O232" s="12"/>
      <c r="P232" s="12"/>
      <c r="Q232" s="12"/>
      <c r="R232" s="12"/>
      <c r="S232" s="12"/>
      <c r="T232" s="12"/>
      <c r="U232" s="12"/>
      <c r="V232" s="12"/>
      <c r="W232" s="12"/>
      <c r="X232" s="12"/>
      <c r="Y232" s="12"/>
      <c r="Z232" s="12"/>
      <c r="AA232" s="12"/>
      <c r="AB232" s="12"/>
      <c r="AC232" s="12"/>
      <c r="AD232" s="12"/>
      <c r="AE232" s="12"/>
      <c r="AF232" s="12"/>
      <c r="AG232" s="12"/>
      <c r="AH232" s="12"/>
      <c r="AI232" s="12"/>
      <c r="AJ232" s="12"/>
      <c r="AK232" s="12"/>
      <c r="AL232" s="12"/>
      <c r="AM232" s="12"/>
      <c r="AN232" s="12"/>
      <c r="AO232" s="12"/>
      <c r="AP232" s="12"/>
      <c r="AQ232" s="12"/>
      <c r="AR232" s="12"/>
      <c r="AS232" s="12"/>
      <c r="AT232" s="12"/>
      <c r="AU232" s="12"/>
      <c r="AV232" s="12"/>
      <c r="AW232" s="12"/>
      <c r="AX232" s="12"/>
      <c r="AY232" s="12"/>
      <c r="AZ232" s="12"/>
      <c r="BA232" s="12"/>
      <c r="BB232" s="12"/>
      <c r="BC232" s="12"/>
      <c r="BD232" s="12"/>
      <c r="BE232" s="12"/>
      <c r="BF232" s="12"/>
      <c r="BG232" s="12"/>
      <c r="BH232" s="12"/>
      <c r="BI232" s="12"/>
      <c r="BJ232" s="12"/>
      <c r="BK232" s="12"/>
      <c r="BL232" s="11" t="s">
        <v>122</v>
      </c>
      <c r="BM232" s="22" t="s">
        <v>123</v>
      </c>
      <c r="BN232" s="27" t="s">
        <v>1022</v>
      </c>
      <c r="BO232" s="23" t="s">
        <v>1023</v>
      </c>
      <c r="BP232" s="27" t="s">
        <v>318</v>
      </c>
      <c r="BQ232" s="25" t="s">
        <v>1024</v>
      </c>
      <c r="BR232" s="28" t="s">
        <v>1025</v>
      </c>
      <c r="BS232" s="27" t="s">
        <v>567</v>
      </c>
      <c r="BT232" s="22" t="s">
        <v>999</v>
      </c>
      <c r="BU232" s="11" t="s">
        <v>267</v>
      </c>
      <c r="BV232" s="11"/>
      <c r="BW232" s="12"/>
      <c r="BX232" s="12"/>
      <c r="BY232" s="12"/>
      <c r="BZ232" s="12"/>
      <c r="CA232" s="12"/>
      <c r="CB232" s="12"/>
      <c r="CC232" s="12"/>
      <c r="CD232" s="12"/>
      <c r="CE232" s="12"/>
      <c r="CF232" s="12"/>
      <c r="CG232" s="12"/>
      <c r="CH232" s="12"/>
      <c r="CI232" s="12"/>
      <c r="CJ232" s="12"/>
      <c r="CK232" s="12"/>
      <c r="CL232" s="12"/>
      <c r="CM232" s="12"/>
      <c r="CN232" s="12"/>
      <c r="CO232" s="12"/>
      <c r="CP232" s="12"/>
      <c r="CQ232" s="12"/>
      <c r="CR232" s="12"/>
      <c r="CS232" s="12"/>
      <c r="CT232" s="12"/>
      <c r="CU232" s="12"/>
      <c r="CV232" s="12"/>
      <c r="CW232" s="12"/>
      <c r="CX232" s="12"/>
      <c r="CY232" s="12"/>
      <c r="CZ232" s="12"/>
      <c r="DA232" s="12"/>
      <c r="DB232" s="12"/>
      <c r="DC232" s="12"/>
      <c r="DD232" s="12"/>
    </row>
    <row r="233" ht="22.5" customHeight="1">
      <c r="A233" s="11" t="s">
        <v>995</v>
      </c>
      <c r="B233" s="11" t="s">
        <v>120</v>
      </c>
      <c r="C233" s="11" t="s">
        <v>121</v>
      </c>
      <c r="D233" s="12"/>
      <c r="E233" s="12"/>
      <c r="F233" s="12"/>
      <c r="G233" s="12"/>
      <c r="H233" s="12"/>
      <c r="I233" s="12"/>
      <c r="J233" s="12"/>
      <c r="K233" s="12"/>
      <c r="L233" s="12"/>
      <c r="M233" s="12"/>
      <c r="N233" s="12"/>
      <c r="O233" s="12"/>
      <c r="P233" s="12"/>
      <c r="Q233" s="12"/>
      <c r="R233" s="12"/>
      <c r="S233" s="12"/>
      <c r="T233" s="12"/>
      <c r="U233" s="12"/>
      <c r="V233" s="12"/>
      <c r="W233" s="12"/>
      <c r="X233" s="12"/>
      <c r="Y233" s="12"/>
      <c r="Z233" s="12"/>
      <c r="AA233" s="12"/>
      <c r="AB233" s="12"/>
      <c r="AC233" s="12"/>
      <c r="AD233" s="12"/>
      <c r="AE233" s="12"/>
      <c r="AF233" s="12"/>
      <c r="AG233" s="12"/>
      <c r="AH233" s="12"/>
      <c r="AI233" s="12"/>
      <c r="AJ233" s="12"/>
      <c r="AK233" s="12"/>
      <c r="AL233" s="12"/>
      <c r="AM233" s="12"/>
      <c r="AN233" s="12"/>
      <c r="AO233" s="12"/>
      <c r="AP233" s="12"/>
      <c r="AQ233" s="12"/>
      <c r="AR233" s="12"/>
      <c r="AS233" s="12"/>
      <c r="AT233" s="12"/>
      <c r="AU233" s="12"/>
      <c r="AV233" s="12"/>
      <c r="AW233" s="12"/>
      <c r="AX233" s="12"/>
      <c r="AY233" s="12"/>
      <c r="AZ233" s="12"/>
      <c r="BA233" s="12"/>
      <c r="BB233" s="12"/>
      <c r="BC233" s="12"/>
      <c r="BD233" s="12"/>
      <c r="BE233" s="12"/>
      <c r="BF233" s="12"/>
      <c r="BG233" s="12"/>
      <c r="BH233" s="12"/>
      <c r="BI233" s="12"/>
      <c r="BJ233" s="12"/>
      <c r="BK233" s="12"/>
      <c r="BL233" s="11" t="s">
        <v>122</v>
      </c>
      <c r="BM233" s="22" t="s">
        <v>123</v>
      </c>
      <c r="BN233" s="27" t="s">
        <v>1026</v>
      </c>
      <c r="BO233" s="23" t="s">
        <v>1027</v>
      </c>
      <c r="BP233" s="27" t="s">
        <v>396</v>
      </c>
      <c r="BQ233" s="24">
        <v>45362.0</v>
      </c>
      <c r="BR233" s="28" t="s">
        <v>1028</v>
      </c>
      <c r="BS233" s="27" t="s">
        <v>567</v>
      </c>
      <c r="BT233" s="22" t="s">
        <v>999</v>
      </c>
      <c r="BU233" s="11" t="s">
        <v>267</v>
      </c>
      <c r="BV233" s="15" t="s">
        <v>1029</v>
      </c>
      <c r="BW233" s="12"/>
      <c r="BX233" s="12"/>
      <c r="BY233" s="12"/>
      <c r="BZ233" s="12"/>
      <c r="CA233" s="12"/>
      <c r="CB233" s="12"/>
      <c r="CC233" s="12"/>
      <c r="CD233" s="12"/>
      <c r="CE233" s="12"/>
      <c r="CF233" s="12"/>
      <c r="CG233" s="12"/>
      <c r="CH233" s="12"/>
      <c r="CI233" s="12"/>
      <c r="CJ233" s="12"/>
      <c r="CK233" s="12"/>
      <c r="CL233" s="12"/>
      <c r="CM233" s="12"/>
      <c r="CN233" s="12"/>
      <c r="CO233" s="12"/>
      <c r="CP233" s="12"/>
      <c r="CQ233" s="12"/>
      <c r="CR233" s="12"/>
      <c r="CS233" s="12"/>
      <c r="CT233" s="12"/>
      <c r="CU233" s="12"/>
      <c r="CV233" s="12"/>
      <c r="CW233" s="12"/>
      <c r="CX233" s="12"/>
      <c r="CY233" s="12"/>
      <c r="CZ233" s="12"/>
      <c r="DA233" s="12"/>
      <c r="DB233" s="12"/>
      <c r="DC233" s="12"/>
      <c r="DD233" s="12"/>
    </row>
    <row r="234" ht="22.5" customHeight="1">
      <c r="A234" s="11" t="s">
        <v>995</v>
      </c>
      <c r="B234" s="11" t="s">
        <v>120</v>
      </c>
      <c r="C234" s="11" t="s">
        <v>121</v>
      </c>
      <c r="D234" s="12"/>
      <c r="E234" s="12"/>
      <c r="F234" s="12"/>
      <c r="G234" s="12"/>
      <c r="H234" s="12"/>
      <c r="I234" s="12"/>
      <c r="J234" s="12"/>
      <c r="K234" s="12"/>
      <c r="L234" s="12"/>
      <c r="M234" s="12"/>
      <c r="N234" s="12"/>
      <c r="O234" s="12"/>
      <c r="P234" s="12"/>
      <c r="Q234" s="12"/>
      <c r="R234" s="12"/>
      <c r="S234" s="12"/>
      <c r="T234" s="12"/>
      <c r="U234" s="12"/>
      <c r="V234" s="12"/>
      <c r="W234" s="12"/>
      <c r="X234" s="12"/>
      <c r="Y234" s="12"/>
      <c r="Z234" s="12"/>
      <c r="AA234" s="12"/>
      <c r="AB234" s="12"/>
      <c r="AC234" s="12"/>
      <c r="AD234" s="12"/>
      <c r="AE234" s="12"/>
      <c r="AF234" s="12"/>
      <c r="AG234" s="12"/>
      <c r="AH234" s="12"/>
      <c r="AI234" s="12"/>
      <c r="AJ234" s="12"/>
      <c r="AK234" s="12"/>
      <c r="AL234" s="12"/>
      <c r="AM234" s="12"/>
      <c r="AN234" s="12"/>
      <c r="AO234" s="12"/>
      <c r="AP234" s="12"/>
      <c r="AQ234" s="12"/>
      <c r="AR234" s="12"/>
      <c r="AS234" s="12"/>
      <c r="AT234" s="12"/>
      <c r="AU234" s="12"/>
      <c r="AV234" s="12"/>
      <c r="AW234" s="12"/>
      <c r="AX234" s="12"/>
      <c r="AY234" s="12"/>
      <c r="AZ234" s="12"/>
      <c r="BA234" s="12"/>
      <c r="BB234" s="12"/>
      <c r="BC234" s="12"/>
      <c r="BD234" s="12"/>
      <c r="BE234" s="12"/>
      <c r="BF234" s="12"/>
      <c r="BG234" s="12"/>
      <c r="BH234" s="12"/>
      <c r="BI234" s="12"/>
      <c r="BJ234" s="12"/>
      <c r="BK234" s="12"/>
      <c r="BL234" s="11" t="s">
        <v>122</v>
      </c>
      <c r="BM234" s="22" t="s">
        <v>123</v>
      </c>
      <c r="BN234" s="27" t="s">
        <v>1030</v>
      </c>
      <c r="BO234" s="27" t="s">
        <v>1031</v>
      </c>
      <c r="BP234" s="27" t="s">
        <v>1032</v>
      </c>
      <c r="BQ234" s="29">
        <v>45516.0</v>
      </c>
      <c r="BR234" s="28" t="s">
        <v>1033</v>
      </c>
      <c r="BS234" s="27" t="s">
        <v>567</v>
      </c>
      <c r="BT234" s="22" t="s">
        <v>999</v>
      </c>
      <c r="BU234" s="11" t="s">
        <v>267</v>
      </c>
      <c r="BV234" s="26" t="s">
        <v>1034</v>
      </c>
      <c r="BW234" s="12"/>
      <c r="BX234" s="12"/>
      <c r="BY234" s="12"/>
      <c r="BZ234" s="12"/>
      <c r="CA234" s="12"/>
      <c r="CB234" s="12"/>
      <c r="CC234" s="12"/>
      <c r="CD234" s="12"/>
      <c r="CE234" s="12"/>
      <c r="CF234" s="12"/>
      <c r="CG234" s="12"/>
      <c r="CH234" s="12"/>
      <c r="CI234" s="12"/>
      <c r="CJ234" s="12"/>
      <c r="CK234" s="12"/>
      <c r="CL234" s="12"/>
      <c r="CM234" s="12"/>
      <c r="CN234" s="12"/>
      <c r="CO234" s="12"/>
      <c r="CP234" s="12"/>
      <c r="CQ234" s="12"/>
      <c r="CR234" s="12"/>
      <c r="CS234" s="12"/>
      <c r="CT234" s="12"/>
      <c r="CU234" s="12"/>
      <c r="CV234" s="12"/>
      <c r="CW234" s="12"/>
      <c r="CX234" s="12"/>
      <c r="CY234" s="12"/>
      <c r="CZ234" s="12"/>
      <c r="DA234" s="12"/>
      <c r="DB234" s="12"/>
      <c r="DC234" s="12"/>
      <c r="DD234" s="12"/>
    </row>
    <row r="235" ht="22.5" customHeight="1">
      <c r="A235" s="11" t="s">
        <v>995</v>
      </c>
      <c r="B235" s="11" t="s">
        <v>120</v>
      </c>
      <c r="C235" s="11" t="s">
        <v>121</v>
      </c>
      <c r="D235" s="12"/>
      <c r="E235" s="12"/>
      <c r="F235" s="12"/>
      <c r="G235" s="12"/>
      <c r="H235" s="12"/>
      <c r="I235" s="12"/>
      <c r="J235" s="12"/>
      <c r="K235" s="12"/>
      <c r="L235" s="12"/>
      <c r="M235" s="12"/>
      <c r="N235" s="12"/>
      <c r="O235" s="12"/>
      <c r="P235" s="12"/>
      <c r="Q235" s="12"/>
      <c r="R235" s="12"/>
      <c r="S235" s="12"/>
      <c r="T235" s="12"/>
      <c r="U235" s="12"/>
      <c r="V235" s="12"/>
      <c r="W235" s="12"/>
      <c r="X235" s="12"/>
      <c r="Y235" s="12"/>
      <c r="Z235" s="12"/>
      <c r="AA235" s="12"/>
      <c r="AB235" s="12"/>
      <c r="AC235" s="12"/>
      <c r="AD235" s="12"/>
      <c r="AE235" s="12"/>
      <c r="AF235" s="12"/>
      <c r="AG235" s="12"/>
      <c r="AH235" s="12"/>
      <c r="AI235" s="12"/>
      <c r="AJ235" s="12"/>
      <c r="AK235" s="12"/>
      <c r="AL235" s="12"/>
      <c r="AM235" s="12"/>
      <c r="AN235" s="12"/>
      <c r="AO235" s="12"/>
      <c r="AP235" s="12"/>
      <c r="AQ235" s="12"/>
      <c r="AR235" s="12"/>
      <c r="AS235" s="12"/>
      <c r="AT235" s="12"/>
      <c r="AU235" s="12"/>
      <c r="AV235" s="12"/>
      <c r="AW235" s="12"/>
      <c r="AX235" s="12"/>
      <c r="AY235" s="12"/>
      <c r="AZ235" s="12"/>
      <c r="BA235" s="12"/>
      <c r="BB235" s="12"/>
      <c r="BC235" s="12"/>
      <c r="BD235" s="12"/>
      <c r="BE235" s="12"/>
      <c r="BF235" s="12"/>
      <c r="BG235" s="12"/>
      <c r="BH235" s="12"/>
      <c r="BI235" s="12"/>
      <c r="BJ235" s="12"/>
      <c r="BK235" s="12"/>
      <c r="BL235" s="11" t="s">
        <v>122</v>
      </c>
      <c r="BM235" s="22" t="s">
        <v>123</v>
      </c>
      <c r="BN235" s="27" t="s">
        <v>1035</v>
      </c>
      <c r="BO235" s="27" t="s">
        <v>1036</v>
      </c>
      <c r="BP235" s="27" t="s">
        <v>318</v>
      </c>
      <c r="BQ235" s="29">
        <v>45902.0</v>
      </c>
      <c r="BR235" s="28" t="s">
        <v>1037</v>
      </c>
      <c r="BS235" s="27" t="s">
        <v>567</v>
      </c>
      <c r="BT235" s="22" t="s">
        <v>999</v>
      </c>
      <c r="BU235" s="11" t="s">
        <v>267</v>
      </c>
      <c r="BV235" s="26" t="s">
        <v>1038</v>
      </c>
      <c r="BW235" s="12"/>
      <c r="BX235" s="12"/>
      <c r="BY235" s="12"/>
      <c r="BZ235" s="12"/>
      <c r="CA235" s="12"/>
      <c r="CB235" s="12"/>
      <c r="CC235" s="12"/>
      <c r="CD235" s="12"/>
      <c r="CE235" s="12"/>
      <c r="CF235" s="12"/>
      <c r="CG235" s="12"/>
      <c r="CH235" s="12"/>
      <c r="CI235" s="12"/>
      <c r="CJ235" s="12"/>
      <c r="CK235" s="12"/>
      <c r="CL235" s="12"/>
      <c r="CM235" s="12"/>
      <c r="CN235" s="12"/>
      <c r="CO235" s="12"/>
      <c r="CP235" s="12"/>
      <c r="CQ235" s="12"/>
      <c r="CR235" s="12"/>
      <c r="CS235" s="12"/>
      <c r="CT235" s="12"/>
      <c r="CU235" s="12"/>
      <c r="CV235" s="12"/>
      <c r="CW235" s="12"/>
      <c r="CX235" s="12"/>
      <c r="CY235" s="12"/>
      <c r="CZ235" s="12"/>
      <c r="DA235" s="12"/>
      <c r="DB235" s="12"/>
      <c r="DC235" s="12"/>
      <c r="DD235" s="12"/>
    </row>
    <row r="236" ht="22.5" customHeight="1">
      <c r="A236" s="11" t="s">
        <v>995</v>
      </c>
      <c r="B236" s="11" t="s">
        <v>120</v>
      </c>
      <c r="C236" s="11" t="s">
        <v>121</v>
      </c>
      <c r="D236" s="12"/>
      <c r="E236" s="12"/>
      <c r="F236" s="12"/>
      <c r="G236" s="12"/>
      <c r="H236" s="12"/>
      <c r="I236" s="12"/>
      <c r="J236" s="12"/>
      <c r="K236" s="12"/>
      <c r="L236" s="12"/>
      <c r="M236" s="12"/>
      <c r="N236" s="12"/>
      <c r="O236" s="12"/>
      <c r="P236" s="12"/>
      <c r="Q236" s="12"/>
      <c r="R236" s="12"/>
      <c r="S236" s="12"/>
      <c r="T236" s="12"/>
      <c r="U236" s="12"/>
      <c r="V236" s="12"/>
      <c r="W236" s="12"/>
      <c r="X236" s="12"/>
      <c r="Y236" s="12"/>
      <c r="Z236" s="12"/>
      <c r="AA236" s="12"/>
      <c r="AB236" s="12"/>
      <c r="AC236" s="12"/>
      <c r="AD236" s="12"/>
      <c r="AE236" s="12"/>
      <c r="AF236" s="12"/>
      <c r="AG236" s="12"/>
      <c r="AH236" s="12"/>
      <c r="AI236" s="12"/>
      <c r="AJ236" s="12"/>
      <c r="AK236" s="12"/>
      <c r="AL236" s="12"/>
      <c r="AM236" s="12"/>
      <c r="AN236" s="12"/>
      <c r="AO236" s="12"/>
      <c r="AP236" s="12"/>
      <c r="AQ236" s="12"/>
      <c r="AR236" s="12"/>
      <c r="AS236" s="12"/>
      <c r="AT236" s="12"/>
      <c r="AU236" s="12"/>
      <c r="AV236" s="12"/>
      <c r="AW236" s="12"/>
      <c r="AX236" s="12"/>
      <c r="AY236" s="12"/>
      <c r="AZ236" s="12"/>
      <c r="BA236" s="12"/>
      <c r="BB236" s="12"/>
      <c r="BC236" s="12"/>
      <c r="BD236" s="12"/>
      <c r="BE236" s="12"/>
      <c r="BF236" s="12"/>
      <c r="BG236" s="12"/>
      <c r="BH236" s="12"/>
      <c r="BI236" s="12"/>
      <c r="BJ236" s="12"/>
      <c r="BK236" s="12"/>
      <c r="BL236" s="11" t="s">
        <v>122</v>
      </c>
      <c r="BM236" s="22" t="s">
        <v>123</v>
      </c>
      <c r="BN236" s="27" t="s">
        <v>1039</v>
      </c>
      <c r="BO236" s="27" t="s">
        <v>1040</v>
      </c>
      <c r="BP236" s="27" t="s">
        <v>946</v>
      </c>
      <c r="BQ236" s="29">
        <v>45932.0</v>
      </c>
      <c r="BR236" s="28" t="s">
        <v>1041</v>
      </c>
      <c r="BS236" s="27" t="s">
        <v>567</v>
      </c>
      <c r="BT236" s="22" t="s">
        <v>999</v>
      </c>
      <c r="BU236" s="11" t="s">
        <v>267</v>
      </c>
      <c r="BV236" s="26" t="s">
        <v>1042</v>
      </c>
      <c r="BW236" s="12"/>
      <c r="BX236" s="12"/>
      <c r="BY236" s="12"/>
      <c r="BZ236" s="12"/>
      <c r="CA236" s="12"/>
      <c r="CB236" s="12"/>
      <c r="CC236" s="12"/>
      <c r="CD236" s="12"/>
      <c r="CE236" s="12"/>
      <c r="CF236" s="12"/>
      <c r="CG236" s="12"/>
      <c r="CH236" s="12"/>
      <c r="CI236" s="12"/>
      <c r="CJ236" s="12"/>
      <c r="CK236" s="12"/>
      <c r="CL236" s="12"/>
      <c r="CM236" s="12"/>
      <c r="CN236" s="12"/>
      <c r="CO236" s="12"/>
      <c r="CP236" s="12"/>
      <c r="CQ236" s="12"/>
      <c r="CR236" s="12"/>
      <c r="CS236" s="12"/>
      <c r="CT236" s="12"/>
      <c r="CU236" s="12"/>
      <c r="CV236" s="12"/>
      <c r="CW236" s="12"/>
      <c r="CX236" s="12"/>
      <c r="CY236" s="12"/>
      <c r="CZ236" s="12"/>
      <c r="DA236" s="12"/>
      <c r="DB236" s="12"/>
      <c r="DC236" s="12"/>
      <c r="DD236" s="12"/>
    </row>
    <row r="237" ht="22.5" customHeight="1">
      <c r="A237" s="11" t="s">
        <v>995</v>
      </c>
      <c r="B237" s="11" t="s">
        <v>120</v>
      </c>
      <c r="C237" s="11" t="s">
        <v>121</v>
      </c>
      <c r="D237" s="12"/>
      <c r="E237" s="12"/>
      <c r="F237" s="12"/>
      <c r="G237" s="12"/>
      <c r="H237" s="12"/>
      <c r="I237" s="12"/>
      <c r="J237" s="12"/>
      <c r="K237" s="12"/>
      <c r="L237" s="12"/>
      <c r="M237" s="12"/>
      <c r="N237" s="12"/>
      <c r="O237" s="12"/>
      <c r="P237" s="12"/>
      <c r="Q237" s="12"/>
      <c r="R237" s="12"/>
      <c r="S237" s="12"/>
      <c r="T237" s="12"/>
      <c r="U237" s="12"/>
      <c r="V237" s="12"/>
      <c r="W237" s="12"/>
      <c r="X237" s="12"/>
      <c r="Y237" s="12"/>
      <c r="Z237" s="12"/>
      <c r="AA237" s="12"/>
      <c r="AB237" s="12"/>
      <c r="AC237" s="12"/>
      <c r="AD237" s="12"/>
      <c r="AE237" s="12"/>
      <c r="AF237" s="12"/>
      <c r="AG237" s="12"/>
      <c r="AH237" s="12"/>
      <c r="AI237" s="12"/>
      <c r="AJ237" s="12"/>
      <c r="AK237" s="12"/>
      <c r="AL237" s="12"/>
      <c r="AM237" s="12"/>
      <c r="AN237" s="12"/>
      <c r="AO237" s="12"/>
      <c r="AP237" s="12"/>
      <c r="AQ237" s="12"/>
      <c r="AR237" s="12"/>
      <c r="AS237" s="12"/>
      <c r="AT237" s="12"/>
      <c r="AU237" s="12"/>
      <c r="AV237" s="12"/>
      <c r="AW237" s="12"/>
      <c r="AX237" s="12"/>
      <c r="AY237" s="12"/>
      <c r="AZ237" s="12"/>
      <c r="BA237" s="12"/>
      <c r="BB237" s="12"/>
      <c r="BC237" s="12"/>
      <c r="BD237" s="12"/>
      <c r="BE237" s="12"/>
      <c r="BF237" s="12"/>
      <c r="BG237" s="12"/>
      <c r="BH237" s="12"/>
      <c r="BI237" s="12"/>
      <c r="BJ237" s="12"/>
      <c r="BK237" s="12"/>
      <c r="BL237" s="11" t="s">
        <v>122</v>
      </c>
      <c r="BM237" s="22" t="s">
        <v>123</v>
      </c>
      <c r="BN237" s="27" t="s">
        <v>1043</v>
      </c>
      <c r="BO237" s="27" t="s">
        <v>1044</v>
      </c>
      <c r="BP237" s="27" t="s">
        <v>876</v>
      </c>
      <c r="BQ237" s="29">
        <v>45750.0</v>
      </c>
      <c r="BR237" s="29">
        <v>45811.0</v>
      </c>
      <c r="BS237" s="27" t="s">
        <v>567</v>
      </c>
      <c r="BT237" s="22" t="s">
        <v>999</v>
      </c>
      <c r="BU237" s="11" t="s">
        <v>267</v>
      </c>
      <c r="BV237" s="26" t="s">
        <v>1045</v>
      </c>
      <c r="BW237" s="12"/>
      <c r="BX237" s="12"/>
      <c r="BY237" s="12"/>
      <c r="BZ237" s="12"/>
      <c r="CA237" s="12"/>
      <c r="CB237" s="12"/>
      <c r="CC237" s="12"/>
      <c r="CD237" s="12"/>
      <c r="CE237" s="12"/>
      <c r="CF237" s="12"/>
      <c r="CG237" s="12"/>
      <c r="CH237" s="12"/>
      <c r="CI237" s="12"/>
      <c r="CJ237" s="12"/>
      <c r="CK237" s="12"/>
      <c r="CL237" s="12"/>
      <c r="CM237" s="12"/>
      <c r="CN237" s="12"/>
      <c r="CO237" s="12"/>
      <c r="CP237" s="12"/>
      <c r="CQ237" s="12"/>
      <c r="CR237" s="12"/>
      <c r="CS237" s="12"/>
      <c r="CT237" s="12"/>
      <c r="CU237" s="12"/>
      <c r="CV237" s="12"/>
      <c r="CW237" s="12"/>
      <c r="CX237" s="12"/>
      <c r="CY237" s="12"/>
      <c r="CZ237" s="12"/>
      <c r="DA237" s="12"/>
      <c r="DB237" s="12"/>
      <c r="DC237" s="12"/>
      <c r="DD237" s="12"/>
    </row>
    <row r="238" ht="22.5" customHeight="1">
      <c r="A238" s="11" t="s">
        <v>995</v>
      </c>
      <c r="B238" s="11" t="s">
        <v>120</v>
      </c>
      <c r="C238" s="11" t="s">
        <v>121</v>
      </c>
      <c r="D238" s="12"/>
      <c r="E238" s="12"/>
      <c r="F238" s="12"/>
      <c r="G238" s="12"/>
      <c r="H238" s="12"/>
      <c r="I238" s="12"/>
      <c r="J238" s="12"/>
      <c r="K238" s="12"/>
      <c r="L238" s="12"/>
      <c r="M238" s="12"/>
      <c r="N238" s="12"/>
      <c r="O238" s="12"/>
      <c r="P238" s="12"/>
      <c r="Q238" s="12"/>
      <c r="R238" s="12"/>
      <c r="S238" s="12"/>
      <c r="T238" s="12"/>
      <c r="U238" s="12"/>
      <c r="V238" s="12"/>
      <c r="W238" s="12"/>
      <c r="X238" s="12"/>
      <c r="Y238" s="12"/>
      <c r="Z238" s="12"/>
      <c r="AA238" s="12"/>
      <c r="AB238" s="12"/>
      <c r="AC238" s="12"/>
      <c r="AD238" s="12"/>
      <c r="AE238" s="12"/>
      <c r="AF238" s="12"/>
      <c r="AG238" s="12"/>
      <c r="AH238" s="12"/>
      <c r="AI238" s="12"/>
      <c r="AJ238" s="12"/>
      <c r="AK238" s="12"/>
      <c r="AL238" s="12"/>
      <c r="AM238" s="12"/>
      <c r="AN238" s="12"/>
      <c r="AO238" s="12"/>
      <c r="AP238" s="12"/>
      <c r="AQ238" s="12"/>
      <c r="AR238" s="12"/>
      <c r="AS238" s="12"/>
      <c r="AT238" s="12"/>
      <c r="AU238" s="12"/>
      <c r="AV238" s="12"/>
      <c r="AW238" s="12"/>
      <c r="AX238" s="12"/>
      <c r="AY238" s="12"/>
      <c r="AZ238" s="12"/>
      <c r="BA238" s="12"/>
      <c r="BB238" s="12"/>
      <c r="BC238" s="12"/>
      <c r="BD238" s="12"/>
      <c r="BE238" s="12"/>
      <c r="BF238" s="12"/>
      <c r="BG238" s="12"/>
      <c r="BH238" s="12"/>
      <c r="BI238" s="12"/>
      <c r="BJ238" s="12"/>
      <c r="BK238" s="12"/>
      <c r="BL238" s="11" t="s">
        <v>122</v>
      </c>
      <c r="BM238" s="22" t="s">
        <v>123</v>
      </c>
      <c r="BN238" s="27" t="s">
        <v>1046</v>
      </c>
      <c r="BO238" s="27" t="s">
        <v>543</v>
      </c>
      <c r="BP238" s="27" t="s">
        <v>396</v>
      </c>
      <c r="BQ238" s="28" t="s">
        <v>1047</v>
      </c>
      <c r="BR238" s="28" t="s">
        <v>1048</v>
      </c>
      <c r="BS238" s="27" t="s">
        <v>567</v>
      </c>
      <c r="BT238" s="22" t="s">
        <v>999</v>
      </c>
      <c r="BU238" s="11" t="s">
        <v>267</v>
      </c>
      <c r="BV238" s="26" t="s">
        <v>1049</v>
      </c>
      <c r="BW238" s="12"/>
      <c r="BX238" s="12"/>
      <c r="BY238" s="12"/>
      <c r="BZ238" s="12"/>
      <c r="CA238" s="12"/>
      <c r="CB238" s="12"/>
      <c r="CC238" s="12"/>
      <c r="CD238" s="12"/>
      <c r="CE238" s="12"/>
      <c r="CF238" s="12"/>
      <c r="CG238" s="12"/>
      <c r="CH238" s="12"/>
      <c r="CI238" s="12"/>
      <c r="CJ238" s="12"/>
      <c r="CK238" s="12"/>
      <c r="CL238" s="12"/>
      <c r="CM238" s="12"/>
      <c r="CN238" s="12"/>
      <c r="CO238" s="12"/>
      <c r="CP238" s="12"/>
      <c r="CQ238" s="12"/>
      <c r="CR238" s="12"/>
      <c r="CS238" s="12"/>
      <c r="CT238" s="12"/>
      <c r="CU238" s="12"/>
      <c r="CV238" s="12"/>
      <c r="CW238" s="12"/>
      <c r="CX238" s="12"/>
      <c r="CY238" s="12"/>
      <c r="CZ238" s="12"/>
      <c r="DA238" s="12"/>
      <c r="DB238" s="12"/>
      <c r="DC238" s="12"/>
      <c r="DD238" s="12"/>
    </row>
    <row r="239" ht="22.5" customHeight="1">
      <c r="A239" s="11" t="s">
        <v>995</v>
      </c>
      <c r="B239" s="11" t="s">
        <v>120</v>
      </c>
      <c r="C239" s="11" t="s">
        <v>121</v>
      </c>
      <c r="D239" s="12"/>
      <c r="E239" s="12"/>
      <c r="F239" s="12"/>
      <c r="G239" s="12"/>
      <c r="H239" s="12"/>
      <c r="I239" s="12"/>
      <c r="J239" s="12"/>
      <c r="K239" s="12"/>
      <c r="L239" s="12"/>
      <c r="M239" s="12"/>
      <c r="N239" s="12"/>
      <c r="O239" s="12"/>
      <c r="P239" s="12"/>
      <c r="Q239" s="12"/>
      <c r="R239" s="12"/>
      <c r="S239" s="12"/>
      <c r="T239" s="12"/>
      <c r="U239" s="12"/>
      <c r="V239" s="12"/>
      <c r="W239" s="12"/>
      <c r="X239" s="12"/>
      <c r="Y239" s="12"/>
      <c r="Z239" s="12"/>
      <c r="AA239" s="12"/>
      <c r="AB239" s="12"/>
      <c r="AC239" s="12"/>
      <c r="AD239" s="12"/>
      <c r="AE239" s="12"/>
      <c r="AF239" s="12"/>
      <c r="AG239" s="12"/>
      <c r="AH239" s="12"/>
      <c r="AI239" s="12"/>
      <c r="AJ239" s="12"/>
      <c r="AK239" s="12"/>
      <c r="AL239" s="12"/>
      <c r="AM239" s="12"/>
      <c r="AN239" s="12"/>
      <c r="AO239" s="12"/>
      <c r="AP239" s="12"/>
      <c r="AQ239" s="12"/>
      <c r="AR239" s="12"/>
      <c r="AS239" s="12"/>
      <c r="AT239" s="12"/>
      <c r="AU239" s="12"/>
      <c r="AV239" s="12"/>
      <c r="AW239" s="12"/>
      <c r="AX239" s="12"/>
      <c r="AY239" s="12"/>
      <c r="AZ239" s="12"/>
      <c r="BA239" s="12"/>
      <c r="BB239" s="12"/>
      <c r="BC239" s="12"/>
      <c r="BD239" s="12"/>
      <c r="BE239" s="12"/>
      <c r="BF239" s="12"/>
      <c r="BG239" s="12"/>
      <c r="BH239" s="12"/>
      <c r="BI239" s="12"/>
      <c r="BJ239" s="12"/>
      <c r="BK239" s="12"/>
      <c r="BL239" s="11" t="s">
        <v>122</v>
      </c>
      <c r="BM239" s="22" t="s">
        <v>123</v>
      </c>
      <c r="BN239" s="27" t="s">
        <v>1010</v>
      </c>
      <c r="BO239" s="27" t="s">
        <v>749</v>
      </c>
      <c r="BP239" s="27" t="s">
        <v>749</v>
      </c>
      <c r="BQ239" s="30" t="s">
        <v>1050</v>
      </c>
      <c r="BR239" s="30" t="s">
        <v>1051</v>
      </c>
      <c r="BS239" s="27" t="s">
        <v>559</v>
      </c>
      <c r="BT239" s="22" t="s">
        <v>999</v>
      </c>
      <c r="BU239" s="11" t="s">
        <v>129</v>
      </c>
      <c r="BV239" s="11"/>
      <c r="BW239" s="12"/>
      <c r="BX239" s="12"/>
      <c r="BY239" s="12"/>
      <c r="BZ239" s="12"/>
      <c r="CA239" s="12"/>
      <c r="CB239" s="12"/>
      <c r="CC239" s="12"/>
      <c r="CD239" s="12"/>
      <c r="CE239" s="12"/>
      <c r="CF239" s="12"/>
      <c r="CG239" s="12"/>
      <c r="CH239" s="12"/>
      <c r="CI239" s="12"/>
      <c r="CJ239" s="12"/>
      <c r="CK239" s="12"/>
      <c r="CL239" s="12"/>
      <c r="CM239" s="12"/>
      <c r="CN239" s="12"/>
      <c r="CO239" s="12"/>
      <c r="CP239" s="12"/>
      <c r="CQ239" s="12"/>
      <c r="CR239" s="12"/>
      <c r="CS239" s="12"/>
      <c r="CT239" s="12"/>
      <c r="CU239" s="12"/>
      <c r="CV239" s="12"/>
      <c r="CW239" s="12"/>
      <c r="CX239" s="12"/>
      <c r="CY239" s="12"/>
      <c r="CZ239" s="12"/>
      <c r="DA239" s="12"/>
      <c r="DB239" s="12"/>
      <c r="DC239" s="12"/>
      <c r="DD239" s="12"/>
    </row>
    <row r="240" ht="22.5" customHeight="1">
      <c r="A240" s="11" t="s">
        <v>995</v>
      </c>
      <c r="B240" s="11" t="s">
        <v>120</v>
      </c>
      <c r="C240" s="11" t="s">
        <v>121</v>
      </c>
      <c r="D240" s="12"/>
      <c r="E240" s="12"/>
      <c r="F240" s="12"/>
      <c r="G240" s="12"/>
      <c r="H240" s="12"/>
      <c r="I240" s="12"/>
      <c r="J240" s="12"/>
      <c r="K240" s="12"/>
      <c r="L240" s="12"/>
      <c r="M240" s="12"/>
      <c r="N240" s="12"/>
      <c r="O240" s="12"/>
      <c r="P240" s="12"/>
      <c r="Q240" s="12"/>
      <c r="R240" s="12"/>
      <c r="S240" s="12"/>
      <c r="T240" s="12"/>
      <c r="U240" s="12"/>
      <c r="V240" s="12"/>
      <c r="W240" s="12"/>
      <c r="X240" s="12"/>
      <c r="Y240" s="12"/>
      <c r="Z240" s="12"/>
      <c r="AA240" s="12"/>
      <c r="AB240" s="12"/>
      <c r="AC240" s="12"/>
      <c r="AD240" s="12"/>
      <c r="AE240" s="12"/>
      <c r="AF240" s="12"/>
      <c r="AG240" s="12"/>
      <c r="AH240" s="12"/>
      <c r="AI240" s="12"/>
      <c r="AJ240" s="12"/>
      <c r="AK240" s="12"/>
      <c r="AL240" s="12"/>
      <c r="AM240" s="12"/>
      <c r="AN240" s="12"/>
      <c r="AO240" s="12"/>
      <c r="AP240" s="12"/>
      <c r="AQ240" s="12"/>
      <c r="AR240" s="12"/>
      <c r="AS240" s="12"/>
      <c r="AT240" s="12"/>
      <c r="AU240" s="12"/>
      <c r="AV240" s="12"/>
      <c r="AW240" s="12"/>
      <c r="AX240" s="12"/>
      <c r="AY240" s="12"/>
      <c r="AZ240" s="12"/>
      <c r="BA240" s="12"/>
      <c r="BB240" s="12"/>
      <c r="BC240" s="12"/>
      <c r="BD240" s="12"/>
      <c r="BE240" s="12"/>
      <c r="BF240" s="12"/>
      <c r="BG240" s="12"/>
      <c r="BH240" s="12"/>
      <c r="BI240" s="12"/>
      <c r="BJ240" s="12"/>
      <c r="BK240" s="12"/>
      <c r="BL240" s="11" t="s">
        <v>122</v>
      </c>
      <c r="BM240" s="22" t="s">
        <v>1052</v>
      </c>
      <c r="BN240" s="27" t="s">
        <v>1053</v>
      </c>
      <c r="BO240" s="27" t="s">
        <v>1054</v>
      </c>
      <c r="BP240" s="27" t="s">
        <v>1055</v>
      </c>
      <c r="BQ240" s="30" t="s">
        <v>1056</v>
      </c>
      <c r="BR240" s="30" t="s">
        <v>1057</v>
      </c>
      <c r="BS240" s="27" t="s">
        <v>567</v>
      </c>
      <c r="BT240" s="22" t="s">
        <v>999</v>
      </c>
      <c r="BU240" s="11" t="s">
        <v>267</v>
      </c>
      <c r="BV240" s="11"/>
      <c r="BW240" s="12"/>
      <c r="BX240" s="12"/>
      <c r="BY240" s="12"/>
      <c r="BZ240" s="12"/>
      <c r="CA240" s="12"/>
      <c r="CB240" s="12"/>
      <c r="CC240" s="12"/>
      <c r="CD240" s="12"/>
      <c r="CE240" s="12"/>
      <c r="CF240" s="12"/>
      <c r="CG240" s="12"/>
      <c r="CH240" s="12"/>
      <c r="CI240" s="12"/>
      <c r="CJ240" s="12"/>
      <c r="CK240" s="12"/>
      <c r="CL240" s="12"/>
      <c r="CM240" s="12"/>
      <c r="CN240" s="12"/>
      <c r="CO240" s="12"/>
      <c r="CP240" s="12"/>
      <c r="CQ240" s="12"/>
      <c r="CR240" s="12"/>
      <c r="CS240" s="12"/>
      <c r="CT240" s="12"/>
      <c r="CU240" s="12"/>
      <c r="CV240" s="12"/>
      <c r="CW240" s="12"/>
      <c r="CX240" s="12"/>
      <c r="CY240" s="12"/>
      <c r="CZ240" s="12"/>
      <c r="DA240" s="12"/>
      <c r="DB240" s="12"/>
      <c r="DC240" s="12"/>
      <c r="DD240" s="12"/>
    </row>
    <row r="241" ht="22.5" customHeight="1">
      <c r="A241" s="11" t="s">
        <v>995</v>
      </c>
      <c r="B241" s="11" t="s">
        <v>120</v>
      </c>
      <c r="C241" s="11" t="s">
        <v>121</v>
      </c>
      <c r="D241" s="12"/>
      <c r="E241" s="12"/>
      <c r="F241" s="12"/>
      <c r="G241" s="12"/>
      <c r="H241" s="12"/>
      <c r="I241" s="12"/>
      <c r="J241" s="12"/>
      <c r="K241" s="12"/>
      <c r="L241" s="12"/>
      <c r="M241" s="12"/>
      <c r="N241" s="12"/>
      <c r="O241" s="12"/>
      <c r="P241" s="12"/>
      <c r="Q241" s="12"/>
      <c r="R241" s="12"/>
      <c r="S241" s="12"/>
      <c r="T241" s="12"/>
      <c r="U241" s="12"/>
      <c r="V241" s="12"/>
      <c r="W241" s="12"/>
      <c r="X241" s="12"/>
      <c r="Y241" s="12"/>
      <c r="Z241" s="12"/>
      <c r="AA241" s="12"/>
      <c r="AB241" s="12"/>
      <c r="AC241" s="12"/>
      <c r="AD241" s="12"/>
      <c r="AE241" s="12"/>
      <c r="AF241" s="12"/>
      <c r="AG241" s="12"/>
      <c r="AH241" s="12"/>
      <c r="AI241" s="12"/>
      <c r="AJ241" s="12"/>
      <c r="AK241" s="12"/>
      <c r="AL241" s="12"/>
      <c r="AM241" s="12"/>
      <c r="AN241" s="12"/>
      <c r="AO241" s="12"/>
      <c r="AP241" s="12"/>
      <c r="AQ241" s="12"/>
      <c r="AR241" s="12"/>
      <c r="AS241" s="12"/>
      <c r="AT241" s="12"/>
      <c r="AU241" s="12"/>
      <c r="AV241" s="12"/>
      <c r="AW241" s="12"/>
      <c r="AX241" s="12"/>
      <c r="AY241" s="12"/>
      <c r="AZ241" s="12"/>
      <c r="BA241" s="12"/>
      <c r="BB241" s="12"/>
      <c r="BC241" s="12"/>
      <c r="BD241" s="12"/>
      <c r="BE241" s="12"/>
      <c r="BF241" s="12"/>
      <c r="BG241" s="12"/>
      <c r="BH241" s="12"/>
      <c r="BI241" s="12"/>
      <c r="BJ241" s="12"/>
      <c r="BK241" s="12"/>
      <c r="BL241" s="11" t="s">
        <v>122</v>
      </c>
      <c r="BM241" s="22" t="s">
        <v>123</v>
      </c>
      <c r="BN241" s="27" t="s">
        <v>1046</v>
      </c>
      <c r="BO241" s="27" t="s">
        <v>543</v>
      </c>
      <c r="BP241" s="27" t="s">
        <v>396</v>
      </c>
      <c r="BQ241" s="31">
        <v>45847.0</v>
      </c>
      <c r="BR241" s="30" t="s">
        <v>1058</v>
      </c>
      <c r="BS241" s="27" t="s">
        <v>567</v>
      </c>
      <c r="BT241" s="22" t="s">
        <v>999</v>
      </c>
      <c r="BU241" s="11" t="s">
        <v>267</v>
      </c>
      <c r="BV241" s="11"/>
      <c r="BW241" s="12"/>
      <c r="BX241" s="12"/>
      <c r="BY241" s="12"/>
      <c r="BZ241" s="12"/>
      <c r="CA241" s="12"/>
      <c r="CB241" s="12"/>
      <c r="CC241" s="12"/>
      <c r="CD241" s="12"/>
      <c r="CE241" s="12"/>
      <c r="CF241" s="12"/>
      <c r="CG241" s="12"/>
      <c r="CH241" s="12"/>
      <c r="CI241" s="12"/>
      <c r="CJ241" s="12"/>
      <c r="CK241" s="12"/>
      <c r="CL241" s="12"/>
      <c r="CM241" s="12"/>
      <c r="CN241" s="12"/>
      <c r="CO241" s="12"/>
      <c r="CP241" s="12"/>
      <c r="CQ241" s="12"/>
      <c r="CR241" s="12"/>
      <c r="CS241" s="12"/>
      <c r="CT241" s="12"/>
      <c r="CU241" s="12"/>
      <c r="CV241" s="12"/>
      <c r="CW241" s="12"/>
      <c r="CX241" s="12"/>
      <c r="CY241" s="12"/>
      <c r="CZ241" s="12"/>
      <c r="DA241" s="12"/>
      <c r="DB241" s="12"/>
      <c r="DC241" s="12"/>
      <c r="DD241" s="12"/>
    </row>
    <row r="242" ht="22.5" customHeight="1">
      <c r="A242" s="11" t="s">
        <v>995</v>
      </c>
      <c r="B242" s="11" t="s">
        <v>1059</v>
      </c>
      <c r="C242" s="32" t="s">
        <v>3</v>
      </c>
      <c r="D242" s="12"/>
      <c r="E242" s="12"/>
      <c r="F242" s="12"/>
      <c r="G242" s="12"/>
      <c r="H242" s="12"/>
      <c r="I242" s="12"/>
      <c r="J242" s="12"/>
      <c r="K242" s="12"/>
      <c r="L242" s="12"/>
      <c r="M242" s="12"/>
      <c r="N242" s="12"/>
      <c r="O242" s="12"/>
      <c r="P242" s="12"/>
      <c r="Q242" s="12"/>
      <c r="R242" s="12"/>
      <c r="S242" s="12"/>
      <c r="T242" s="12"/>
      <c r="U242" s="12"/>
      <c r="V242" s="12"/>
      <c r="W242" s="12"/>
      <c r="X242" s="12"/>
      <c r="Y242" s="12"/>
      <c r="Z242" s="12"/>
      <c r="AA242" s="12"/>
      <c r="AB242" s="12"/>
      <c r="AC242" s="12"/>
      <c r="AD242" s="12"/>
      <c r="AE242" s="12"/>
      <c r="AF242" s="12"/>
      <c r="AG242" s="12"/>
      <c r="AH242" s="12"/>
      <c r="AI242" s="12"/>
      <c r="AJ242" s="12"/>
      <c r="AK242" s="12"/>
      <c r="AL242" s="12"/>
      <c r="AM242" s="12"/>
      <c r="AN242" s="12"/>
      <c r="AO242" s="12"/>
      <c r="AP242" s="12"/>
      <c r="AQ242" s="12"/>
      <c r="AR242" s="12"/>
      <c r="AS242" s="12"/>
      <c r="AT242" s="12"/>
      <c r="AU242" s="12"/>
      <c r="AV242" s="12"/>
      <c r="AW242" s="12"/>
      <c r="AX242" s="12"/>
      <c r="AY242" s="12"/>
      <c r="AZ242" s="12"/>
      <c r="BA242" s="12"/>
      <c r="BB242" s="12"/>
      <c r="BC242" s="12"/>
      <c r="BD242" s="12"/>
      <c r="BE242" s="12"/>
      <c r="BF242" s="12"/>
      <c r="BG242" s="12"/>
      <c r="BH242" s="12"/>
      <c r="BI242" s="12"/>
      <c r="BJ242" s="12"/>
      <c r="BK242" s="12"/>
      <c r="BL242" s="11"/>
      <c r="BM242" s="22"/>
      <c r="BN242" s="27"/>
      <c r="BO242" s="27"/>
      <c r="BP242" s="27"/>
      <c r="BQ242" s="31"/>
      <c r="BR242" s="30"/>
      <c r="BS242" s="27"/>
      <c r="BT242" s="22"/>
      <c r="BU242" s="11"/>
      <c r="BV242" s="11"/>
      <c r="BW242" s="12"/>
      <c r="BX242" s="12"/>
      <c r="BY242" s="12"/>
      <c r="BZ242" s="12"/>
      <c r="CA242" s="12"/>
      <c r="CB242" s="12"/>
      <c r="CC242" s="12"/>
      <c r="CD242" s="33">
        <v>44957.0</v>
      </c>
      <c r="CE242" s="34" t="s">
        <v>406</v>
      </c>
      <c r="CF242" s="34" t="s">
        <v>1060</v>
      </c>
      <c r="CG242" s="11" t="s">
        <v>1061</v>
      </c>
      <c r="CH242" s="34" t="s">
        <v>1062</v>
      </c>
      <c r="CI242" s="11" t="s">
        <v>1063</v>
      </c>
      <c r="CJ242" s="35" t="s">
        <v>1064</v>
      </c>
      <c r="CK242" s="11" t="s">
        <v>1065</v>
      </c>
      <c r="CL242" s="36" t="s">
        <v>1066</v>
      </c>
      <c r="CM242" s="12"/>
      <c r="CN242" s="12"/>
      <c r="CO242" s="12"/>
      <c r="CP242" s="12"/>
      <c r="CQ242" s="12"/>
      <c r="CR242" s="12"/>
      <c r="CS242" s="12"/>
      <c r="CT242" s="12"/>
      <c r="CU242" s="12"/>
      <c r="CV242" s="12"/>
      <c r="CW242" s="12"/>
      <c r="CX242" s="12"/>
      <c r="CY242" s="12"/>
      <c r="CZ242" s="12"/>
      <c r="DA242" s="12"/>
      <c r="DB242" s="12"/>
      <c r="DC242" s="12"/>
      <c r="DD242" s="12"/>
    </row>
    <row r="243" ht="22.5" customHeight="1">
      <c r="A243" s="11" t="s">
        <v>995</v>
      </c>
      <c r="B243" s="11" t="s">
        <v>1059</v>
      </c>
      <c r="C243" s="32" t="s">
        <v>3</v>
      </c>
      <c r="D243" s="12"/>
      <c r="E243" s="12"/>
      <c r="F243" s="12"/>
      <c r="G243" s="12"/>
      <c r="H243" s="12"/>
      <c r="I243" s="12"/>
      <c r="J243" s="12"/>
      <c r="K243" s="12"/>
      <c r="L243" s="12"/>
      <c r="M243" s="12"/>
      <c r="N243" s="12"/>
      <c r="O243" s="12"/>
      <c r="P243" s="12"/>
      <c r="Q243" s="12"/>
      <c r="R243" s="12"/>
      <c r="S243" s="12"/>
      <c r="T243" s="12"/>
      <c r="U243" s="12"/>
      <c r="V243" s="12"/>
      <c r="W243" s="12"/>
      <c r="X243" s="12"/>
      <c r="Y243" s="12"/>
      <c r="Z243" s="12"/>
      <c r="AA243" s="12"/>
      <c r="AB243" s="12"/>
      <c r="AC243" s="12"/>
      <c r="AD243" s="12"/>
      <c r="AE243" s="12"/>
      <c r="AF243" s="12"/>
      <c r="AG243" s="12"/>
      <c r="AH243" s="12"/>
      <c r="AI243" s="12"/>
      <c r="AJ243" s="12"/>
      <c r="AK243" s="12"/>
      <c r="AL243" s="12"/>
      <c r="AM243" s="12"/>
      <c r="AN243" s="12"/>
      <c r="AO243" s="12"/>
      <c r="AP243" s="12"/>
      <c r="AQ243" s="12"/>
      <c r="AR243" s="12"/>
      <c r="AS243" s="12"/>
      <c r="AT243" s="12"/>
      <c r="AU243" s="12"/>
      <c r="AV243" s="12"/>
      <c r="AW243" s="12"/>
      <c r="AX243" s="12"/>
      <c r="AY243" s="12"/>
      <c r="AZ243" s="12"/>
      <c r="BA243" s="12"/>
      <c r="BB243" s="12"/>
      <c r="BC243" s="12"/>
      <c r="BD243" s="12"/>
      <c r="BE243" s="12"/>
      <c r="BF243" s="12"/>
      <c r="BG243" s="12"/>
      <c r="BH243" s="12"/>
      <c r="BI243" s="12"/>
      <c r="BJ243" s="12"/>
      <c r="BK243" s="12"/>
      <c r="BL243" s="11"/>
      <c r="BM243" s="22"/>
      <c r="BN243" s="27"/>
      <c r="BO243" s="27"/>
      <c r="BP243" s="27"/>
      <c r="BQ243" s="31"/>
      <c r="BR243" s="30"/>
      <c r="BS243" s="27"/>
      <c r="BT243" s="22"/>
      <c r="BU243" s="11"/>
      <c r="BV243" s="11"/>
      <c r="BW243" s="12"/>
      <c r="BX243" s="12"/>
      <c r="BY243" s="12"/>
      <c r="BZ243" s="12"/>
      <c r="CA243" s="12"/>
      <c r="CB243" s="12"/>
      <c r="CC243" s="12"/>
      <c r="CD243" s="33">
        <v>44965.0</v>
      </c>
      <c r="CE243" s="34" t="s">
        <v>406</v>
      </c>
      <c r="CF243" s="34" t="s">
        <v>1067</v>
      </c>
      <c r="CG243" s="34" t="s">
        <v>1068</v>
      </c>
      <c r="CH243" s="34" t="s">
        <v>1069</v>
      </c>
      <c r="CI243" s="34" t="s">
        <v>1070</v>
      </c>
      <c r="CJ243" s="37" t="s">
        <v>1071</v>
      </c>
      <c r="CK243" s="34" t="s">
        <v>1072</v>
      </c>
      <c r="CL243" s="26" t="s">
        <v>1073</v>
      </c>
      <c r="CM243" s="12"/>
      <c r="CN243" s="12"/>
      <c r="CO243" s="12"/>
      <c r="CP243" s="12"/>
      <c r="CQ243" s="12"/>
      <c r="CR243" s="12"/>
      <c r="CS243" s="12"/>
      <c r="CT243" s="12"/>
      <c r="CU243" s="12"/>
      <c r="CV243" s="12"/>
      <c r="CW243" s="12"/>
      <c r="CX243" s="12"/>
      <c r="CY243" s="12"/>
      <c r="CZ243" s="12"/>
      <c r="DA243" s="12"/>
      <c r="DB243" s="12"/>
      <c r="DC243" s="12"/>
      <c r="DD243" s="12"/>
    </row>
    <row r="244" ht="22.5" customHeight="1">
      <c r="A244" s="11" t="s">
        <v>995</v>
      </c>
      <c r="B244" s="11" t="s">
        <v>1059</v>
      </c>
      <c r="C244" s="32" t="s">
        <v>3</v>
      </c>
      <c r="D244" s="12"/>
      <c r="E244" s="12"/>
      <c r="F244" s="12"/>
      <c r="G244" s="12"/>
      <c r="H244" s="12"/>
      <c r="I244" s="12"/>
      <c r="J244" s="12"/>
      <c r="K244" s="12"/>
      <c r="L244" s="12"/>
      <c r="M244" s="12"/>
      <c r="N244" s="12"/>
      <c r="O244" s="12"/>
      <c r="P244" s="12"/>
      <c r="Q244" s="12"/>
      <c r="R244" s="12"/>
      <c r="S244" s="12"/>
      <c r="T244" s="12"/>
      <c r="U244" s="12"/>
      <c r="V244" s="12"/>
      <c r="W244" s="12"/>
      <c r="X244" s="12"/>
      <c r="Y244" s="12"/>
      <c r="Z244" s="12"/>
      <c r="AA244" s="12"/>
      <c r="AB244" s="12"/>
      <c r="AC244" s="12"/>
      <c r="AD244" s="12"/>
      <c r="AE244" s="12"/>
      <c r="AF244" s="12"/>
      <c r="AG244" s="12"/>
      <c r="AH244" s="12"/>
      <c r="AI244" s="12"/>
      <c r="AJ244" s="12"/>
      <c r="AK244" s="12"/>
      <c r="AL244" s="12"/>
      <c r="AM244" s="12"/>
      <c r="AN244" s="12"/>
      <c r="AO244" s="12"/>
      <c r="AP244" s="12"/>
      <c r="AQ244" s="12"/>
      <c r="AR244" s="12"/>
      <c r="AS244" s="12"/>
      <c r="AT244" s="12"/>
      <c r="AU244" s="12"/>
      <c r="AV244" s="12"/>
      <c r="AW244" s="12"/>
      <c r="AX244" s="12"/>
      <c r="AY244" s="12"/>
      <c r="AZ244" s="12"/>
      <c r="BA244" s="12"/>
      <c r="BB244" s="12"/>
      <c r="BC244" s="12"/>
      <c r="BD244" s="12"/>
      <c r="BE244" s="12"/>
      <c r="BF244" s="12"/>
      <c r="BG244" s="12"/>
      <c r="BH244" s="12"/>
      <c r="BI244" s="12"/>
      <c r="BJ244" s="12"/>
      <c r="BK244" s="12"/>
      <c r="BL244" s="11"/>
      <c r="BM244" s="22"/>
      <c r="BN244" s="27"/>
      <c r="BO244" s="27"/>
      <c r="BP244" s="27"/>
      <c r="BQ244" s="31"/>
      <c r="BR244" s="30"/>
      <c r="BS244" s="27"/>
      <c r="BT244" s="22"/>
      <c r="BU244" s="11"/>
      <c r="BV244" s="11"/>
      <c r="BW244" s="12"/>
      <c r="BX244" s="12"/>
      <c r="BY244" s="12"/>
      <c r="BZ244" s="12"/>
      <c r="CA244" s="12"/>
      <c r="CB244" s="12"/>
      <c r="CC244" s="12"/>
      <c r="CD244" s="33">
        <v>44968.0</v>
      </c>
      <c r="CE244" s="34" t="s">
        <v>1074</v>
      </c>
      <c r="CF244" s="34" t="s">
        <v>1075</v>
      </c>
      <c r="CG244" s="34" t="s">
        <v>266</v>
      </c>
      <c r="CH244" s="12"/>
      <c r="CI244" s="34" t="s">
        <v>266</v>
      </c>
      <c r="CJ244" s="12"/>
      <c r="CK244" s="34" t="s">
        <v>1076</v>
      </c>
      <c r="CL244" s="11"/>
      <c r="CM244" s="12"/>
      <c r="CN244" s="12"/>
      <c r="CO244" s="12"/>
      <c r="CP244" s="12"/>
      <c r="CQ244" s="12"/>
      <c r="CR244" s="12"/>
      <c r="CS244" s="12"/>
      <c r="CT244" s="12"/>
      <c r="CU244" s="12"/>
      <c r="CV244" s="12"/>
      <c r="CW244" s="12"/>
      <c r="CX244" s="12"/>
      <c r="CY244" s="12"/>
      <c r="CZ244" s="12"/>
      <c r="DA244" s="12"/>
      <c r="DB244" s="12"/>
      <c r="DC244" s="12"/>
      <c r="DD244" s="12"/>
    </row>
    <row r="245" ht="22.5" customHeight="1">
      <c r="A245" s="11" t="s">
        <v>995</v>
      </c>
      <c r="B245" s="11" t="s">
        <v>1059</v>
      </c>
      <c r="C245" s="32" t="s">
        <v>3</v>
      </c>
      <c r="D245" s="12"/>
      <c r="E245" s="12"/>
      <c r="F245" s="12"/>
      <c r="G245" s="12"/>
      <c r="H245" s="12"/>
      <c r="I245" s="12"/>
      <c r="J245" s="12"/>
      <c r="K245" s="12"/>
      <c r="L245" s="12"/>
      <c r="M245" s="12"/>
      <c r="N245" s="12"/>
      <c r="O245" s="12"/>
      <c r="P245" s="12"/>
      <c r="Q245" s="12"/>
      <c r="R245" s="12"/>
      <c r="S245" s="12"/>
      <c r="T245" s="12"/>
      <c r="U245" s="12"/>
      <c r="V245" s="12"/>
      <c r="W245" s="12"/>
      <c r="X245" s="12"/>
      <c r="Y245" s="12"/>
      <c r="Z245" s="12"/>
      <c r="AA245" s="12"/>
      <c r="AB245" s="12"/>
      <c r="AC245" s="12"/>
      <c r="AD245" s="12"/>
      <c r="AE245" s="12"/>
      <c r="AF245" s="12"/>
      <c r="AG245" s="12"/>
      <c r="AH245" s="12"/>
      <c r="AI245" s="12"/>
      <c r="AJ245" s="12"/>
      <c r="AK245" s="12"/>
      <c r="AL245" s="12"/>
      <c r="AM245" s="12"/>
      <c r="AN245" s="12"/>
      <c r="AO245" s="12"/>
      <c r="AP245" s="12"/>
      <c r="AQ245" s="12"/>
      <c r="AR245" s="12"/>
      <c r="AS245" s="12"/>
      <c r="AT245" s="12"/>
      <c r="AU245" s="12"/>
      <c r="AV245" s="12"/>
      <c r="AW245" s="12"/>
      <c r="AX245" s="12"/>
      <c r="AY245" s="12"/>
      <c r="AZ245" s="12"/>
      <c r="BA245" s="12"/>
      <c r="BB245" s="12"/>
      <c r="BC245" s="12"/>
      <c r="BD245" s="12"/>
      <c r="BE245" s="12"/>
      <c r="BF245" s="12"/>
      <c r="BG245" s="12"/>
      <c r="BH245" s="12"/>
      <c r="BI245" s="12"/>
      <c r="BJ245" s="12"/>
      <c r="BK245" s="12"/>
      <c r="BL245" s="11"/>
      <c r="BM245" s="22"/>
      <c r="BN245" s="27"/>
      <c r="BO245" s="27"/>
      <c r="BP245" s="27"/>
      <c r="BQ245" s="31"/>
      <c r="BR245" s="30"/>
      <c r="BS245" s="27"/>
      <c r="BT245" s="22"/>
      <c r="BU245" s="11"/>
      <c r="BV245" s="11"/>
      <c r="BW245" s="12"/>
      <c r="BX245" s="12"/>
      <c r="BY245" s="12"/>
      <c r="BZ245" s="12"/>
      <c r="CA245" s="12"/>
      <c r="CB245" s="12"/>
      <c r="CC245" s="12"/>
      <c r="CD245" s="33">
        <v>44977.0</v>
      </c>
      <c r="CE245" s="34" t="s">
        <v>406</v>
      </c>
      <c r="CF245" s="11" t="s">
        <v>1077</v>
      </c>
      <c r="CG245" s="34" t="s">
        <v>1078</v>
      </c>
      <c r="CH245" s="11" t="s">
        <v>1079</v>
      </c>
      <c r="CI245" s="34" t="s">
        <v>1080</v>
      </c>
      <c r="CJ245" s="35" t="s">
        <v>1081</v>
      </c>
      <c r="CK245" s="34" t="s">
        <v>1082</v>
      </c>
      <c r="CL245" s="26" t="s">
        <v>1083</v>
      </c>
      <c r="CM245" s="12"/>
      <c r="CN245" s="12"/>
      <c r="CO245" s="12"/>
      <c r="CP245" s="12"/>
      <c r="CQ245" s="12"/>
      <c r="CR245" s="12"/>
      <c r="CS245" s="12"/>
      <c r="CT245" s="12"/>
      <c r="CU245" s="12"/>
      <c r="CV245" s="12"/>
      <c r="CW245" s="12"/>
      <c r="CX245" s="12"/>
      <c r="CY245" s="12"/>
      <c r="CZ245" s="12"/>
      <c r="DA245" s="12"/>
      <c r="DB245" s="12"/>
      <c r="DC245" s="12"/>
      <c r="DD245" s="12"/>
    </row>
    <row r="246" ht="22.5" customHeight="1">
      <c r="A246" s="11" t="s">
        <v>995</v>
      </c>
      <c r="B246" s="11" t="s">
        <v>1059</v>
      </c>
      <c r="C246" s="32" t="s">
        <v>3</v>
      </c>
      <c r="D246" s="12"/>
      <c r="E246" s="12"/>
      <c r="F246" s="12"/>
      <c r="G246" s="12"/>
      <c r="H246" s="12"/>
      <c r="I246" s="12"/>
      <c r="J246" s="12"/>
      <c r="K246" s="12"/>
      <c r="L246" s="12"/>
      <c r="M246" s="12"/>
      <c r="N246" s="12"/>
      <c r="O246" s="12"/>
      <c r="P246" s="12"/>
      <c r="Q246" s="12"/>
      <c r="R246" s="12"/>
      <c r="S246" s="12"/>
      <c r="T246" s="12"/>
      <c r="U246" s="12"/>
      <c r="V246" s="12"/>
      <c r="W246" s="12"/>
      <c r="X246" s="12"/>
      <c r="Y246" s="12"/>
      <c r="Z246" s="12"/>
      <c r="AA246" s="12"/>
      <c r="AB246" s="12"/>
      <c r="AC246" s="12"/>
      <c r="AD246" s="12"/>
      <c r="AE246" s="12"/>
      <c r="AF246" s="12"/>
      <c r="AG246" s="12"/>
      <c r="AH246" s="12"/>
      <c r="AI246" s="12"/>
      <c r="AJ246" s="12"/>
      <c r="AK246" s="12"/>
      <c r="AL246" s="12"/>
      <c r="AM246" s="12"/>
      <c r="AN246" s="12"/>
      <c r="AO246" s="12"/>
      <c r="AP246" s="12"/>
      <c r="AQ246" s="12"/>
      <c r="AR246" s="12"/>
      <c r="AS246" s="12"/>
      <c r="AT246" s="12"/>
      <c r="AU246" s="12"/>
      <c r="AV246" s="12"/>
      <c r="AW246" s="12"/>
      <c r="AX246" s="12"/>
      <c r="AY246" s="12"/>
      <c r="AZ246" s="12"/>
      <c r="BA246" s="12"/>
      <c r="BB246" s="12"/>
      <c r="BC246" s="12"/>
      <c r="BD246" s="12"/>
      <c r="BE246" s="12"/>
      <c r="BF246" s="12"/>
      <c r="BG246" s="12"/>
      <c r="BH246" s="12"/>
      <c r="BI246" s="12"/>
      <c r="BJ246" s="12"/>
      <c r="BK246" s="12"/>
      <c r="BL246" s="11"/>
      <c r="BM246" s="22"/>
      <c r="BN246" s="27"/>
      <c r="BO246" s="27"/>
      <c r="BP246" s="27"/>
      <c r="BQ246" s="31"/>
      <c r="BR246" s="30"/>
      <c r="BS246" s="27"/>
      <c r="BT246" s="22"/>
      <c r="BU246" s="11"/>
      <c r="BV246" s="11"/>
      <c r="BW246" s="12"/>
      <c r="BX246" s="12"/>
      <c r="BY246" s="12"/>
      <c r="BZ246" s="12"/>
      <c r="CA246" s="12"/>
      <c r="CB246" s="12"/>
      <c r="CC246" s="12"/>
      <c r="CD246" s="33">
        <v>44985.0</v>
      </c>
      <c r="CE246" s="34" t="s">
        <v>1084</v>
      </c>
      <c r="CF246" s="34" t="s">
        <v>1085</v>
      </c>
      <c r="CG246" s="34" t="s">
        <v>1086</v>
      </c>
      <c r="CH246" s="12"/>
      <c r="CI246" s="34" t="s">
        <v>1087</v>
      </c>
      <c r="CJ246" s="38" t="s">
        <v>1088</v>
      </c>
      <c r="CK246" s="34" t="s">
        <v>1089</v>
      </c>
      <c r="CL246" s="26" t="s">
        <v>1090</v>
      </c>
      <c r="CM246" s="12"/>
      <c r="CN246" s="12"/>
      <c r="CO246" s="12"/>
      <c r="CP246" s="12"/>
      <c r="CQ246" s="12"/>
      <c r="CR246" s="12"/>
      <c r="CS246" s="12"/>
      <c r="CT246" s="12"/>
      <c r="CU246" s="12"/>
      <c r="CV246" s="12"/>
      <c r="CW246" s="12"/>
      <c r="CX246" s="12"/>
      <c r="CY246" s="12"/>
      <c r="CZ246" s="12"/>
      <c r="DA246" s="12"/>
      <c r="DB246" s="12"/>
      <c r="DC246" s="12"/>
      <c r="DD246" s="12"/>
    </row>
    <row r="247" ht="22.5" customHeight="1">
      <c r="A247" s="11" t="s">
        <v>995</v>
      </c>
      <c r="B247" s="11" t="s">
        <v>1059</v>
      </c>
      <c r="C247" s="32" t="s">
        <v>3</v>
      </c>
      <c r="D247" s="12"/>
      <c r="E247" s="12"/>
      <c r="F247" s="12"/>
      <c r="G247" s="12"/>
      <c r="H247" s="12"/>
      <c r="I247" s="12"/>
      <c r="J247" s="12"/>
      <c r="K247" s="12"/>
      <c r="L247" s="12"/>
      <c r="M247" s="12"/>
      <c r="N247" s="12"/>
      <c r="O247" s="12"/>
      <c r="P247" s="12"/>
      <c r="Q247" s="12"/>
      <c r="R247" s="12"/>
      <c r="S247" s="12"/>
      <c r="T247" s="12"/>
      <c r="U247" s="12"/>
      <c r="V247" s="12"/>
      <c r="W247" s="12"/>
      <c r="X247" s="12"/>
      <c r="Y247" s="12"/>
      <c r="Z247" s="12"/>
      <c r="AA247" s="12"/>
      <c r="AB247" s="12"/>
      <c r="AC247" s="12"/>
      <c r="AD247" s="12"/>
      <c r="AE247" s="12"/>
      <c r="AF247" s="12"/>
      <c r="AG247" s="12"/>
      <c r="AH247" s="12"/>
      <c r="AI247" s="12"/>
      <c r="AJ247" s="12"/>
      <c r="AK247" s="12"/>
      <c r="AL247" s="12"/>
      <c r="AM247" s="12"/>
      <c r="AN247" s="12"/>
      <c r="AO247" s="12"/>
      <c r="AP247" s="12"/>
      <c r="AQ247" s="12"/>
      <c r="AR247" s="12"/>
      <c r="AS247" s="12"/>
      <c r="AT247" s="12"/>
      <c r="AU247" s="12"/>
      <c r="AV247" s="12"/>
      <c r="AW247" s="12"/>
      <c r="AX247" s="12"/>
      <c r="AY247" s="12"/>
      <c r="AZ247" s="12"/>
      <c r="BA247" s="12"/>
      <c r="BB247" s="12"/>
      <c r="BC247" s="12"/>
      <c r="BD247" s="12"/>
      <c r="BE247" s="12"/>
      <c r="BF247" s="12"/>
      <c r="BG247" s="12"/>
      <c r="BH247" s="12"/>
      <c r="BI247" s="12"/>
      <c r="BJ247" s="12"/>
      <c r="BK247" s="12"/>
      <c r="BL247" s="11"/>
      <c r="BM247" s="22"/>
      <c r="BN247" s="27"/>
      <c r="BO247" s="27"/>
      <c r="BP247" s="27"/>
      <c r="BQ247" s="31"/>
      <c r="BR247" s="30"/>
      <c r="BS247" s="27"/>
      <c r="BT247" s="22"/>
      <c r="BU247" s="11"/>
      <c r="BV247" s="11"/>
      <c r="BW247" s="12"/>
      <c r="BX247" s="12"/>
      <c r="BY247" s="12"/>
      <c r="BZ247" s="12"/>
      <c r="CA247" s="12"/>
      <c r="CB247" s="12"/>
      <c r="CC247" s="12"/>
      <c r="CD247" s="33">
        <v>44992.0</v>
      </c>
      <c r="CE247" s="34" t="s">
        <v>1091</v>
      </c>
      <c r="CF247" s="34" t="s">
        <v>1092</v>
      </c>
      <c r="CG247" s="34" t="s">
        <v>1093</v>
      </c>
      <c r="CH247" s="12"/>
      <c r="CI247" s="11" t="s">
        <v>1094</v>
      </c>
      <c r="CJ247" s="38" t="s">
        <v>1095</v>
      </c>
      <c r="CK247" s="34" t="s">
        <v>1096</v>
      </c>
      <c r="CL247" s="26" t="s">
        <v>1097</v>
      </c>
      <c r="CM247" s="12"/>
      <c r="CN247" s="12"/>
      <c r="CO247" s="12"/>
      <c r="CP247" s="12"/>
      <c r="CQ247" s="12"/>
      <c r="CR247" s="12"/>
      <c r="CS247" s="12"/>
      <c r="CT247" s="12"/>
      <c r="CU247" s="12"/>
      <c r="CV247" s="12"/>
      <c r="CW247" s="12"/>
      <c r="CX247" s="12"/>
      <c r="CY247" s="12"/>
      <c r="CZ247" s="12"/>
      <c r="DA247" s="12"/>
      <c r="DB247" s="12"/>
      <c r="DC247" s="12"/>
      <c r="DD247" s="12"/>
    </row>
    <row r="248" ht="22.5" customHeight="1">
      <c r="A248" s="11" t="s">
        <v>995</v>
      </c>
      <c r="B248" s="11" t="s">
        <v>1059</v>
      </c>
      <c r="C248" s="32" t="s">
        <v>3</v>
      </c>
      <c r="D248" s="12"/>
      <c r="E248" s="12"/>
      <c r="F248" s="12"/>
      <c r="G248" s="12"/>
      <c r="H248" s="12"/>
      <c r="I248" s="12"/>
      <c r="J248" s="12"/>
      <c r="K248" s="12"/>
      <c r="L248" s="12"/>
      <c r="M248" s="12"/>
      <c r="N248" s="12"/>
      <c r="O248" s="12"/>
      <c r="P248" s="12"/>
      <c r="Q248" s="12"/>
      <c r="R248" s="12"/>
      <c r="S248" s="12"/>
      <c r="T248" s="12"/>
      <c r="U248" s="12"/>
      <c r="V248" s="12"/>
      <c r="W248" s="12"/>
      <c r="X248" s="12"/>
      <c r="Y248" s="12"/>
      <c r="Z248" s="12"/>
      <c r="AA248" s="12"/>
      <c r="AB248" s="12"/>
      <c r="AC248" s="12"/>
      <c r="AD248" s="12"/>
      <c r="AE248" s="12"/>
      <c r="AF248" s="12"/>
      <c r="AG248" s="12"/>
      <c r="AH248" s="12"/>
      <c r="AI248" s="12"/>
      <c r="AJ248" s="12"/>
      <c r="AK248" s="12"/>
      <c r="AL248" s="12"/>
      <c r="AM248" s="12"/>
      <c r="AN248" s="12"/>
      <c r="AO248" s="12"/>
      <c r="AP248" s="12"/>
      <c r="AQ248" s="12"/>
      <c r="AR248" s="12"/>
      <c r="AS248" s="12"/>
      <c r="AT248" s="12"/>
      <c r="AU248" s="12"/>
      <c r="AV248" s="12"/>
      <c r="AW248" s="12"/>
      <c r="AX248" s="12"/>
      <c r="AY248" s="12"/>
      <c r="AZ248" s="12"/>
      <c r="BA248" s="12"/>
      <c r="BB248" s="12"/>
      <c r="BC248" s="12"/>
      <c r="BD248" s="12"/>
      <c r="BE248" s="12"/>
      <c r="BF248" s="12"/>
      <c r="BG248" s="12"/>
      <c r="BH248" s="12"/>
      <c r="BI248" s="12"/>
      <c r="BJ248" s="12"/>
      <c r="BK248" s="12"/>
      <c r="BL248" s="11"/>
      <c r="BM248" s="22"/>
      <c r="BN248" s="27"/>
      <c r="BO248" s="27"/>
      <c r="BP248" s="27"/>
      <c r="BQ248" s="31"/>
      <c r="BR248" s="30"/>
      <c r="BS248" s="27"/>
      <c r="BT248" s="22"/>
      <c r="BU248" s="11"/>
      <c r="BV248" s="11"/>
      <c r="BW248" s="12"/>
      <c r="BX248" s="12"/>
      <c r="BY248" s="12"/>
      <c r="BZ248" s="12"/>
      <c r="CA248" s="12"/>
      <c r="CB248" s="12"/>
      <c r="CC248" s="12"/>
      <c r="CD248" s="33">
        <v>44994.0</v>
      </c>
      <c r="CE248" s="34" t="s">
        <v>1084</v>
      </c>
      <c r="CF248" s="34" t="s">
        <v>1098</v>
      </c>
      <c r="CG248" s="34" t="s">
        <v>1086</v>
      </c>
      <c r="CH248" s="12"/>
      <c r="CI248" s="34" t="s">
        <v>1087</v>
      </c>
      <c r="CJ248" s="38" t="s">
        <v>1099</v>
      </c>
      <c r="CK248" s="34" t="s">
        <v>1100</v>
      </c>
      <c r="CL248" s="26" t="s">
        <v>1101</v>
      </c>
      <c r="CM248" s="12"/>
      <c r="CN248" s="12"/>
      <c r="CO248" s="12"/>
      <c r="CP248" s="12"/>
      <c r="CQ248" s="12"/>
      <c r="CR248" s="12"/>
      <c r="CS248" s="12"/>
      <c r="CT248" s="12"/>
      <c r="CU248" s="12"/>
      <c r="CV248" s="12"/>
      <c r="CW248" s="12"/>
      <c r="CX248" s="12"/>
      <c r="CY248" s="12"/>
      <c r="CZ248" s="12"/>
      <c r="DA248" s="12"/>
      <c r="DB248" s="12"/>
      <c r="DC248" s="12"/>
      <c r="DD248" s="12"/>
    </row>
    <row r="249" ht="22.5" customHeight="1">
      <c r="A249" s="11" t="s">
        <v>995</v>
      </c>
      <c r="B249" s="11" t="s">
        <v>1059</v>
      </c>
      <c r="C249" s="32" t="s">
        <v>3</v>
      </c>
      <c r="D249" s="12"/>
      <c r="E249" s="12"/>
      <c r="F249" s="12"/>
      <c r="G249" s="12"/>
      <c r="H249" s="12"/>
      <c r="I249" s="12"/>
      <c r="J249" s="12"/>
      <c r="K249" s="12"/>
      <c r="L249" s="12"/>
      <c r="M249" s="12"/>
      <c r="N249" s="12"/>
      <c r="O249" s="12"/>
      <c r="P249" s="12"/>
      <c r="Q249" s="12"/>
      <c r="R249" s="12"/>
      <c r="S249" s="12"/>
      <c r="T249" s="12"/>
      <c r="U249" s="12"/>
      <c r="V249" s="12"/>
      <c r="W249" s="12"/>
      <c r="X249" s="12"/>
      <c r="Y249" s="12"/>
      <c r="Z249" s="12"/>
      <c r="AA249" s="12"/>
      <c r="AB249" s="12"/>
      <c r="AC249" s="12"/>
      <c r="AD249" s="12"/>
      <c r="AE249" s="12"/>
      <c r="AF249" s="12"/>
      <c r="AG249" s="12"/>
      <c r="AH249" s="12"/>
      <c r="AI249" s="12"/>
      <c r="AJ249" s="12"/>
      <c r="AK249" s="12"/>
      <c r="AL249" s="12"/>
      <c r="AM249" s="12"/>
      <c r="AN249" s="12"/>
      <c r="AO249" s="12"/>
      <c r="AP249" s="12"/>
      <c r="AQ249" s="12"/>
      <c r="AR249" s="12"/>
      <c r="AS249" s="12"/>
      <c r="AT249" s="12"/>
      <c r="AU249" s="12"/>
      <c r="AV249" s="12"/>
      <c r="AW249" s="12"/>
      <c r="AX249" s="12"/>
      <c r="AY249" s="12"/>
      <c r="AZ249" s="12"/>
      <c r="BA249" s="12"/>
      <c r="BB249" s="12"/>
      <c r="BC249" s="12"/>
      <c r="BD249" s="12"/>
      <c r="BE249" s="12"/>
      <c r="BF249" s="12"/>
      <c r="BG249" s="12"/>
      <c r="BH249" s="12"/>
      <c r="BI249" s="12"/>
      <c r="BJ249" s="12"/>
      <c r="BK249" s="12"/>
      <c r="BL249" s="11"/>
      <c r="BM249" s="22"/>
      <c r="BN249" s="27"/>
      <c r="BO249" s="27"/>
      <c r="BP249" s="27"/>
      <c r="BQ249" s="31"/>
      <c r="BR249" s="30"/>
      <c r="BS249" s="27"/>
      <c r="BT249" s="22"/>
      <c r="BU249" s="11"/>
      <c r="BV249" s="11"/>
      <c r="BW249" s="12"/>
      <c r="BX249" s="12"/>
      <c r="BY249" s="12"/>
      <c r="BZ249" s="12"/>
      <c r="CA249" s="12"/>
      <c r="CB249" s="12"/>
      <c r="CC249" s="12"/>
      <c r="CD249" s="33">
        <v>44995.0</v>
      </c>
      <c r="CE249" s="34" t="s">
        <v>406</v>
      </c>
      <c r="CF249" s="34" t="s">
        <v>1102</v>
      </c>
      <c r="CG249" s="34" t="s">
        <v>266</v>
      </c>
      <c r="CH249" s="34" t="s">
        <v>1103</v>
      </c>
      <c r="CI249" s="34" t="s">
        <v>266</v>
      </c>
      <c r="CJ249" s="38" t="s">
        <v>1104</v>
      </c>
      <c r="CK249" s="34" t="s">
        <v>1105</v>
      </c>
      <c r="CL249" s="26" t="s">
        <v>1106</v>
      </c>
      <c r="CM249" s="12"/>
      <c r="CN249" s="12"/>
      <c r="CO249" s="12"/>
      <c r="CP249" s="12"/>
      <c r="CQ249" s="12"/>
      <c r="CR249" s="12"/>
      <c r="CS249" s="12"/>
      <c r="CT249" s="12"/>
      <c r="CU249" s="12"/>
      <c r="CV249" s="12"/>
      <c r="CW249" s="12"/>
      <c r="CX249" s="12"/>
      <c r="CY249" s="12"/>
      <c r="CZ249" s="12"/>
      <c r="DA249" s="12"/>
      <c r="DB249" s="12"/>
      <c r="DC249" s="12"/>
      <c r="DD249" s="12"/>
    </row>
    <row r="250" ht="22.5" customHeight="1">
      <c r="A250" s="11" t="s">
        <v>995</v>
      </c>
      <c r="B250" s="11" t="s">
        <v>1059</v>
      </c>
      <c r="C250" s="32" t="s">
        <v>3</v>
      </c>
      <c r="D250" s="12"/>
      <c r="E250" s="12"/>
      <c r="F250" s="12"/>
      <c r="G250" s="12"/>
      <c r="H250" s="12"/>
      <c r="I250" s="12"/>
      <c r="J250" s="12"/>
      <c r="K250" s="12"/>
      <c r="L250" s="12"/>
      <c r="M250" s="12"/>
      <c r="N250" s="12"/>
      <c r="O250" s="12"/>
      <c r="P250" s="12"/>
      <c r="Q250" s="12"/>
      <c r="R250" s="12"/>
      <c r="S250" s="12"/>
      <c r="T250" s="12"/>
      <c r="U250" s="12"/>
      <c r="V250" s="12"/>
      <c r="W250" s="12"/>
      <c r="X250" s="12"/>
      <c r="Y250" s="12"/>
      <c r="Z250" s="12"/>
      <c r="AA250" s="12"/>
      <c r="AB250" s="12"/>
      <c r="AC250" s="12"/>
      <c r="AD250" s="12"/>
      <c r="AE250" s="12"/>
      <c r="AF250" s="12"/>
      <c r="AG250" s="12"/>
      <c r="AH250" s="12"/>
      <c r="AI250" s="12"/>
      <c r="AJ250" s="12"/>
      <c r="AK250" s="12"/>
      <c r="AL250" s="12"/>
      <c r="AM250" s="12"/>
      <c r="AN250" s="12"/>
      <c r="AO250" s="12"/>
      <c r="AP250" s="12"/>
      <c r="AQ250" s="12"/>
      <c r="AR250" s="12"/>
      <c r="AS250" s="12"/>
      <c r="AT250" s="12"/>
      <c r="AU250" s="12"/>
      <c r="AV250" s="12"/>
      <c r="AW250" s="12"/>
      <c r="AX250" s="12"/>
      <c r="AY250" s="12"/>
      <c r="AZ250" s="12"/>
      <c r="BA250" s="12"/>
      <c r="BB250" s="12"/>
      <c r="BC250" s="12"/>
      <c r="BD250" s="12"/>
      <c r="BE250" s="12"/>
      <c r="BF250" s="12"/>
      <c r="BG250" s="12"/>
      <c r="BH250" s="12"/>
      <c r="BI250" s="12"/>
      <c r="BJ250" s="12"/>
      <c r="BK250" s="12"/>
      <c r="BL250" s="11"/>
      <c r="BM250" s="22"/>
      <c r="BN250" s="27"/>
      <c r="BO250" s="27"/>
      <c r="BP250" s="27"/>
      <c r="BQ250" s="31"/>
      <c r="BR250" s="30"/>
      <c r="BS250" s="27"/>
      <c r="BT250" s="22"/>
      <c r="BU250" s="11"/>
      <c r="BV250" s="11"/>
      <c r="BW250" s="12"/>
      <c r="BX250" s="12"/>
      <c r="BY250" s="12"/>
      <c r="BZ250" s="12"/>
      <c r="CA250" s="12"/>
      <c r="CB250" s="12"/>
      <c r="CC250" s="12"/>
      <c r="CD250" s="33">
        <v>45001.0</v>
      </c>
      <c r="CE250" s="34" t="s">
        <v>406</v>
      </c>
      <c r="CF250" s="34" t="s">
        <v>1107</v>
      </c>
      <c r="CG250" s="34" t="s">
        <v>266</v>
      </c>
      <c r="CH250" s="34" t="s">
        <v>1108</v>
      </c>
      <c r="CI250" s="34" t="s">
        <v>1109</v>
      </c>
      <c r="CJ250" s="12"/>
      <c r="CK250" s="34" t="s">
        <v>1105</v>
      </c>
      <c r="CL250" s="11"/>
      <c r="CM250" s="12"/>
      <c r="CN250" s="12"/>
      <c r="CO250" s="12"/>
      <c r="CP250" s="12"/>
      <c r="CQ250" s="12"/>
      <c r="CR250" s="12"/>
      <c r="CS250" s="12"/>
      <c r="CT250" s="12"/>
      <c r="CU250" s="12"/>
      <c r="CV250" s="12"/>
      <c r="CW250" s="12"/>
      <c r="CX250" s="12"/>
      <c r="CY250" s="12"/>
      <c r="CZ250" s="12"/>
      <c r="DA250" s="12"/>
      <c r="DB250" s="12"/>
      <c r="DC250" s="12"/>
      <c r="DD250" s="12"/>
    </row>
    <row r="251" ht="22.5" customHeight="1">
      <c r="A251" s="11" t="s">
        <v>995</v>
      </c>
      <c r="B251" s="11" t="s">
        <v>1059</v>
      </c>
      <c r="C251" s="32" t="s">
        <v>3</v>
      </c>
      <c r="D251" s="12"/>
      <c r="E251" s="12"/>
      <c r="F251" s="12"/>
      <c r="G251" s="12"/>
      <c r="H251" s="12"/>
      <c r="I251" s="12"/>
      <c r="J251" s="12"/>
      <c r="K251" s="12"/>
      <c r="L251" s="12"/>
      <c r="M251" s="12"/>
      <c r="N251" s="12"/>
      <c r="O251" s="12"/>
      <c r="P251" s="12"/>
      <c r="Q251" s="12"/>
      <c r="R251" s="12"/>
      <c r="S251" s="12"/>
      <c r="T251" s="12"/>
      <c r="U251" s="12"/>
      <c r="V251" s="12"/>
      <c r="W251" s="12"/>
      <c r="X251" s="12"/>
      <c r="Y251" s="12"/>
      <c r="Z251" s="12"/>
      <c r="AA251" s="12"/>
      <c r="AB251" s="12"/>
      <c r="AC251" s="12"/>
      <c r="AD251" s="12"/>
      <c r="AE251" s="12"/>
      <c r="AF251" s="12"/>
      <c r="AG251" s="12"/>
      <c r="AH251" s="12"/>
      <c r="AI251" s="12"/>
      <c r="AJ251" s="12"/>
      <c r="AK251" s="12"/>
      <c r="AL251" s="12"/>
      <c r="AM251" s="12"/>
      <c r="AN251" s="12"/>
      <c r="AO251" s="12"/>
      <c r="AP251" s="12"/>
      <c r="AQ251" s="12"/>
      <c r="AR251" s="12"/>
      <c r="AS251" s="12"/>
      <c r="AT251" s="12"/>
      <c r="AU251" s="12"/>
      <c r="AV251" s="12"/>
      <c r="AW251" s="12"/>
      <c r="AX251" s="12"/>
      <c r="AY251" s="12"/>
      <c r="AZ251" s="12"/>
      <c r="BA251" s="12"/>
      <c r="BB251" s="12"/>
      <c r="BC251" s="12"/>
      <c r="BD251" s="12"/>
      <c r="BE251" s="12"/>
      <c r="BF251" s="12"/>
      <c r="BG251" s="12"/>
      <c r="BH251" s="12"/>
      <c r="BI251" s="12"/>
      <c r="BJ251" s="12"/>
      <c r="BK251" s="12"/>
      <c r="BL251" s="11"/>
      <c r="BM251" s="22"/>
      <c r="BN251" s="27"/>
      <c r="BO251" s="27"/>
      <c r="BP251" s="27"/>
      <c r="BQ251" s="31"/>
      <c r="BR251" s="30"/>
      <c r="BS251" s="27"/>
      <c r="BT251" s="22"/>
      <c r="BU251" s="11"/>
      <c r="BV251" s="11"/>
      <c r="BW251" s="12"/>
      <c r="BX251" s="12"/>
      <c r="BY251" s="12"/>
      <c r="BZ251" s="12"/>
      <c r="CA251" s="12"/>
      <c r="CB251" s="12"/>
      <c r="CC251" s="12"/>
      <c r="CD251" s="33">
        <v>45001.0</v>
      </c>
      <c r="CE251" s="12"/>
      <c r="CF251" s="34" t="s">
        <v>1110</v>
      </c>
      <c r="CG251" s="34" t="s">
        <v>1078</v>
      </c>
      <c r="CH251" s="12"/>
      <c r="CI251" s="34" t="s">
        <v>1111</v>
      </c>
      <c r="CJ251" s="12"/>
      <c r="CK251" s="34" t="s">
        <v>1105</v>
      </c>
      <c r="CL251" s="11"/>
      <c r="CM251" s="12"/>
      <c r="CN251" s="12"/>
      <c r="CO251" s="12"/>
      <c r="CP251" s="12"/>
      <c r="CQ251" s="12"/>
      <c r="CR251" s="12"/>
      <c r="CS251" s="12"/>
      <c r="CT251" s="12"/>
      <c r="CU251" s="12"/>
      <c r="CV251" s="12"/>
      <c r="CW251" s="12"/>
      <c r="CX251" s="12"/>
      <c r="CY251" s="12"/>
      <c r="CZ251" s="12"/>
      <c r="DA251" s="12"/>
      <c r="DB251" s="12"/>
      <c r="DC251" s="12"/>
      <c r="DD251" s="12"/>
    </row>
    <row r="252" ht="22.5" customHeight="1">
      <c r="A252" s="11" t="s">
        <v>995</v>
      </c>
      <c r="B252" s="11" t="s">
        <v>1059</v>
      </c>
      <c r="C252" s="32" t="s">
        <v>3</v>
      </c>
      <c r="D252" s="12"/>
      <c r="E252" s="12"/>
      <c r="F252" s="12"/>
      <c r="G252" s="12"/>
      <c r="H252" s="12"/>
      <c r="I252" s="12"/>
      <c r="J252" s="12"/>
      <c r="K252" s="12"/>
      <c r="L252" s="12"/>
      <c r="M252" s="12"/>
      <c r="N252" s="12"/>
      <c r="O252" s="12"/>
      <c r="P252" s="12"/>
      <c r="Q252" s="12"/>
      <c r="R252" s="12"/>
      <c r="S252" s="12"/>
      <c r="T252" s="12"/>
      <c r="U252" s="12"/>
      <c r="V252" s="12"/>
      <c r="W252" s="12"/>
      <c r="X252" s="12"/>
      <c r="Y252" s="12"/>
      <c r="Z252" s="12"/>
      <c r="AA252" s="12"/>
      <c r="AB252" s="12"/>
      <c r="AC252" s="12"/>
      <c r="AD252" s="12"/>
      <c r="AE252" s="12"/>
      <c r="AF252" s="12"/>
      <c r="AG252" s="12"/>
      <c r="AH252" s="12"/>
      <c r="AI252" s="12"/>
      <c r="AJ252" s="12"/>
      <c r="AK252" s="12"/>
      <c r="AL252" s="12"/>
      <c r="AM252" s="12"/>
      <c r="AN252" s="12"/>
      <c r="AO252" s="12"/>
      <c r="AP252" s="12"/>
      <c r="AQ252" s="12"/>
      <c r="AR252" s="12"/>
      <c r="AS252" s="12"/>
      <c r="AT252" s="12"/>
      <c r="AU252" s="12"/>
      <c r="AV252" s="12"/>
      <c r="AW252" s="12"/>
      <c r="AX252" s="12"/>
      <c r="AY252" s="12"/>
      <c r="AZ252" s="12"/>
      <c r="BA252" s="12"/>
      <c r="BB252" s="12"/>
      <c r="BC252" s="12"/>
      <c r="BD252" s="12"/>
      <c r="BE252" s="12"/>
      <c r="BF252" s="12"/>
      <c r="BG252" s="12"/>
      <c r="BH252" s="12"/>
      <c r="BI252" s="12"/>
      <c r="BJ252" s="12"/>
      <c r="BK252" s="12"/>
      <c r="BL252" s="11"/>
      <c r="BM252" s="22"/>
      <c r="BN252" s="27"/>
      <c r="BO252" s="27"/>
      <c r="BP252" s="27"/>
      <c r="BQ252" s="31"/>
      <c r="BR252" s="30"/>
      <c r="BS252" s="27"/>
      <c r="BT252" s="22"/>
      <c r="BU252" s="11"/>
      <c r="BV252" s="11"/>
      <c r="BW252" s="12"/>
      <c r="BX252" s="12"/>
      <c r="BY252" s="12"/>
      <c r="BZ252" s="12"/>
      <c r="CA252" s="12"/>
      <c r="CB252" s="12"/>
      <c r="CC252" s="12"/>
      <c r="CD252" s="33">
        <v>45012.0</v>
      </c>
      <c r="CE252" s="34" t="s">
        <v>1112</v>
      </c>
      <c r="CF252" s="34" t="s">
        <v>1113</v>
      </c>
      <c r="CG252" s="34" t="s">
        <v>1114</v>
      </c>
      <c r="CH252" s="12"/>
      <c r="CI252" s="34" t="s">
        <v>1111</v>
      </c>
      <c r="CJ252" s="12"/>
      <c r="CK252" s="34" t="s">
        <v>1105</v>
      </c>
      <c r="CL252" s="11"/>
      <c r="CM252" s="12"/>
      <c r="CN252" s="12"/>
      <c r="CO252" s="12"/>
      <c r="CP252" s="12"/>
      <c r="CQ252" s="12"/>
      <c r="CR252" s="12"/>
      <c r="CS252" s="12"/>
      <c r="CT252" s="12"/>
      <c r="CU252" s="12"/>
      <c r="CV252" s="12"/>
      <c r="CW252" s="12"/>
      <c r="CX252" s="12"/>
      <c r="CY252" s="12"/>
      <c r="CZ252" s="12"/>
      <c r="DA252" s="12"/>
      <c r="DB252" s="12"/>
      <c r="DC252" s="12"/>
      <c r="DD252" s="12"/>
    </row>
    <row r="253" ht="22.5" customHeight="1">
      <c r="A253" s="11" t="s">
        <v>995</v>
      </c>
      <c r="B253" s="11" t="s">
        <v>1059</v>
      </c>
      <c r="C253" s="32" t="s">
        <v>3</v>
      </c>
      <c r="D253" s="12"/>
      <c r="E253" s="12"/>
      <c r="F253" s="12"/>
      <c r="G253" s="12"/>
      <c r="H253" s="12"/>
      <c r="I253" s="12"/>
      <c r="J253" s="12"/>
      <c r="K253" s="12"/>
      <c r="L253" s="12"/>
      <c r="M253" s="12"/>
      <c r="N253" s="12"/>
      <c r="O253" s="12"/>
      <c r="P253" s="12"/>
      <c r="Q253" s="12"/>
      <c r="R253" s="12"/>
      <c r="S253" s="12"/>
      <c r="T253" s="12"/>
      <c r="U253" s="12"/>
      <c r="V253" s="12"/>
      <c r="W253" s="12"/>
      <c r="X253" s="12"/>
      <c r="Y253" s="12"/>
      <c r="Z253" s="12"/>
      <c r="AA253" s="12"/>
      <c r="AB253" s="12"/>
      <c r="AC253" s="12"/>
      <c r="AD253" s="12"/>
      <c r="AE253" s="12"/>
      <c r="AF253" s="12"/>
      <c r="AG253" s="12"/>
      <c r="AH253" s="12"/>
      <c r="AI253" s="12"/>
      <c r="AJ253" s="12"/>
      <c r="AK253" s="12"/>
      <c r="AL253" s="12"/>
      <c r="AM253" s="12"/>
      <c r="AN253" s="12"/>
      <c r="AO253" s="12"/>
      <c r="AP253" s="12"/>
      <c r="AQ253" s="12"/>
      <c r="AR253" s="12"/>
      <c r="AS253" s="12"/>
      <c r="AT253" s="12"/>
      <c r="AU253" s="12"/>
      <c r="AV253" s="12"/>
      <c r="AW253" s="12"/>
      <c r="AX253" s="12"/>
      <c r="AY253" s="12"/>
      <c r="AZ253" s="12"/>
      <c r="BA253" s="12"/>
      <c r="BB253" s="12"/>
      <c r="BC253" s="12"/>
      <c r="BD253" s="12"/>
      <c r="BE253" s="12"/>
      <c r="BF253" s="12"/>
      <c r="BG253" s="12"/>
      <c r="BH253" s="12"/>
      <c r="BI253" s="12"/>
      <c r="BJ253" s="12"/>
      <c r="BK253" s="12"/>
      <c r="BL253" s="11"/>
      <c r="BM253" s="22"/>
      <c r="BN253" s="27"/>
      <c r="BO253" s="27"/>
      <c r="BP253" s="27"/>
      <c r="BQ253" s="31"/>
      <c r="BR253" s="30"/>
      <c r="BS253" s="27"/>
      <c r="BT253" s="22"/>
      <c r="BU253" s="11"/>
      <c r="BV253" s="11"/>
      <c r="BW253" s="12"/>
      <c r="BX253" s="12"/>
      <c r="BY253" s="12"/>
      <c r="BZ253" s="12"/>
      <c r="CA253" s="12"/>
      <c r="CB253" s="12"/>
      <c r="CC253" s="12"/>
      <c r="CD253" s="33">
        <v>45027.0</v>
      </c>
      <c r="CE253" s="34" t="s">
        <v>1115</v>
      </c>
      <c r="CF253" s="34" t="s">
        <v>1116</v>
      </c>
      <c r="CG253" s="34" t="s">
        <v>266</v>
      </c>
      <c r="CH253" s="34" t="s">
        <v>912</v>
      </c>
      <c r="CI253" s="34" t="s">
        <v>266</v>
      </c>
      <c r="CJ253" s="12"/>
      <c r="CK253" s="34" t="s">
        <v>1105</v>
      </c>
      <c r="CL253" s="11"/>
      <c r="CM253" s="12"/>
      <c r="CN253" s="12"/>
      <c r="CO253" s="12"/>
      <c r="CP253" s="12"/>
      <c r="CQ253" s="12"/>
      <c r="CR253" s="12"/>
      <c r="CS253" s="12"/>
      <c r="CT253" s="12"/>
      <c r="CU253" s="12"/>
      <c r="CV253" s="12"/>
      <c r="CW253" s="12"/>
      <c r="CX253" s="12"/>
      <c r="CY253" s="12"/>
      <c r="CZ253" s="12"/>
      <c r="DA253" s="12"/>
      <c r="DB253" s="12"/>
      <c r="DC253" s="12"/>
      <c r="DD253" s="12"/>
    </row>
    <row r="254" ht="22.5" customHeight="1">
      <c r="A254" s="11" t="s">
        <v>995</v>
      </c>
      <c r="B254" s="11" t="s">
        <v>1059</v>
      </c>
      <c r="C254" s="32" t="s">
        <v>3</v>
      </c>
      <c r="D254" s="12"/>
      <c r="E254" s="12"/>
      <c r="F254" s="12"/>
      <c r="G254" s="12"/>
      <c r="H254" s="12"/>
      <c r="I254" s="12"/>
      <c r="J254" s="12"/>
      <c r="K254" s="12"/>
      <c r="L254" s="12"/>
      <c r="M254" s="12"/>
      <c r="N254" s="12"/>
      <c r="O254" s="12"/>
      <c r="P254" s="12"/>
      <c r="Q254" s="12"/>
      <c r="R254" s="12"/>
      <c r="S254" s="12"/>
      <c r="T254" s="12"/>
      <c r="U254" s="12"/>
      <c r="V254" s="12"/>
      <c r="W254" s="12"/>
      <c r="X254" s="12"/>
      <c r="Y254" s="12"/>
      <c r="Z254" s="12"/>
      <c r="AA254" s="12"/>
      <c r="AB254" s="12"/>
      <c r="AC254" s="12"/>
      <c r="AD254" s="12"/>
      <c r="AE254" s="12"/>
      <c r="AF254" s="12"/>
      <c r="AG254" s="12"/>
      <c r="AH254" s="12"/>
      <c r="AI254" s="12"/>
      <c r="AJ254" s="12"/>
      <c r="AK254" s="12"/>
      <c r="AL254" s="12"/>
      <c r="AM254" s="12"/>
      <c r="AN254" s="12"/>
      <c r="AO254" s="12"/>
      <c r="AP254" s="12"/>
      <c r="AQ254" s="12"/>
      <c r="AR254" s="12"/>
      <c r="AS254" s="12"/>
      <c r="AT254" s="12"/>
      <c r="AU254" s="12"/>
      <c r="AV254" s="12"/>
      <c r="AW254" s="12"/>
      <c r="AX254" s="12"/>
      <c r="AY254" s="12"/>
      <c r="AZ254" s="12"/>
      <c r="BA254" s="12"/>
      <c r="BB254" s="12"/>
      <c r="BC254" s="12"/>
      <c r="BD254" s="12"/>
      <c r="BE254" s="12"/>
      <c r="BF254" s="12"/>
      <c r="BG254" s="12"/>
      <c r="BH254" s="12"/>
      <c r="BI254" s="12"/>
      <c r="BJ254" s="12"/>
      <c r="BK254" s="12"/>
      <c r="BL254" s="11"/>
      <c r="BM254" s="22"/>
      <c r="BN254" s="27"/>
      <c r="BO254" s="27"/>
      <c r="BP254" s="27"/>
      <c r="BQ254" s="31"/>
      <c r="BR254" s="30"/>
      <c r="BS254" s="27"/>
      <c r="BT254" s="22"/>
      <c r="BU254" s="11"/>
      <c r="BV254" s="11"/>
      <c r="BW254" s="12"/>
      <c r="BX254" s="12"/>
      <c r="BY254" s="12"/>
      <c r="BZ254" s="12"/>
      <c r="CA254" s="12"/>
      <c r="CB254" s="12"/>
      <c r="CC254" s="12"/>
      <c r="CD254" s="33">
        <v>45027.0</v>
      </c>
      <c r="CE254" s="34" t="s">
        <v>1117</v>
      </c>
      <c r="CF254" s="34" t="s">
        <v>1118</v>
      </c>
      <c r="CG254" s="34" t="s">
        <v>1093</v>
      </c>
      <c r="CH254" s="34" t="s">
        <v>1119</v>
      </c>
      <c r="CI254" s="34" t="s">
        <v>1120</v>
      </c>
      <c r="CJ254" s="35" t="s">
        <v>1121</v>
      </c>
      <c r="CK254" s="12"/>
      <c r="CL254" s="26" t="s">
        <v>1122</v>
      </c>
      <c r="CM254" s="12"/>
      <c r="CN254" s="12"/>
      <c r="CO254" s="12"/>
      <c r="CP254" s="12"/>
      <c r="CQ254" s="12"/>
      <c r="CR254" s="12"/>
      <c r="CS254" s="12"/>
      <c r="CT254" s="12"/>
      <c r="CU254" s="12"/>
      <c r="CV254" s="12"/>
      <c r="CW254" s="12"/>
      <c r="CX254" s="12"/>
      <c r="CY254" s="12"/>
      <c r="CZ254" s="12"/>
      <c r="DA254" s="12"/>
      <c r="DB254" s="12"/>
      <c r="DC254" s="12"/>
      <c r="DD254" s="12"/>
    </row>
    <row r="255" ht="22.5" customHeight="1">
      <c r="A255" s="11" t="s">
        <v>995</v>
      </c>
      <c r="B255" s="11" t="s">
        <v>1059</v>
      </c>
      <c r="C255" s="32" t="s">
        <v>3</v>
      </c>
      <c r="D255" s="12"/>
      <c r="E255" s="12"/>
      <c r="F255" s="12"/>
      <c r="G255" s="12"/>
      <c r="H255" s="12"/>
      <c r="I255" s="12"/>
      <c r="J255" s="12"/>
      <c r="K255" s="12"/>
      <c r="L255" s="12"/>
      <c r="M255" s="12"/>
      <c r="N255" s="12"/>
      <c r="O255" s="12"/>
      <c r="P255" s="12"/>
      <c r="Q255" s="12"/>
      <c r="R255" s="12"/>
      <c r="S255" s="12"/>
      <c r="T255" s="12"/>
      <c r="U255" s="12"/>
      <c r="V255" s="12"/>
      <c r="W255" s="12"/>
      <c r="X255" s="12"/>
      <c r="Y255" s="12"/>
      <c r="Z255" s="12"/>
      <c r="AA255" s="12"/>
      <c r="AB255" s="12"/>
      <c r="AC255" s="12"/>
      <c r="AD255" s="12"/>
      <c r="AE255" s="12"/>
      <c r="AF255" s="12"/>
      <c r="AG255" s="12"/>
      <c r="AH255" s="12"/>
      <c r="AI255" s="12"/>
      <c r="AJ255" s="12"/>
      <c r="AK255" s="12"/>
      <c r="AL255" s="12"/>
      <c r="AM255" s="12"/>
      <c r="AN255" s="12"/>
      <c r="AO255" s="12"/>
      <c r="AP255" s="12"/>
      <c r="AQ255" s="12"/>
      <c r="AR255" s="12"/>
      <c r="AS255" s="12"/>
      <c r="AT255" s="12"/>
      <c r="AU255" s="12"/>
      <c r="AV255" s="12"/>
      <c r="AW255" s="12"/>
      <c r="AX255" s="12"/>
      <c r="AY255" s="12"/>
      <c r="AZ255" s="12"/>
      <c r="BA255" s="12"/>
      <c r="BB255" s="12"/>
      <c r="BC255" s="12"/>
      <c r="BD255" s="12"/>
      <c r="BE255" s="12"/>
      <c r="BF255" s="12"/>
      <c r="BG255" s="12"/>
      <c r="BH255" s="12"/>
      <c r="BI255" s="12"/>
      <c r="BJ255" s="12"/>
      <c r="BK255" s="12"/>
      <c r="BL255" s="11"/>
      <c r="BM255" s="22"/>
      <c r="BN255" s="27"/>
      <c r="BO255" s="27"/>
      <c r="BP255" s="27"/>
      <c r="BQ255" s="31"/>
      <c r="BR255" s="30"/>
      <c r="BS255" s="27"/>
      <c r="BT255" s="22"/>
      <c r="BU255" s="11"/>
      <c r="BV255" s="11"/>
      <c r="BW255" s="12"/>
      <c r="BX255" s="12"/>
      <c r="BY255" s="12"/>
      <c r="BZ255" s="12"/>
      <c r="CA255" s="12"/>
      <c r="CB255" s="12"/>
      <c r="CC255" s="12"/>
      <c r="CD255" s="33">
        <v>45029.0</v>
      </c>
      <c r="CE255" s="34" t="s">
        <v>1091</v>
      </c>
      <c r="CF255" s="34" t="s">
        <v>1123</v>
      </c>
      <c r="CG255" s="34" t="s">
        <v>266</v>
      </c>
      <c r="CH255" s="34" t="s">
        <v>1124</v>
      </c>
      <c r="CI255" s="34" t="s">
        <v>1123</v>
      </c>
      <c r="CJ255" s="12"/>
      <c r="CK255" s="34" t="s">
        <v>1105</v>
      </c>
      <c r="CL255" s="11"/>
      <c r="CM255" s="12"/>
      <c r="CN255" s="12"/>
      <c r="CO255" s="12"/>
      <c r="CP255" s="12"/>
      <c r="CQ255" s="12"/>
      <c r="CR255" s="12"/>
      <c r="CS255" s="12"/>
      <c r="CT255" s="12"/>
      <c r="CU255" s="12"/>
      <c r="CV255" s="12"/>
      <c r="CW255" s="12"/>
      <c r="CX255" s="12"/>
      <c r="CY255" s="12"/>
      <c r="CZ255" s="12"/>
      <c r="DA255" s="12"/>
      <c r="DB255" s="12"/>
      <c r="DC255" s="12"/>
      <c r="DD255" s="12"/>
    </row>
    <row r="256" ht="22.5" customHeight="1">
      <c r="A256" s="11" t="s">
        <v>995</v>
      </c>
      <c r="B256" s="11" t="s">
        <v>1059</v>
      </c>
      <c r="C256" s="32" t="s">
        <v>3</v>
      </c>
      <c r="D256" s="12"/>
      <c r="E256" s="12"/>
      <c r="F256" s="12"/>
      <c r="G256" s="12"/>
      <c r="H256" s="12"/>
      <c r="I256" s="12"/>
      <c r="J256" s="12"/>
      <c r="K256" s="12"/>
      <c r="L256" s="12"/>
      <c r="M256" s="12"/>
      <c r="N256" s="12"/>
      <c r="O256" s="12"/>
      <c r="P256" s="12"/>
      <c r="Q256" s="12"/>
      <c r="R256" s="12"/>
      <c r="S256" s="12"/>
      <c r="T256" s="12"/>
      <c r="U256" s="12"/>
      <c r="V256" s="12"/>
      <c r="W256" s="12"/>
      <c r="X256" s="12"/>
      <c r="Y256" s="12"/>
      <c r="Z256" s="12"/>
      <c r="AA256" s="12"/>
      <c r="AB256" s="12"/>
      <c r="AC256" s="12"/>
      <c r="AD256" s="12"/>
      <c r="AE256" s="12"/>
      <c r="AF256" s="12"/>
      <c r="AG256" s="12"/>
      <c r="AH256" s="12"/>
      <c r="AI256" s="12"/>
      <c r="AJ256" s="12"/>
      <c r="AK256" s="12"/>
      <c r="AL256" s="12"/>
      <c r="AM256" s="12"/>
      <c r="AN256" s="12"/>
      <c r="AO256" s="12"/>
      <c r="AP256" s="12"/>
      <c r="AQ256" s="12"/>
      <c r="AR256" s="12"/>
      <c r="AS256" s="12"/>
      <c r="AT256" s="12"/>
      <c r="AU256" s="12"/>
      <c r="AV256" s="12"/>
      <c r="AW256" s="12"/>
      <c r="AX256" s="12"/>
      <c r="AY256" s="12"/>
      <c r="AZ256" s="12"/>
      <c r="BA256" s="12"/>
      <c r="BB256" s="12"/>
      <c r="BC256" s="12"/>
      <c r="BD256" s="12"/>
      <c r="BE256" s="12"/>
      <c r="BF256" s="12"/>
      <c r="BG256" s="12"/>
      <c r="BH256" s="12"/>
      <c r="BI256" s="12"/>
      <c r="BJ256" s="12"/>
      <c r="BK256" s="12"/>
      <c r="BL256" s="11"/>
      <c r="BM256" s="22"/>
      <c r="BN256" s="27"/>
      <c r="BO256" s="27"/>
      <c r="BP256" s="27"/>
      <c r="BQ256" s="31"/>
      <c r="BR256" s="30"/>
      <c r="BS256" s="27"/>
      <c r="BT256" s="22"/>
      <c r="BU256" s="11"/>
      <c r="BV256" s="11"/>
      <c r="BW256" s="12"/>
      <c r="BX256" s="12"/>
      <c r="BY256" s="12"/>
      <c r="BZ256" s="12"/>
      <c r="CA256" s="12"/>
      <c r="CB256" s="12"/>
      <c r="CC256" s="12"/>
      <c r="CD256" s="33">
        <v>45035.0</v>
      </c>
      <c r="CE256" s="34" t="s">
        <v>406</v>
      </c>
      <c r="CF256" s="11" t="s">
        <v>1125</v>
      </c>
      <c r="CG256" s="34" t="s">
        <v>266</v>
      </c>
      <c r="CH256" s="34" t="s">
        <v>1126</v>
      </c>
      <c r="CI256" s="34" t="s">
        <v>266</v>
      </c>
      <c r="CJ256" s="12"/>
      <c r="CK256" s="34" t="s">
        <v>1105</v>
      </c>
      <c r="CL256" s="11"/>
      <c r="CM256" s="12"/>
      <c r="CN256" s="12"/>
      <c r="CO256" s="12"/>
      <c r="CP256" s="12"/>
      <c r="CQ256" s="12"/>
      <c r="CR256" s="12"/>
      <c r="CS256" s="12"/>
      <c r="CT256" s="12"/>
      <c r="CU256" s="12"/>
      <c r="CV256" s="12"/>
      <c r="CW256" s="12"/>
      <c r="CX256" s="12"/>
      <c r="CY256" s="12"/>
      <c r="CZ256" s="12"/>
      <c r="DA256" s="12"/>
      <c r="DB256" s="12"/>
      <c r="DC256" s="12"/>
      <c r="DD256" s="12"/>
    </row>
    <row r="257" ht="22.5" customHeight="1">
      <c r="A257" s="11" t="s">
        <v>995</v>
      </c>
      <c r="B257" s="11" t="s">
        <v>1059</v>
      </c>
      <c r="C257" s="32" t="s">
        <v>3</v>
      </c>
      <c r="D257" s="12"/>
      <c r="E257" s="12"/>
      <c r="F257" s="12"/>
      <c r="G257" s="12"/>
      <c r="H257" s="12"/>
      <c r="I257" s="12"/>
      <c r="J257" s="12"/>
      <c r="K257" s="12"/>
      <c r="L257" s="12"/>
      <c r="M257" s="12"/>
      <c r="N257" s="12"/>
      <c r="O257" s="12"/>
      <c r="P257" s="12"/>
      <c r="Q257" s="12"/>
      <c r="R257" s="12"/>
      <c r="S257" s="12"/>
      <c r="T257" s="12"/>
      <c r="U257" s="12"/>
      <c r="V257" s="12"/>
      <c r="W257" s="12"/>
      <c r="X257" s="12"/>
      <c r="Y257" s="12"/>
      <c r="Z257" s="12"/>
      <c r="AA257" s="12"/>
      <c r="AB257" s="12"/>
      <c r="AC257" s="12"/>
      <c r="AD257" s="12"/>
      <c r="AE257" s="12"/>
      <c r="AF257" s="12"/>
      <c r="AG257" s="12"/>
      <c r="AH257" s="12"/>
      <c r="AI257" s="12"/>
      <c r="AJ257" s="12"/>
      <c r="AK257" s="12"/>
      <c r="AL257" s="12"/>
      <c r="AM257" s="12"/>
      <c r="AN257" s="12"/>
      <c r="AO257" s="12"/>
      <c r="AP257" s="12"/>
      <c r="AQ257" s="12"/>
      <c r="AR257" s="12"/>
      <c r="AS257" s="12"/>
      <c r="AT257" s="12"/>
      <c r="AU257" s="12"/>
      <c r="AV257" s="12"/>
      <c r="AW257" s="12"/>
      <c r="AX257" s="12"/>
      <c r="AY257" s="12"/>
      <c r="AZ257" s="12"/>
      <c r="BA257" s="12"/>
      <c r="BB257" s="12"/>
      <c r="BC257" s="12"/>
      <c r="BD257" s="12"/>
      <c r="BE257" s="12"/>
      <c r="BF257" s="12"/>
      <c r="BG257" s="12"/>
      <c r="BH257" s="12"/>
      <c r="BI257" s="12"/>
      <c r="BJ257" s="12"/>
      <c r="BK257" s="12"/>
      <c r="BL257" s="11"/>
      <c r="BM257" s="22"/>
      <c r="BN257" s="27"/>
      <c r="BO257" s="27"/>
      <c r="BP257" s="27"/>
      <c r="BQ257" s="31"/>
      <c r="BR257" s="30"/>
      <c r="BS257" s="27"/>
      <c r="BT257" s="22"/>
      <c r="BU257" s="11"/>
      <c r="BV257" s="11"/>
      <c r="BW257" s="12"/>
      <c r="BX257" s="12"/>
      <c r="BY257" s="12"/>
      <c r="BZ257" s="12"/>
      <c r="CA257" s="12"/>
      <c r="CB257" s="12"/>
      <c r="CC257" s="12"/>
      <c r="CD257" s="33">
        <v>45035.0</v>
      </c>
      <c r="CE257" s="34" t="s">
        <v>406</v>
      </c>
      <c r="CF257" s="34" t="s">
        <v>1127</v>
      </c>
      <c r="CG257" s="34" t="s">
        <v>266</v>
      </c>
      <c r="CH257" s="11" t="s">
        <v>1128</v>
      </c>
      <c r="CI257" s="34" t="s">
        <v>266</v>
      </c>
      <c r="CJ257" s="38" t="s">
        <v>1129</v>
      </c>
      <c r="CK257" s="34" t="s">
        <v>1105</v>
      </c>
      <c r="CL257" s="26" t="s">
        <v>1130</v>
      </c>
      <c r="CM257" s="12"/>
      <c r="CN257" s="12"/>
      <c r="CO257" s="12"/>
      <c r="CP257" s="12"/>
      <c r="CQ257" s="12"/>
      <c r="CR257" s="12"/>
      <c r="CS257" s="12"/>
      <c r="CT257" s="12"/>
      <c r="CU257" s="12"/>
      <c r="CV257" s="12"/>
      <c r="CW257" s="12"/>
      <c r="CX257" s="12"/>
      <c r="CY257" s="12"/>
      <c r="CZ257" s="12"/>
      <c r="DA257" s="12"/>
      <c r="DB257" s="12"/>
      <c r="DC257" s="12"/>
      <c r="DD257" s="12"/>
    </row>
    <row r="258" ht="22.5" customHeight="1">
      <c r="A258" s="11" t="s">
        <v>995</v>
      </c>
      <c r="B258" s="11" t="s">
        <v>1059</v>
      </c>
      <c r="C258" s="32" t="s">
        <v>3</v>
      </c>
      <c r="D258" s="12"/>
      <c r="E258" s="12"/>
      <c r="F258" s="12"/>
      <c r="G258" s="12"/>
      <c r="H258" s="12"/>
      <c r="I258" s="12"/>
      <c r="J258" s="12"/>
      <c r="K258" s="12"/>
      <c r="L258" s="12"/>
      <c r="M258" s="12"/>
      <c r="N258" s="12"/>
      <c r="O258" s="12"/>
      <c r="P258" s="12"/>
      <c r="Q258" s="12"/>
      <c r="R258" s="12"/>
      <c r="S258" s="12"/>
      <c r="T258" s="12"/>
      <c r="U258" s="12"/>
      <c r="V258" s="12"/>
      <c r="W258" s="12"/>
      <c r="X258" s="12"/>
      <c r="Y258" s="12"/>
      <c r="Z258" s="12"/>
      <c r="AA258" s="12"/>
      <c r="AB258" s="12"/>
      <c r="AC258" s="12"/>
      <c r="AD258" s="12"/>
      <c r="AE258" s="12"/>
      <c r="AF258" s="12"/>
      <c r="AG258" s="12"/>
      <c r="AH258" s="12"/>
      <c r="AI258" s="12"/>
      <c r="AJ258" s="12"/>
      <c r="AK258" s="12"/>
      <c r="AL258" s="12"/>
      <c r="AM258" s="12"/>
      <c r="AN258" s="12"/>
      <c r="AO258" s="12"/>
      <c r="AP258" s="12"/>
      <c r="AQ258" s="12"/>
      <c r="AR258" s="12"/>
      <c r="AS258" s="12"/>
      <c r="AT258" s="12"/>
      <c r="AU258" s="12"/>
      <c r="AV258" s="12"/>
      <c r="AW258" s="12"/>
      <c r="AX258" s="12"/>
      <c r="AY258" s="12"/>
      <c r="AZ258" s="12"/>
      <c r="BA258" s="12"/>
      <c r="BB258" s="12"/>
      <c r="BC258" s="12"/>
      <c r="BD258" s="12"/>
      <c r="BE258" s="12"/>
      <c r="BF258" s="12"/>
      <c r="BG258" s="12"/>
      <c r="BH258" s="12"/>
      <c r="BI258" s="12"/>
      <c r="BJ258" s="12"/>
      <c r="BK258" s="12"/>
      <c r="BL258" s="11"/>
      <c r="BM258" s="22"/>
      <c r="BN258" s="27"/>
      <c r="BO258" s="27"/>
      <c r="BP258" s="27"/>
      <c r="BQ258" s="31"/>
      <c r="BR258" s="30"/>
      <c r="BS258" s="27"/>
      <c r="BT258" s="22"/>
      <c r="BU258" s="11"/>
      <c r="BV258" s="11"/>
      <c r="BW258" s="12"/>
      <c r="BX258" s="12"/>
      <c r="BY258" s="12"/>
      <c r="BZ258" s="12"/>
      <c r="CA258" s="12"/>
      <c r="CB258" s="12"/>
      <c r="CC258" s="12"/>
      <c r="CD258" s="33">
        <v>45048.0</v>
      </c>
      <c r="CE258" s="34" t="s">
        <v>406</v>
      </c>
      <c r="CF258" s="34" t="s">
        <v>1131</v>
      </c>
      <c r="CG258" s="34" t="s">
        <v>1111</v>
      </c>
      <c r="CH258" s="34" t="s">
        <v>1132</v>
      </c>
      <c r="CI258" s="34" t="s">
        <v>1133</v>
      </c>
      <c r="CJ258" s="12"/>
      <c r="CK258" s="34" t="s">
        <v>1134</v>
      </c>
      <c r="CL258" s="11"/>
      <c r="CM258" s="12"/>
      <c r="CN258" s="12"/>
      <c r="CO258" s="12"/>
      <c r="CP258" s="12"/>
      <c r="CQ258" s="12"/>
      <c r="CR258" s="12"/>
      <c r="CS258" s="12"/>
      <c r="CT258" s="12"/>
      <c r="CU258" s="12"/>
      <c r="CV258" s="12"/>
      <c r="CW258" s="12"/>
      <c r="CX258" s="12"/>
      <c r="CY258" s="12"/>
      <c r="CZ258" s="12"/>
      <c r="DA258" s="12"/>
      <c r="DB258" s="12"/>
      <c r="DC258" s="12"/>
      <c r="DD258" s="12"/>
    </row>
    <row r="259" ht="22.5" customHeight="1">
      <c r="A259" s="11" t="s">
        <v>995</v>
      </c>
      <c r="B259" s="11" t="s">
        <v>1059</v>
      </c>
      <c r="C259" s="32" t="s">
        <v>3</v>
      </c>
      <c r="D259" s="12"/>
      <c r="E259" s="12"/>
      <c r="F259" s="12"/>
      <c r="G259" s="12"/>
      <c r="H259" s="12"/>
      <c r="I259" s="12"/>
      <c r="J259" s="12"/>
      <c r="K259" s="12"/>
      <c r="L259" s="12"/>
      <c r="M259" s="12"/>
      <c r="N259" s="12"/>
      <c r="O259" s="12"/>
      <c r="P259" s="12"/>
      <c r="Q259" s="12"/>
      <c r="R259" s="12"/>
      <c r="S259" s="12"/>
      <c r="T259" s="12"/>
      <c r="U259" s="12"/>
      <c r="V259" s="12"/>
      <c r="W259" s="12"/>
      <c r="X259" s="12"/>
      <c r="Y259" s="12"/>
      <c r="Z259" s="12"/>
      <c r="AA259" s="12"/>
      <c r="AB259" s="12"/>
      <c r="AC259" s="12"/>
      <c r="AD259" s="12"/>
      <c r="AE259" s="12"/>
      <c r="AF259" s="12"/>
      <c r="AG259" s="12"/>
      <c r="AH259" s="12"/>
      <c r="AI259" s="12"/>
      <c r="AJ259" s="12"/>
      <c r="AK259" s="12"/>
      <c r="AL259" s="12"/>
      <c r="AM259" s="12"/>
      <c r="AN259" s="12"/>
      <c r="AO259" s="12"/>
      <c r="AP259" s="12"/>
      <c r="AQ259" s="12"/>
      <c r="AR259" s="12"/>
      <c r="AS259" s="12"/>
      <c r="AT259" s="12"/>
      <c r="AU259" s="12"/>
      <c r="AV259" s="12"/>
      <c r="AW259" s="12"/>
      <c r="AX259" s="12"/>
      <c r="AY259" s="12"/>
      <c r="AZ259" s="12"/>
      <c r="BA259" s="12"/>
      <c r="BB259" s="12"/>
      <c r="BC259" s="12"/>
      <c r="BD259" s="12"/>
      <c r="BE259" s="12"/>
      <c r="BF259" s="12"/>
      <c r="BG259" s="12"/>
      <c r="BH259" s="12"/>
      <c r="BI259" s="12"/>
      <c r="BJ259" s="12"/>
      <c r="BK259" s="12"/>
      <c r="BL259" s="11"/>
      <c r="BM259" s="22"/>
      <c r="BN259" s="27"/>
      <c r="BO259" s="27"/>
      <c r="BP259" s="27"/>
      <c r="BQ259" s="31"/>
      <c r="BR259" s="30"/>
      <c r="BS259" s="27"/>
      <c r="BT259" s="22"/>
      <c r="BU259" s="11"/>
      <c r="BV259" s="11"/>
      <c r="BW259" s="12"/>
      <c r="BX259" s="12"/>
      <c r="BY259" s="12"/>
      <c r="BZ259" s="12"/>
      <c r="CA259" s="12"/>
      <c r="CB259" s="12"/>
      <c r="CC259" s="12"/>
      <c r="CD259" s="33">
        <v>45054.0</v>
      </c>
      <c r="CE259" s="34" t="s">
        <v>406</v>
      </c>
      <c r="CF259" s="34" t="s">
        <v>1135</v>
      </c>
      <c r="CG259" s="34" t="s">
        <v>1111</v>
      </c>
      <c r="CH259" s="34" t="s">
        <v>1136</v>
      </c>
      <c r="CI259" s="34" t="s">
        <v>1137</v>
      </c>
      <c r="CJ259" s="12"/>
      <c r="CK259" s="34" t="s">
        <v>1134</v>
      </c>
      <c r="CL259" s="11"/>
      <c r="CM259" s="12"/>
      <c r="CN259" s="12"/>
      <c r="CO259" s="12"/>
      <c r="CP259" s="12"/>
      <c r="CQ259" s="12"/>
      <c r="CR259" s="12"/>
      <c r="CS259" s="12"/>
      <c r="CT259" s="12"/>
      <c r="CU259" s="12"/>
      <c r="CV259" s="12"/>
      <c r="CW259" s="12"/>
      <c r="CX259" s="12"/>
      <c r="CY259" s="12"/>
      <c r="CZ259" s="12"/>
      <c r="DA259" s="12"/>
      <c r="DB259" s="12"/>
      <c r="DC259" s="12"/>
      <c r="DD259" s="12"/>
    </row>
    <row r="260" ht="22.5" customHeight="1">
      <c r="A260" s="11" t="s">
        <v>995</v>
      </c>
      <c r="B260" s="11" t="s">
        <v>1059</v>
      </c>
      <c r="C260" s="32" t="s">
        <v>3</v>
      </c>
      <c r="D260" s="12"/>
      <c r="E260" s="12"/>
      <c r="F260" s="12"/>
      <c r="G260" s="12"/>
      <c r="H260" s="12"/>
      <c r="I260" s="12"/>
      <c r="J260" s="12"/>
      <c r="K260" s="12"/>
      <c r="L260" s="12"/>
      <c r="M260" s="12"/>
      <c r="N260" s="12"/>
      <c r="O260" s="12"/>
      <c r="P260" s="12"/>
      <c r="Q260" s="12"/>
      <c r="R260" s="12"/>
      <c r="S260" s="12"/>
      <c r="T260" s="12"/>
      <c r="U260" s="12"/>
      <c r="V260" s="12"/>
      <c r="W260" s="12"/>
      <c r="X260" s="12"/>
      <c r="Y260" s="12"/>
      <c r="Z260" s="12"/>
      <c r="AA260" s="12"/>
      <c r="AB260" s="12"/>
      <c r="AC260" s="12"/>
      <c r="AD260" s="12"/>
      <c r="AE260" s="12"/>
      <c r="AF260" s="12"/>
      <c r="AG260" s="12"/>
      <c r="AH260" s="12"/>
      <c r="AI260" s="12"/>
      <c r="AJ260" s="12"/>
      <c r="AK260" s="12"/>
      <c r="AL260" s="12"/>
      <c r="AM260" s="12"/>
      <c r="AN260" s="12"/>
      <c r="AO260" s="12"/>
      <c r="AP260" s="12"/>
      <c r="AQ260" s="12"/>
      <c r="AR260" s="12"/>
      <c r="AS260" s="12"/>
      <c r="AT260" s="12"/>
      <c r="AU260" s="12"/>
      <c r="AV260" s="12"/>
      <c r="AW260" s="12"/>
      <c r="AX260" s="12"/>
      <c r="AY260" s="12"/>
      <c r="AZ260" s="12"/>
      <c r="BA260" s="12"/>
      <c r="BB260" s="12"/>
      <c r="BC260" s="12"/>
      <c r="BD260" s="12"/>
      <c r="BE260" s="12"/>
      <c r="BF260" s="12"/>
      <c r="BG260" s="12"/>
      <c r="BH260" s="12"/>
      <c r="BI260" s="12"/>
      <c r="BJ260" s="12"/>
      <c r="BK260" s="12"/>
      <c r="BL260" s="11"/>
      <c r="BM260" s="22"/>
      <c r="BN260" s="27"/>
      <c r="BO260" s="27"/>
      <c r="BP260" s="27"/>
      <c r="BQ260" s="31"/>
      <c r="BR260" s="30"/>
      <c r="BS260" s="27"/>
      <c r="BT260" s="22"/>
      <c r="BU260" s="11"/>
      <c r="BV260" s="11"/>
      <c r="BW260" s="12"/>
      <c r="BX260" s="12"/>
      <c r="BY260" s="12"/>
      <c r="BZ260" s="12"/>
      <c r="CA260" s="12"/>
      <c r="CB260" s="12"/>
      <c r="CC260" s="12"/>
      <c r="CD260" s="33">
        <v>45062.0</v>
      </c>
      <c r="CE260" s="34" t="s">
        <v>406</v>
      </c>
      <c r="CF260" s="34" t="s">
        <v>1092</v>
      </c>
      <c r="CG260" s="34" t="s">
        <v>1111</v>
      </c>
      <c r="CH260" s="34" t="s">
        <v>919</v>
      </c>
      <c r="CI260" s="34" t="s">
        <v>266</v>
      </c>
      <c r="CJ260" s="12"/>
      <c r="CK260" s="34" t="s">
        <v>1134</v>
      </c>
      <c r="CL260" s="11"/>
      <c r="CM260" s="12"/>
      <c r="CN260" s="12"/>
      <c r="CO260" s="12"/>
      <c r="CP260" s="12"/>
      <c r="CQ260" s="12"/>
      <c r="CR260" s="12"/>
      <c r="CS260" s="12"/>
      <c r="CT260" s="12"/>
      <c r="CU260" s="12"/>
      <c r="CV260" s="12"/>
      <c r="CW260" s="12"/>
      <c r="CX260" s="12"/>
      <c r="CY260" s="12"/>
      <c r="CZ260" s="12"/>
      <c r="DA260" s="12"/>
      <c r="DB260" s="12"/>
      <c r="DC260" s="12"/>
      <c r="DD260" s="12"/>
    </row>
    <row r="261" ht="22.5" customHeight="1">
      <c r="A261" s="11" t="s">
        <v>995</v>
      </c>
      <c r="B261" s="11" t="s">
        <v>1059</v>
      </c>
      <c r="C261" s="32" t="s">
        <v>3</v>
      </c>
      <c r="D261" s="12"/>
      <c r="E261" s="12"/>
      <c r="F261" s="12"/>
      <c r="G261" s="12"/>
      <c r="H261" s="12"/>
      <c r="I261" s="12"/>
      <c r="J261" s="12"/>
      <c r="K261" s="12"/>
      <c r="L261" s="12"/>
      <c r="M261" s="12"/>
      <c r="N261" s="12"/>
      <c r="O261" s="12"/>
      <c r="P261" s="12"/>
      <c r="Q261" s="12"/>
      <c r="R261" s="12"/>
      <c r="S261" s="12"/>
      <c r="T261" s="12"/>
      <c r="U261" s="12"/>
      <c r="V261" s="12"/>
      <c r="W261" s="12"/>
      <c r="X261" s="12"/>
      <c r="Y261" s="12"/>
      <c r="Z261" s="12"/>
      <c r="AA261" s="12"/>
      <c r="AB261" s="12"/>
      <c r="AC261" s="12"/>
      <c r="AD261" s="12"/>
      <c r="AE261" s="12"/>
      <c r="AF261" s="12"/>
      <c r="AG261" s="12"/>
      <c r="AH261" s="12"/>
      <c r="AI261" s="12"/>
      <c r="AJ261" s="12"/>
      <c r="AK261" s="12"/>
      <c r="AL261" s="12"/>
      <c r="AM261" s="12"/>
      <c r="AN261" s="12"/>
      <c r="AO261" s="12"/>
      <c r="AP261" s="12"/>
      <c r="AQ261" s="12"/>
      <c r="AR261" s="12"/>
      <c r="AS261" s="12"/>
      <c r="AT261" s="12"/>
      <c r="AU261" s="12"/>
      <c r="AV261" s="12"/>
      <c r="AW261" s="12"/>
      <c r="AX261" s="12"/>
      <c r="AY261" s="12"/>
      <c r="AZ261" s="12"/>
      <c r="BA261" s="12"/>
      <c r="BB261" s="12"/>
      <c r="BC261" s="12"/>
      <c r="BD261" s="12"/>
      <c r="BE261" s="12"/>
      <c r="BF261" s="12"/>
      <c r="BG261" s="12"/>
      <c r="BH261" s="12"/>
      <c r="BI261" s="12"/>
      <c r="BJ261" s="12"/>
      <c r="BK261" s="12"/>
      <c r="BL261" s="11"/>
      <c r="BM261" s="22"/>
      <c r="BN261" s="27"/>
      <c r="BO261" s="27"/>
      <c r="BP261" s="27"/>
      <c r="BQ261" s="31"/>
      <c r="BR261" s="30"/>
      <c r="BS261" s="27"/>
      <c r="BT261" s="22"/>
      <c r="BU261" s="11"/>
      <c r="BV261" s="11"/>
      <c r="BW261" s="12"/>
      <c r="BX261" s="12"/>
      <c r="BY261" s="12"/>
      <c r="BZ261" s="12"/>
      <c r="CA261" s="12"/>
      <c r="CB261" s="12"/>
      <c r="CC261" s="12"/>
      <c r="CD261" s="33">
        <v>45076.0</v>
      </c>
      <c r="CE261" s="34" t="s">
        <v>406</v>
      </c>
      <c r="CF261" s="34" t="s">
        <v>1138</v>
      </c>
      <c r="CG261" s="11" t="s">
        <v>1139</v>
      </c>
      <c r="CH261" s="34" t="s">
        <v>1140</v>
      </c>
      <c r="CI261" s="34" t="s">
        <v>1141</v>
      </c>
      <c r="CJ261" s="38" t="s">
        <v>1142</v>
      </c>
      <c r="CK261" s="34" t="s">
        <v>1143</v>
      </c>
      <c r="CL261" s="26" t="s">
        <v>1144</v>
      </c>
      <c r="CM261" s="12"/>
      <c r="CN261" s="12"/>
      <c r="CO261" s="12"/>
      <c r="CP261" s="12"/>
      <c r="CQ261" s="12"/>
      <c r="CR261" s="12"/>
      <c r="CS261" s="12"/>
      <c r="CT261" s="12"/>
      <c r="CU261" s="12"/>
      <c r="CV261" s="12"/>
      <c r="CW261" s="12"/>
      <c r="CX261" s="12"/>
      <c r="CY261" s="12"/>
      <c r="CZ261" s="12"/>
      <c r="DA261" s="12"/>
      <c r="DB261" s="12"/>
      <c r="DC261" s="12"/>
      <c r="DD261" s="12"/>
    </row>
    <row r="262" ht="22.5" customHeight="1">
      <c r="A262" s="11" t="s">
        <v>995</v>
      </c>
      <c r="B262" s="11" t="s">
        <v>1059</v>
      </c>
      <c r="C262" s="32" t="s">
        <v>3</v>
      </c>
      <c r="D262" s="12"/>
      <c r="E262" s="12"/>
      <c r="F262" s="12"/>
      <c r="G262" s="12"/>
      <c r="H262" s="12"/>
      <c r="I262" s="12"/>
      <c r="J262" s="12"/>
      <c r="K262" s="12"/>
      <c r="L262" s="12"/>
      <c r="M262" s="12"/>
      <c r="N262" s="12"/>
      <c r="O262" s="12"/>
      <c r="P262" s="12"/>
      <c r="Q262" s="12"/>
      <c r="R262" s="12"/>
      <c r="S262" s="12"/>
      <c r="T262" s="12"/>
      <c r="U262" s="12"/>
      <c r="V262" s="12"/>
      <c r="W262" s="12"/>
      <c r="X262" s="12"/>
      <c r="Y262" s="12"/>
      <c r="Z262" s="12"/>
      <c r="AA262" s="12"/>
      <c r="AB262" s="12"/>
      <c r="AC262" s="12"/>
      <c r="AD262" s="12"/>
      <c r="AE262" s="12"/>
      <c r="AF262" s="12"/>
      <c r="AG262" s="12"/>
      <c r="AH262" s="12"/>
      <c r="AI262" s="12"/>
      <c r="AJ262" s="12"/>
      <c r="AK262" s="12"/>
      <c r="AL262" s="12"/>
      <c r="AM262" s="12"/>
      <c r="AN262" s="12"/>
      <c r="AO262" s="12"/>
      <c r="AP262" s="12"/>
      <c r="AQ262" s="12"/>
      <c r="AR262" s="12"/>
      <c r="AS262" s="12"/>
      <c r="AT262" s="12"/>
      <c r="AU262" s="12"/>
      <c r="AV262" s="12"/>
      <c r="AW262" s="12"/>
      <c r="AX262" s="12"/>
      <c r="AY262" s="12"/>
      <c r="AZ262" s="12"/>
      <c r="BA262" s="12"/>
      <c r="BB262" s="12"/>
      <c r="BC262" s="12"/>
      <c r="BD262" s="12"/>
      <c r="BE262" s="12"/>
      <c r="BF262" s="12"/>
      <c r="BG262" s="12"/>
      <c r="BH262" s="12"/>
      <c r="BI262" s="12"/>
      <c r="BJ262" s="12"/>
      <c r="BK262" s="12"/>
      <c r="BL262" s="11"/>
      <c r="BM262" s="22"/>
      <c r="BN262" s="27"/>
      <c r="BO262" s="27"/>
      <c r="BP262" s="27"/>
      <c r="BQ262" s="31"/>
      <c r="BR262" s="30"/>
      <c r="BS262" s="27"/>
      <c r="BT262" s="22"/>
      <c r="BU262" s="11"/>
      <c r="BV262" s="11"/>
      <c r="BW262" s="12"/>
      <c r="BX262" s="12"/>
      <c r="BY262" s="12"/>
      <c r="BZ262" s="12"/>
      <c r="CA262" s="12"/>
      <c r="CB262" s="12"/>
      <c r="CC262" s="12"/>
      <c r="CD262" s="33">
        <v>45113.0</v>
      </c>
      <c r="CE262" s="34" t="s">
        <v>406</v>
      </c>
      <c r="CF262" s="34" t="s">
        <v>1145</v>
      </c>
      <c r="CG262" s="34" t="s">
        <v>1111</v>
      </c>
      <c r="CH262" s="34" t="s">
        <v>929</v>
      </c>
      <c r="CI262" s="34" t="s">
        <v>266</v>
      </c>
      <c r="CJ262" s="38" t="s">
        <v>1146</v>
      </c>
      <c r="CK262" s="34" t="s">
        <v>1134</v>
      </c>
      <c r="CL262" s="26" t="s">
        <v>1147</v>
      </c>
      <c r="CM262" s="12"/>
      <c r="CN262" s="12"/>
      <c r="CO262" s="12"/>
      <c r="CP262" s="12"/>
      <c r="CQ262" s="12"/>
      <c r="CR262" s="12"/>
      <c r="CS262" s="12"/>
      <c r="CT262" s="12"/>
      <c r="CU262" s="12"/>
      <c r="CV262" s="12"/>
      <c r="CW262" s="12"/>
      <c r="CX262" s="12"/>
      <c r="CY262" s="12"/>
      <c r="CZ262" s="12"/>
      <c r="DA262" s="12"/>
      <c r="DB262" s="12"/>
      <c r="DC262" s="12"/>
      <c r="DD262" s="12"/>
    </row>
    <row r="263" ht="22.5" customHeight="1">
      <c r="A263" s="11" t="s">
        <v>995</v>
      </c>
      <c r="B263" s="11" t="s">
        <v>1059</v>
      </c>
      <c r="C263" s="32" t="s">
        <v>3</v>
      </c>
      <c r="D263" s="12"/>
      <c r="E263" s="12"/>
      <c r="F263" s="12"/>
      <c r="G263" s="12"/>
      <c r="H263" s="12"/>
      <c r="I263" s="12"/>
      <c r="J263" s="12"/>
      <c r="K263" s="12"/>
      <c r="L263" s="12"/>
      <c r="M263" s="12"/>
      <c r="N263" s="12"/>
      <c r="O263" s="12"/>
      <c r="P263" s="12"/>
      <c r="Q263" s="12"/>
      <c r="R263" s="12"/>
      <c r="S263" s="12"/>
      <c r="T263" s="12"/>
      <c r="U263" s="12"/>
      <c r="V263" s="12"/>
      <c r="W263" s="12"/>
      <c r="X263" s="12"/>
      <c r="Y263" s="12"/>
      <c r="Z263" s="12"/>
      <c r="AA263" s="12"/>
      <c r="AB263" s="12"/>
      <c r="AC263" s="12"/>
      <c r="AD263" s="12"/>
      <c r="AE263" s="12"/>
      <c r="AF263" s="12"/>
      <c r="AG263" s="12"/>
      <c r="AH263" s="12"/>
      <c r="AI263" s="12"/>
      <c r="AJ263" s="12"/>
      <c r="AK263" s="12"/>
      <c r="AL263" s="12"/>
      <c r="AM263" s="12"/>
      <c r="AN263" s="12"/>
      <c r="AO263" s="12"/>
      <c r="AP263" s="12"/>
      <c r="AQ263" s="12"/>
      <c r="AR263" s="12"/>
      <c r="AS263" s="12"/>
      <c r="AT263" s="12"/>
      <c r="AU263" s="12"/>
      <c r="AV263" s="12"/>
      <c r="AW263" s="12"/>
      <c r="AX263" s="12"/>
      <c r="AY263" s="12"/>
      <c r="AZ263" s="12"/>
      <c r="BA263" s="12"/>
      <c r="BB263" s="12"/>
      <c r="BC263" s="12"/>
      <c r="BD263" s="12"/>
      <c r="BE263" s="12"/>
      <c r="BF263" s="12"/>
      <c r="BG263" s="12"/>
      <c r="BH263" s="12"/>
      <c r="BI263" s="12"/>
      <c r="BJ263" s="12"/>
      <c r="BK263" s="12"/>
      <c r="BL263" s="11"/>
      <c r="BM263" s="22"/>
      <c r="BN263" s="27"/>
      <c r="BO263" s="27"/>
      <c r="BP263" s="27"/>
      <c r="BQ263" s="31"/>
      <c r="BR263" s="30"/>
      <c r="BS263" s="27"/>
      <c r="BT263" s="22"/>
      <c r="BU263" s="11"/>
      <c r="BV263" s="11"/>
      <c r="BW263" s="12"/>
      <c r="BX263" s="12"/>
      <c r="BY263" s="12"/>
      <c r="BZ263" s="12"/>
      <c r="CA263" s="12"/>
      <c r="CB263" s="12"/>
      <c r="CC263" s="12"/>
      <c r="CD263" s="33">
        <v>45132.0</v>
      </c>
      <c r="CE263" s="34" t="s">
        <v>1091</v>
      </c>
      <c r="CF263" s="34" t="s">
        <v>1148</v>
      </c>
      <c r="CG263" s="12"/>
      <c r="CH263" s="34" t="s">
        <v>1149</v>
      </c>
      <c r="CI263" s="34" t="s">
        <v>266</v>
      </c>
      <c r="CJ263" s="38" t="s">
        <v>1150</v>
      </c>
      <c r="CK263" s="12"/>
      <c r="CL263" s="26" t="s">
        <v>1151</v>
      </c>
      <c r="CM263" s="12"/>
      <c r="CN263" s="12"/>
      <c r="CO263" s="12"/>
      <c r="CP263" s="12"/>
      <c r="CQ263" s="12"/>
      <c r="CR263" s="12"/>
      <c r="CS263" s="12"/>
      <c r="CT263" s="12"/>
      <c r="CU263" s="12"/>
      <c r="CV263" s="12"/>
      <c r="CW263" s="12"/>
      <c r="CX263" s="12"/>
      <c r="CY263" s="12"/>
      <c r="CZ263" s="12"/>
      <c r="DA263" s="12"/>
      <c r="DB263" s="12"/>
      <c r="DC263" s="12"/>
      <c r="DD263" s="12"/>
    </row>
    <row r="264" ht="22.5" customHeight="1">
      <c r="A264" s="11" t="s">
        <v>995</v>
      </c>
      <c r="B264" s="11" t="s">
        <v>1059</v>
      </c>
      <c r="C264" s="32" t="s">
        <v>3</v>
      </c>
      <c r="D264" s="12"/>
      <c r="E264" s="12"/>
      <c r="F264" s="12"/>
      <c r="G264" s="12"/>
      <c r="H264" s="12"/>
      <c r="I264" s="12"/>
      <c r="J264" s="12"/>
      <c r="K264" s="12"/>
      <c r="L264" s="12"/>
      <c r="M264" s="12"/>
      <c r="N264" s="12"/>
      <c r="O264" s="12"/>
      <c r="P264" s="12"/>
      <c r="Q264" s="12"/>
      <c r="R264" s="12"/>
      <c r="S264" s="12"/>
      <c r="T264" s="12"/>
      <c r="U264" s="12"/>
      <c r="V264" s="12"/>
      <c r="W264" s="12"/>
      <c r="X264" s="12"/>
      <c r="Y264" s="12"/>
      <c r="Z264" s="12"/>
      <c r="AA264" s="12"/>
      <c r="AB264" s="12"/>
      <c r="AC264" s="12"/>
      <c r="AD264" s="12"/>
      <c r="AE264" s="12"/>
      <c r="AF264" s="12"/>
      <c r="AG264" s="12"/>
      <c r="AH264" s="12"/>
      <c r="AI264" s="12"/>
      <c r="AJ264" s="12"/>
      <c r="AK264" s="12"/>
      <c r="AL264" s="12"/>
      <c r="AM264" s="12"/>
      <c r="AN264" s="12"/>
      <c r="AO264" s="12"/>
      <c r="AP264" s="12"/>
      <c r="AQ264" s="12"/>
      <c r="AR264" s="12"/>
      <c r="AS264" s="12"/>
      <c r="AT264" s="12"/>
      <c r="AU264" s="12"/>
      <c r="AV264" s="12"/>
      <c r="AW264" s="12"/>
      <c r="AX264" s="12"/>
      <c r="AY264" s="12"/>
      <c r="AZ264" s="12"/>
      <c r="BA264" s="12"/>
      <c r="BB264" s="12"/>
      <c r="BC264" s="12"/>
      <c r="BD264" s="12"/>
      <c r="BE264" s="12"/>
      <c r="BF264" s="12"/>
      <c r="BG264" s="12"/>
      <c r="BH264" s="12"/>
      <c r="BI264" s="12"/>
      <c r="BJ264" s="12"/>
      <c r="BK264" s="12"/>
      <c r="BL264" s="11"/>
      <c r="BM264" s="22"/>
      <c r="BN264" s="27"/>
      <c r="BO264" s="27"/>
      <c r="BP264" s="27"/>
      <c r="BQ264" s="31"/>
      <c r="BR264" s="30"/>
      <c r="BS264" s="27"/>
      <c r="BT264" s="22"/>
      <c r="BU264" s="11"/>
      <c r="BV264" s="11"/>
      <c r="BW264" s="12"/>
      <c r="BX264" s="12"/>
      <c r="BY264" s="12"/>
      <c r="BZ264" s="12"/>
      <c r="CA264" s="12"/>
      <c r="CB264" s="12"/>
      <c r="CC264" s="12"/>
      <c r="CD264" s="33">
        <v>45125.0</v>
      </c>
      <c r="CE264" s="34" t="s">
        <v>406</v>
      </c>
      <c r="CF264" s="34" t="s">
        <v>1152</v>
      </c>
      <c r="CG264" s="34" t="s">
        <v>1153</v>
      </c>
      <c r="CH264" s="34" t="s">
        <v>1154</v>
      </c>
      <c r="CI264" s="34" t="s">
        <v>266</v>
      </c>
      <c r="CJ264" s="38" t="s">
        <v>1155</v>
      </c>
      <c r="CK264" s="34" t="s">
        <v>1134</v>
      </c>
      <c r="CL264" s="36" t="s">
        <v>1156</v>
      </c>
      <c r="CM264" s="12"/>
      <c r="CN264" s="12"/>
      <c r="CO264" s="12"/>
      <c r="CP264" s="12"/>
      <c r="CQ264" s="12"/>
      <c r="CR264" s="12"/>
      <c r="CS264" s="12"/>
      <c r="CT264" s="12"/>
      <c r="CU264" s="12"/>
      <c r="CV264" s="12"/>
      <c r="CW264" s="12"/>
      <c r="CX264" s="12"/>
      <c r="CY264" s="12"/>
      <c r="CZ264" s="12"/>
      <c r="DA264" s="12"/>
      <c r="DB264" s="12"/>
      <c r="DC264" s="12"/>
      <c r="DD264" s="12"/>
    </row>
    <row r="265" ht="22.5" customHeight="1">
      <c r="A265" s="11" t="s">
        <v>995</v>
      </c>
      <c r="B265" s="11" t="s">
        <v>1059</v>
      </c>
      <c r="C265" s="32" t="s">
        <v>3</v>
      </c>
      <c r="D265" s="12"/>
      <c r="E265" s="12"/>
      <c r="F265" s="12"/>
      <c r="G265" s="12"/>
      <c r="H265" s="12"/>
      <c r="I265" s="12"/>
      <c r="J265" s="12"/>
      <c r="K265" s="12"/>
      <c r="L265" s="12"/>
      <c r="M265" s="12"/>
      <c r="N265" s="12"/>
      <c r="O265" s="12"/>
      <c r="P265" s="12"/>
      <c r="Q265" s="12"/>
      <c r="R265" s="12"/>
      <c r="S265" s="12"/>
      <c r="T265" s="12"/>
      <c r="U265" s="12"/>
      <c r="V265" s="12"/>
      <c r="W265" s="12"/>
      <c r="X265" s="12"/>
      <c r="Y265" s="12"/>
      <c r="Z265" s="12"/>
      <c r="AA265" s="12"/>
      <c r="AB265" s="12"/>
      <c r="AC265" s="12"/>
      <c r="AD265" s="12"/>
      <c r="AE265" s="12"/>
      <c r="AF265" s="12"/>
      <c r="AG265" s="12"/>
      <c r="AH265" s="12"/>
      <c r="AI265" s="12"/>
      <c r="AJ265" s="12"/>
      <c r="AK265" s="12"/>
      <c r="AL265" s="12"/>
      <c r="AM265" s="12"/>
      <c r="AN265" s="12"/>
      <c r="AO265" s="12"/>
      <c r="AP265" s="12"/>
      <c r="AQ265" s="12"/>
      <c r="AR265" s="12"/>
      <c r="AS265" s="12"/>
      <c r="AT265" s="12"/>
      <c r="AU265" s="12"/>
      <c r="AV265" s="12"/>
      <c r="AW265" s="12"/>
      <c r="AX265" s="12"/>
      <c r="AY265" s="12"/>
      <c r="AZ265" s="12"/>
      <c r="BA265" s="12"/>
      <c r="BB265" s="12"/>
      <c r="BC265" s="12"/>
      <c r="BD265" s="12"/>
      <c r="BE265" s="12"/>
      <c r="BF265" s="12"/>
      <c r="BG265" s="12"/>
      <c r="BH265" s="12"/>
      <c r="BI265" s="12"/>
      <c r="BJ265" s="12"/>
      <c r="BK265" s="12"/>
      <c r="BL265" s="11"/>
      <c r="BM265" s="22"/>
      <c r="BN265" s="27"/>
      <c r="BO265" s="27"/>
      <c r="BP265" s="27"/>
      <c r="BQ265" s="31"/>
      <c r="BR265" s="30"/>
      <c r="BS265" s="27"/>
      <c r="BT265" s="22"/>
      <c r="BU265" s="11"/>
      <c r="BV265" s="11"/>
      <c r="BW265" s="12"/>
      <c r="BX265" s="12"/>
      <c r="BY265" s="12"/>
      <c r="BZ265" s="12"/>
      <c r="CA265" s="12"/>
      <c r="CB265" s="12"/>
      <c r="CC265" s="12"/>
      <c r="CD265" s="33">
        <v>45174.0</v>
      </c>
      <c r="CE265" s="34" t="s">
        <v>406</v>
      </c>
      <c r="CF265" s="34" t="s">
        <v>1157</v>
      </c>
      <c r="CG265" s="34" t="s">
        <v>1111</v>
      </c>
      <c r="CH265" s="34" t="s">
        <v>1158</v>
      </c>
      <c r="CI265" s="34" t="s">
        <v>266</v>
      </c>
      <c r="CJ265" s="37" t="s">
        <v>1159</v>
      </c>
      <c r="CK265" s="34" t="s">
        <v>1160</v>
      </c>
      <c r="CL265" s="36" t="s">
        <v>1159</v>
      </c>
      <c r="CM265" s="12"/>
      <c r="CN265" s="12"/>
      <c r="CO265" s="12"/>
      <c r="CP265" s="12"/>
      <c r="CQ265" s="12"/>
      <c r="CR265" s="12"/>
      <c r="CS265" s="12"/>
      <c r="CT265" s="12"/>
      <c r="CU265" s="12"/>
      <c r="CV265" s="12"/>
      <c r="CW265" s="12"/>
      <c r="CX265" s="12"/>
      <c r="CY265" s="12"/>
      <c r="CZ265" s="12"/>
      <c r="DA265" s="12"/>
      <c r="DB265" s="12"/>
      <c r="DC265" s="12"/>
      <c r="DD265" s="12"/>
    </row>
    <row r="266" ht="22.5" customHeight="1">
      <c r="A266" s="11" t="s">
        <v>995</v>
      </c>
      <c r="B266" s="11" t="s">
        <v>1059</v>
      </c>
      <c r="C266" s="32" t="s">
        <v>3</v>
      </c>
      <c r="D266" s="12"/>
      <c r="E266" s="12"/>
      <c r="F266" s="12"/>
      <c r="G266" s="12"/>
      <c r="H266" s="12"/>
      <c r="I266" s="12"/>
      <c r="J266" s="12"/>
      <c r="K266" s="12"/>
      <c r="L266" s="12"/>
      <c r="M266" s="12"/>
      <c r="N266" s="12"/>
      <c r="O266" s="12"/>
      <c r="P266" s="12"/>
      <c r="Q266" s="12"/>
      <c r="R266" s="12"/>
      <c r="S266" s="12"/>
      <c r="T266" s="12"/>
      <c r="U266" s="12"/>
      <c r="V266" s="12"/>
      <c r="W266" s="12"/>
      <c r="X266" s="12"/>
      <c r="Y266" s="12"/>
      <c r="Z266" s="12"/>
      <c r="AA266" s="12"/>
      <c r="AB266" s="12"/>
      <c r="AC266" s="12"/>
      <c r="AD266" s="12"/>
      <c r="AE266" s="12"/>
      <c r="AF266" s="12"/>
      <c r="AG266" s="12"/>
      <c r="AH266" s="12"/>
      <c r="AI266" s="12"/>
      <c r="AJ266" s="12"/>
      <c r="AK266" s="12"/>
      <c r="AL266" s="12"/>
      <c r="AM266" s="12"/>
      <c r="AN266" s="12"/>
      <c r="AO266" s="12"/>
      <c r="AP266" s="12"/>
      <c r="AQ266" s="12"/>
      <c r="AR266" s="12"/>
      <c r="AS266" s="12"/>
      <c r="AT266" s="12"/>
      <c r="AU266" s="12"/>
      <c r="AV266" s="12"/>
      <c r="AW266" s="12"/>
      <c r="AX266" s="12"/>
      <c r="AY266" s="12"/>
      <c r="AZ266" s="12"/>
      <c r="BA266" s="12"/>
      <c r="BB266" s="12"/>
      <c r="BC266" s="12"/>
      <c r="BD266" s="12"/>
      <c r="BE266" s="12"/>
      <c r="BF266" s="12"/>
      <c r="BG266" s="12"/>
      <c r="BH266" s="12"/>
      <c r="BI266" s="12"/>
      <c r="BJ266" s="12"/>
      <c r="BK266" s="12"/>
      <c r="BL266" s="11"/>
      <c r="BM266" s="22"/>
      <c r="BN266" s="27"/>
      <c r="BO266" s="27"/>
      <c r="BP266" s="27"/>
      <c r="BQ266" s="31"/>
      <c r="BR266" s="30"/>
      <c r="BS266" s="27"/>
      <c r="BT266" s="22"/>
      <c r="BU266" s="11"/>
      <c r="BV266" s="11"/>
      <c r="BW266" s="12"/>
      <c r="BX266" s="12"/>
      <c r="BY266" s="12"/>
      <c r="BZ266" s="12"/>
      <c r="CA266" s="12"/>
      <c r="CB266" s="12"/>
      <c r="CC266" s="12"/>
      <c r="CD266" s="33">
        <v>45181.0</v>
      </c>
      <c r="CE266" s="34" t="s">
        <v>1161</v>
      </c>
      <c r="CF266" s="34" t="s">
        <v>1162</v>
      </c>
      <c r="CG266" s="34" t="s">
        <v>1111</v>
      </c>
      <c r="CH266" s="34" t="s">
        <v>1163</v>
      </c>
      <c r="CI266" s="34" t="s">
        <v>266</v>
      </c>
      <c r="CJ266" s="37" t="s">
        <v>1164</v>
      </c>
      <c r="CK266" s="34" t="s">
        <v>1160</v>
      </c>
      <c r="CL266" s="36" t="s">
        <v>1164</v>
      </c>
      <c r="CM266" s="12"/>
      <c r="CN266" s="12"/>
      <c r="CO266" s="12"/>
      <c r="CP266" s="12"/>
      <c r="CQ266" s="12"/>
      <c r="CR266" s="12"/>
      <c r="CS266" s="12"/>
      <c r="CT266" s="12"/>
      <c r="CU266" s="12"/>
      <c r="CV266" s="12"/>
      <c r="CW266" s="12"/>
      <c r="CX266" s="12"/>
      <c r="CY266" s="12"/>
      <c r="CZ266" s="12"/>
      <c r="DA266" s="12"/>
      <c r="DB266" s="12"/>
      <c r="DC266" s="12"/>
      <c r="DD266" s="12"/>
    </row>
    <row r="267" ht="22.5" customHeight="1">
      <c r="A267" s="11" t="s">
        <v>995</v>
      </c>
      <c r="B267" s="11" t="s">
        <v>1059</v>
      </c>
      <c r="C267" s="32" t="s">
        <v>3</v>
      </c>
      <c r="D267" s="12"/>
      <c r="E267" s="12"/>
      <c r="F267" s="12"/>
      <c r="G267" s="12"/>
      <c r="H267" s="12"/>
      <c r="I267" s="12"/>
      <c r="J267" s="12"/>
      <c r="K267" s="12"/>
      <c r="L267" s="12"/>
      <c r="M267" s="12"/>
      <c r="N267" s="12"/>
      <c r="O267" s="12"/>
      <c r="P267" s="12"/>
      <c r="Q267" s="12"/>
      <c r="R267" s="12"/>
      <c r="S267" s="12"/>
      <c r="T267" s="12"/>
      <c r="U267" s="12"/>
      <c r="V267" s="12"/>
      <c r="W267" s="12"/>
      <c r="X267" s="12"/>
      <c r="Y267" s="12"/>
      <c r="Z267" s="12"/>
      <c r="AA267" s="12"/>
      <c r="AB267" s="12"/>
      <c r="AC267" s="12"/>
      <c r="AD267" s="12"/>
      <c r="AE267" s="12"/>
      <c r="AF267" s="12"/>
      <c r="AG267" s="12"/>
      <c r="AH267" s="12"/>
      <c r="AI267" s="12"/>
      <c r="AJ267" s="12"/>
      <c r="AK267" s="12"/>
      <c r="AL267" s="12"/>
      <c r="AM267" s="12"/>
      <c r="AN267" s="12"/>
      <c r="AO267" s="12"/>
      <c r="AP267" s="12"/>
      <c r="AQ267" s="12"/>
      <c r="AR267" s="12"/>
      <c r="AS267" s="12"/>
      <c r="AT267" s="12"/>
      <c r="AU267" s="12"/>
      <c r="AV267" s="12"/>
      <c r="AW267" s="12"/>
      <c r="AX267" s="12"/>
      <c r="AY267" s="12"/>
      <c r="AZ267" s="12"/>
      <c r="BA267" s="12"/>
      <c r="BB267" s="12"/>
      <c r="BC267" s="12"/>
      <c r="BD267" s="12"/>
      <c r="BE267" s="12"/>
      <c r="BF267" s="12"/>
      <c r="BG267" s="12"/>
      <c r="BH267" s="12"/>
      <c r="BI267" s="12"/>
      <c r="BJ267" s="12"/>
      <c r="BK267" s="12"/>
      <c r="BL267" s="11"/>
      <c r="BM267" s="22"/>
      <c r="BN267" s="27"/>
      <c r="BO267" s="27"/>
      <c r="BP267" s="27"/>
      <c r="BQ267" s="31"/>
      <c r="BR267" s="30"/>
      <c r="BS267" s="27"/>
      <c r="BT267" s="22"/>
      <c r="BU267" s="11"/>
      <c r="BV267" s="11"/>
      <c r="BW267" s="12"/>
      <c r="BX267" s="12"/>
      <c r="BY267" s="12"/>
      <c r="BZ267" s="12"/>
      <c r="CA267" s="12"/>
      <c r="CB267" s="12"/>
      <c r="CC267" s="12"/>
      <c r="CD267" s="33">
        <v>45191.0</v>
      </c>
      <c r="CE267" s="34" t="s">
        <v>1115</v>
      </c>
      <c r="CF267" s="34" t="s">
        <v>1165</v>
      </c>
      <c r="CG267" s="34" t="s">
        <v>1111</v>
      </c>
      <c r="CH267" s="34" t="s">
        <v>148</v>
      </c>
      <c r="CI267" s="34" t="s">
        <v>266</v>
      </c>
      <c r="CJ267" s="37" t="s">
        <v>1166</v>
      </c>
      <c r="CK267" s="34" t="s">
        <v>1167</v>
      </c>
      <c r="CL267" s="36" t="s">
        <v>1166</v>
      </c>
      <c r="CM267" s="12"/>
      <c r="CN267" s="12"/>
      <c r="CO267" s="12"/>
      <c r="CP267" s="12"/>
      <c r="CQ267" s="12"/>
      <c r="CR267" s="12"/>
      <c r="CS267" s="12"/>
      <c r="CT267" s="12"/>
      <c r="CU267" s="12"/>
      <c r="CV267" s="12"/>
      <c r="CW267" s="12"/>
      <c r="CX267" s="12"/>
      <c r="CY267" s="12"/>
      <c r="CZ267" s="12"/>
      <c r="DA267" s="12"/>
      <c r="DB267" s="12"/>
      <c r="DC267" s="12"/>
      <c r="DD267" s="12"/>
    </row>
    <row r="268" ht="22.5" customHeight="1">
      <c r="A268" s="11" t="s">
        <v>995</v>
      </c>
      <c r="B268" s="11" t="s">
        <v>1059</v>
      </c>
      <c r="C268" s="32" t="s">
        <v>3</v>
      </c>
      <c r="D268" s="12"/>
      <c r="E268" s="12"/>
      <c r="F268" s="12"/>
      <c r="G268" s="12"/>
      <c r="H268" s="12"/>
      <c r="I268" s="12"/>
      <c r="J268" s="12"/>
      <c r="K268" s="12"/>
      <c r="L268" s="12"/>
      <c r="M268" s="12"/>
      <c r="N268" s="12"/>
      <c r="O268" s="12"/>
      <c r="P268" s="12"/>
      <c r="Q268" s="12"/>
      <c r="R268" s="12"/>
      <c r="S268" s="12"/>
      <c r="T268" s="12"/>
      <c r="U268" s="12"/>
      <c r="V268" s="12"/>
      <c r="W268" s="12"/>
      <c r="X268" s="12"/>
      <c r="Y268" s="12"/>
      <c r="Z268" s="12"/>
      <c r="AA268" s="12"/>
      <c r="AB268" s="12"/>
      <c r="AC268" s="12"/>
      <c r="AD268" s="12"/>
      <c r="AE268" s="12"/>
      <c r="AF268" s="12"/>
      <c r="AG268" s="12"/>
      <c r="AH268" s="12"/>
      <c r="AI268" s="12"/>
      <c r="AJ268" s="12"/>
      <c r="AK268" s="12"/>
      <c r="AL268" s="12"/>
      <c r="AM268" s="12"/>
      <c r="AN268" s="12"/>
      <c r="AO268" s="12"/>
      <c r="AP268" s="12"/>
      <c r="AQ268" s="12"/>
      <c r="AR268" s="12"/>
      <c r="AS268" s="12"/>
      <c r="AT268" s="12"/>
      <c r="AU268" s="12"/>
      <c r="AV268" s="12"/>
      <c r="AW268" s="12"/>
      <c r="AX268" s="12"/>
      <c r="AY268" s="12"/>
      <c r="AZ268" s="12"/>
      <c r="BA268" s="12"/>
      <c r="BB268" s="12"/>
      <c r="BC268" s="12"/>
      <c r="BD268" s="12"/>
      <c r="BE268" s="12"/>
      <c r="BF268" s="12"/>
      <c r="BG268" s="12"/>
      <c r="BH268" s="12"/>
      <c r="BI268" s="12"/>
      <c r="BJ268" s="12"/>
      <c r="BK268" s="12"/>
      <c r="BL268" s="11"/>
      <c r="BM268" s="22"/>
      <c r="BN268" s="27"/>
      <c r="BO268" s="27"/>
      <c r="BP268" s="27"/>
      <c r="BQ268" s="31"/>
      <c r="BR268" s="30"/>
      <c r="BS268" s="27"/>
      <c r="BT268" s="22"/>
      <c r="BU268" s="11"/>
      <c r="BV268" s="11"/>
      <c r="BW268" s="12"/>
      <c r="BX268" s="12"/>
      <c r="BY268" s="12"/>
      <c r="BZ268" s="12"/>
      <c r="CA268" s="12"/>
      <c r="CB268" s="12"/>
      <c r="CC268" s="12"/>
      <c r="CD268" s="33">
        <v>45199.0</v>
      </c>
      <c r="CE268" s="11" t="s">
        <v>528</v>
      </c>
      <c r="CF268" s="34" t="s">
        <v>1168</v>
      </c>
      <c r="CG268" s="34" t="s">
        <v>1169</v>
      </c>
      <c r="CH268" s="34" t="s">
        <v>553</v>
      </c>
      <c r="CI268" s="34" t="s">
        <v>266</v>
      </c>
      <c r="CJ268" s="38" t="s">
        <v>1170</v>
      </c>
      <c r="CK268" s="34" t="s">
        <v>1171</v>
      </c>
      <c r="CL268" s="36" t="s">
        <v>1170</v>
      </c>
      <c r="CM268" s="12"/>
      <c r="CN268" s="12"/>
      <c r="CO268" s="12"/>
      <c r="CP268" s="12"/>
      <c r="CQ268" s="12"/>
      <c r="CR268" s="12"/>
      <c r="CS268" s="12"/>
      <c r="CT268" s="12"/>
      <c r="CU268" s="12"/>
      <c r="CV268" s="12"/>
      <c r="CW268" s="12"/>
      <c r="CX268" s="12"/>
      <c r="CY268" s="12"/>
      <c r="CZ268" s="12"/>
      <c r="DA268" s="12"/>
      <c r="DB268" s="12"/>
      <c r="DC268" s="12"/>
      <c r="DD268" s="12"/>
    </row>
    <row r="269" ht="22.5" customHeight="1">
      <c r="A269" s="11" t="s">
        <v>995</v>
      </c>
      <c r="B269" s="11" t="s">
        <v>1059</v>
      </c>
      <c r="C269" s="32" t="s">
        <v>3</v>
      </c>
      <c r="D269" s="12"/>
      <c r="E269" s="12"/>
      <c r="F269" s="12"/>
      <c r="G269" s="12"/>
      <c r="H269" s="12"/>
      <c r="I269" s="12"/>
      <c r="J269" s="12"/>
      <c r="K269" s="12"/>
      <c r="L269" s="12"/>
      <c r="M269" s="12"/>
      <c r="N269" s="12"/>
      <c r="O269" s="12"/>
      <c r="P269" s="12"/>
      <c r="Q269" s="12"/>
      <c r="R269" s="12"/>
      <c r="S269" s="12"/>
      <c r="T269" s="12"/>
      <c r="U269" s="12"/>
      <c r="V269" s="12"/>
      <c r="W269" s="12"/>
      <c r="X269" s="12"/>
      <c r="Y269" s="12"/>
      <c r="Z269" s="12"/>
      <c r="AA269" s="12"/>
      <c r="AB269" s="12"/>
      <c r="AC269" s="12"/>
      <c r="AD269" s="12"/>
      <c r="AE269" s="12"/>
      <c r="AF269" s="12"/>
      <c r="AG269" s="12"/>
      <c r="AH269" s="12"/>
      <c r="AI269" s="12"/>
      <c r="AJ269" s="12"/>
      <c r="AK269" s="12"/>
      <c r="AL269" s="12"/>
      <c r="AM269" s="12"/>
      <c r="AN269" s="12"/>
      <c r="AO269" s="12"/>
      <c r="AP269" s="12"/>
      <c r="AQ269" s="12"/>
      <c r="AR269" s="12"/>
      <c r="AS269" s="12"/>
      <c r="AT269" s="12"/>
      <c r="AU269" s="12"/>
      <c r="AV269" s="12"/>
      <c r="AW269" s="12"/>
      <c r="AX269" s="12"/>
      <c r="AY269" s="12"/>
      <c r="AZ269" s="12"/>
      <c r="BA269" s="12"/>
      <c r="BB269" s="12"/>
      <c r="BC269" s="12"/>
      <c r="BD269" s="12"/>
      <c r="BE269" s="12"/>
      <c r="BF269" s="12"/>
      <c r="BG269" s="12"/>
      <c r="BH269" s="12"/>
      <c r="BI269" s="12"/>
      <c r="BJ269" s="12"/>
      <c r="BK269" s="12"/>
      <c r="BL269" s="11"/>
      <c r="BM269" s="22"/>
      <c r="BN269" s="27"/>
      <c r="BO269" s="27"/>
      <c r="BP269" s="27"/>
      <c r="BQ269" s="31"/>
      <c r="BR269" s="30"/>
      <c r="BS269" s="27"/>
      <c r="BT269" s="22"/>
      <c r="BU269" s="11"/>
      <c r="BV269" s="11"/>
      <c r="BW269" s="12"/>
      <c r="BX269" s="12"/>
      <c r="BY269" s="12"/>
      <c r="BZ269" s="12"/>
      <c r="CA269" s="12"/>
      <c r="CB269" s="12"/>
      <c r="CC269" s="12"/>
      <c r="CD269" s="33">
        <v>45208.0</v>
      </c>
      <c r="CE269" s="34" t="s">
        <v>406</v>
      </c>
      <c r="CF269" s="34" t="s">
        <v>1172</v>
      </c>
      <c r="CG269" s="34" t="s">
        <v>1153</v>
      </c>
      <c r="CH269" s="34" t="s">
        <v>1173</v>
      </c>
      <c r="CI269" s="34" t="s">
        <v>1174</v>
      </c>
      <c r="CJ269" s="38" t="s">
        <v>1175</v>
      </c>
      <c r="CK269" s="34" t="s">
        <v>1171</v>
      </c>
      <c r="CL269" s="36" t="s">
        <v>1175</v>
      </c>
      <c r="CM269" s="12"/>
      <c r="CN269" s="12"/>
      <c r="CO269" s="12"/>
      <c r="CP269" s="12"/>
      <c r="CQ269" s="12"/>
      <c r="CR269" s="12"/>
      <c r="CS269" s="12"/>
      <c r="CT269" s="12"/>
      <c r="CU269" s="12"/>
      <c r="CV269" s="12"/>
      <c r="CW269" s="12"/>
      <c r="CX269" s="12"/>
      <c r="CY269" s="12"/>
      <c r="CZ269" s="12"/>
      <c r="DA269" s="12"/>
      <c r="DB269" s="12"/>
      <c r="DC269" s="12"/>
      <c r="DD269" s="12"/>
    </row>
    <row r="270" ht="22.5" customHeight="1">
      <c r="A270" s="11" t="s">
        <v>995</v>
      </c>
      <c r="B270" s="11" t="s">
        <v>1059</v>
      </c>
      <c r="C270" s="32" t="s">
        <v>3</v>
      </c>
      <c r="D270" s="12"/>
      <c r="E270" s="12"/>
      <c r="F270" s="12"/>
      <c r="G270" s="12"/>
      <c r="H270" s="12"/>
      <c r="I270" s="12"/>
      <c r="J270" s="12"/>
      <c r="K270" s="12"/>
      <c r="L270" s="12"/>
      <c r="M270" s="12"/>
      <c r="N270" s="12"/>
      <c r="O270" s="12"/>
      <c r="P270" s="12"/>
      <c r="Q270" s="12"/>
      <c r="R270" s="12"/>
      <c r="S270" s="12"/>
      <c r="T270" s="12"/>
      <c r="U270" s="12"/>
      <c r="V270" s="12"/>
      <c r="W270" s="12"/>
      <c r="X270" s="12"/>
      <c r="Y270" s="12"/>
      <c r="Z270" s="12"/>
      <c r="AA270" s="12"/>
      <c r="AB270" s="12"/>
      <c r="AC270" s="12"/>
      <c r="AD270" s="12"/>
      <c r="AE270" s="12"/>
      <c r="AF270" s="12"/>
      <c r="AG270" s="12"/>
      <c r="AH270" s="12"/>
      <c r="AI270" s="12"/>
      <c r="AJ270" s="12"/>
      <c r="AK270" s="12"/>
      <c r="AL270" s="12"/>
      <c r="AM270" s="12"/>
      <c r="AN270" s="12"/>
      <c r="AO270" s="12"/>
      <c r="AP270" s="12"/>
      <c r="AQ270" s="12"/>
      <c r="AR270" s="12"/>
      <c r="AS270" s="12"/>
      <c r="AT270" s="12"/>
      <c r="AU270" s="12"/>
      <c r="AV270" s="12"/>
      <c r="AW270" s="12"/>
      <c r="AX270" s="12"/>
      <c r="AY270" s="12"/>
      <c r="AZ270" s="12"/>
      <c r="BA270" s="12"/>
      <c r="BB270" s="12"/>
      <c r="BC270" s="12"/>
      <c r="BD270" s="12"/>
      <c r="BE270" s="12"/>
      <c r="BF270" s="12"/>
      <c r="BG270" s="12"/>
      <c r="BH270" s="12"/>
      <c r="BI270" s="12"/>
      <c r="BJ270" s="12"/>
      <c r="BK270" s="12"/>
      <c r="BL270" s="11"/>
      <c r="BM270" s="22"/>
      <c r="BN270" s="27"/>
      <c r="BO270" s="27"/>
      <c r="BP270" s="27"/>
      <c r="BQ270" s="31"/>
      <c r="BR270" s="30"/>
      <c r="BS270" s="27"/>
      <c r="BT270" s="22"/>
      <c r="BU270" s="11"/>
      <c r="BV270" s="11"/>
      <c r="BW270" s="12"/>
      <c r="BX270" s="12"/>
      <c r="BY270" s="12"/>
      <c r="BZ270" s="12"/>
      <c r="CA270" s="12"/>
      <c r="CB270" s="12"/>
      <c r="CC270" s="12"/>
      <c r="CD270" s="39">
        <v>45210.0</v>
      </c>
      <c r="CE270" s="34" t="s">
        <v>403</v>
      </c>
      <c r="CF270" s="34" t="s">
        <v>1176</v>
      </c>
      <c r="CG270" s="34" t="s">
        <v>1153</v>
      </c>
      <c r="CH270" s="34" t="s">
        <v>1177</v>
      </c>
      <c r="CI270" s="34" t="s">
        <v>1174</v>
      </c>
      <c r="CJ270" s="38" t="s">
        <v>1178</v>
      </c>
      <c r="CK270" s="34" t="s">
        <v>1171</v>
      </c>
      <c r="CL270" s="26" t="s">
        <v>1178</v>
      </c>
      <c r="CM270" s="12"/>
      <c r="CN270" s="12"/>
      <c r="CO270" s="12"/>
      <c r="CP270" s="12"/>
      <c r="CQ270" s="12"/>
      <c r="CR270" s="12"/>
      <c r="CS270" s="12"/>
      <c r="CT270" s="12"/>
      <c r="CU270" s="12"/>
      <c r="CV270" s="12"/>
      <c r="CW270" s="12"/>
      <c r="CX270" s="12"/>
      <c r="CY270" s="12"/>
      <c r="CZ270" s="12"/>
      <c r="DA270" s="12"/>
      <c r="DB270" s="12"/>
      <c r="DC270" s="12"/>
      <c r="DD270" s="12"/>
    </row>
    <row r="271" ht="22.5" customHeight="1">
      <c r="A271" s="11" t="s">
        <v>995</v>
      </c>
      <c r="B271" s="11" t="s">
        <v>1059</v>
      </c>
      <c r="C271" s="32" t="s">
        <v>3</v>
      </c>
      <c r="D271" s="12"/>
      <c r="E271" s="12"/>
      <c r="F271" s="12"/>
      <c r="G271" s="12"/>
      <c r="H271" s="12"/>
      <c r="I271" s="12"/>
      <c r="J271" s="12"/>
      <c r="K271" s="12"/>
      <c r="L271" s="12"/>
      <c r="M271" s="12"/>
      <c r="N271" s="12"/>
      <c r="O271" s="12"/>
      <c r="P271" s="12"/>
      <c r="Q271" s="12"/>
      <c r="R271" s="12"/>
      <c r="S271" s="12"/>
      <c r="T271" s="12"/>
      <c r="U271" s="12"/>
      <c r="V271" s="12"/>
      <c r="W271" s="12"/>
      <c r="X271" s="12"/>
      <c r="Y271" s="12"/>
      <c r="Z271" s="12"/>
      <c r="AA271" s="12"/>
      <c r="AB271" s="12"/>
      <c r="AC271" s="12"/>
      <c r="AD271" s="12"/>
      <c r="AE271" s="12"/>
      <c r="AF271" s="12"/>
      <c r="AG271" s="12"/>
      <c r="AH271" s="12"/>
      <c r="AI271" s="12"/>
      <c r="AJ271" s="12"/>
      <c r="AK271" s="12"/>
      <c r="AL271" s="12"/>
      <c r="AM271" s="12"/>
      <c r="AN271" s="12"/>
      <c r="AO271" s="12"/>
      <c r="AP271" s="12"/>
      <c r="AQ271" s="12"/>
      <c r="AR271" s="12"/>
      <c r="AS271" s="12"/>
      <c r="AT271" s="12"/>
      <c r="AU271" s="12"/>
      <c r="AV271" s="12"/>
      <c r="AW271" s="12"/>
      <c r="AX271" s="12"/>
      <c r="AY271" s="12"/>
      <c r="AZ271" s="12"/>
      <c r="BA271" s="12"/>
      <c r="BB271" s="12"/>
      <c r="BC271" s="12"/>
      <c r="BD271" s="12"/>
      <c r="BE271" s="12"/>
      <c r="BF271" s="12"/>
      <c r="BG271" s="12"/>
      <c r="BH271" s="12"/>
      <c r="BI271" s="12"/>
      <c r="BJ271" s="12"/>
      <c r="BK271" s="12"/>
      <c r="BL271" s="11"/>
      <c r="BM271" s="22"/>
      <c r="BN271" s="27"/>
      <c r="BO271" s="27"/>
      <c r="BP271" s="27"/>
      <c r="BQ271" s="31"/>
      <c r="BR271" s="30"/>
      <c r="BS271" s="27"/>
      <c r="BT271" s="22"/>
      <c r="BU271" s="11"/>
      <c r="BV271" s="11"/>
      <c r="BW271" s="12"/>
      <c r="BX271" s="12"/>
      <c r="BY271" s="12"/>
      <c r="BZ271" s="12"/>
      <c r="CA271" s="12"/>
      <c r="CB271" s="12"/>
      <c r="CC271" s="12"/>
      <c r="CD271" s="39">
        <v>45215.0</v>
      </c>
      <c r="CE271" s="34" t="s">
        <v>406</v>
      </c>
      <c r="CF271" s="34" t="s">
        <v>1179</v>
      </c>
      <c r="CG271" s="34" t="s">
        <v>266</v>
      </c>
      <c r="CH271" s="34" t="s">
        <v>1180</v>
      </c>
      <c r="CI271" s="34" t="s">
        <v>1174</v>
      </c>
      <c r="CJ271" s="12"/>
      <c r="CK271" s="34" t="s">
        <v>1171</v>
      </c>
      <c r="CL271" s="40" t="s">
        <v>1181</v>
      </c>
      <c r="CM271" s="12"/>
      <c r="CN271" s="12"/>
      <c r="CO271" s="12"/>
      <c r="CP271" s="12"/>
      <c r="CQ271" s="12"/>
      <c r="CR271" s="12"/>
      <c r="CS271" s="12"/>
      <c r="CT271" s="12"/>
      <c r="CU271" s="12"/>
      <c r="CV271" s="12"/>
      <c r="CW271" s="12"/>
      <c r="CX271" s="12"/>
      <c r="CY271" s="12"/>
      <c r="CZ271" s="12"/>
      <c r="DA271" s="12"/>
      <c r="DB271" s="12"/>
      <c r="DC271" s="12"/>
      <c r="DD271" s="12"/>
    </row>
    <row r="272" ht="22.5" customHeight="1">
      <c r="A272" s="11" t="s">
        <v>995</v>
      </c>
      <c r="B272" s="11" t="s">
        <v>1059</v>
      </c>
      <c r="C272" s="32" t="s">
        <v>3</v>
      </c>
      <c r="D272" s="12"/>
      <c r="E272" s="12"/>
      <c r="F272" s="12"/>
      <c r="G272" s="12"/>
      <c r="H272" s="12"/>
      <c r="I272" s="12"/>
      <c r="J272" s="12"/>
      <c r="K272" s="12"/>
      <c r="L272" s="12"/>
      <c r="M272" s="12"/>
      <c r="N272" s="12"/>
      <c r="O272" s="12"/>
      <c r="P272" s="12"/>
      <c r="Q272" s="12"/>
      <c r="R272" s="12"/>
      <c r="S272" s="12"/>
      <c r="T272" s="12"/>
      <c r="U272" s="12"/>
      <c r="V272" s="12"/>
      <c r="W272" s="12"/>
      <c r="X272" s="12"/>
      <c r="Y272" s="12"/>
      <c r="Z272" s="12"/>
      <c r="AA272" s="12"/>
      <c r="AB272" s="12"/>
      <c r="AC272" s="12"/>
      <c r="AD272" s="12"/>
      <c r="AE272" s="12"/>
      <c r="AF272" s="12"/>
      <c r="AG272" s="12"/>
      <c r="AH272" s="12"/>
      <c r="AI272" s="12"/>
      <c r="AJ272" s="12"/>
      <c r="AK272" s="12"/>
      <c r="AL272" s="12"/>
      <c r="AM272" s="12"/>
      <c r="AN272" s="12"/>
      <c r="AO272" s="12"/>
      <c r="AP272" s="12"/>
      <c r="AQ272" s="12"/>
      <c r="AR272" s="12"/>
      <c r="AS272" s="12"/>
      <c r="AT272" s="12"/>
      <c r="AU272" s="12"/>
      <c r="AV272" s="12"/>
      <c r="AW272" s="12"/>
      <c r="AX272" s="12"/>
      <c r="AY272" s="12"/>
      <c r="AZ272" s="12"/>
      <c r="BA272" s="12"/>
      <c r="BB272" s="12"/>
      <c r="BC272" s="12"/>
      <c r="BD272" s="12"/>
      <c r="BE272" s="12"/>
      <c r="BF272" s="12"/>
      <c r="BG272" s="12"/>
      <c r="BH272" s="12"/>
      <c r="BI272" s="12"/>
      <c r="BJ272" s="12"/>
      <c r="BK272" s="12"/>
      <c r="BL272" s="11"/>
      <c r="BM272" s="22"/>
      <c r="BN272" s="27"/>
      <c r="BO272" s="27"/>
      <c r="BP272" s="27"/>
      <c r="BQ272" s="31"/>
      <c r="BR272" s="30"/>
      <c r="BS272" s="27"/>
      <c r="BT272" s="22"/>
      <c r="BU272" s="11"/>
      <c r="BV272" s="11"/>
      <c r="BW272" s="12"/>
      <c r="BX272" s="12"/>
      <c r="BY272" s="12"/>
      <c r="BZ272" s="12"/>
      <c r="CA272" s="12"/>
      <c r="CB272" s="12"/>
      <c r="CC272" s="12"/>
      <c r="CD272" s="39">
        <v>45217.0</v>
      </c>
      <c r="CE272" s="34" t="s">
        <v>1091</v>
      </c>
      <c r="CF272" s="34" t="s">
        <v>1182</v>
      </c>
      <c r="CG272" s="12"/>
      <c r="CH272" s="34" t="s">
        <v>266</v>
      </c>
      <c r="CI272" s="34" t="s">
        <v>1183</v>
      </c>
      <c r="CJ272" s="41" t="s">
        <v>1184</v>
      </c>
      <c r="CK272" s="34" t="s">
        <v>1185</v>
      </c>
      <c r="CL272" s="36" t="s">
        <v>1184</v>
      </c>
      <c r="CM272" s="12"/>
      <c r="CN272" s="12"/>
      <c r="CO272" s="12"/>
      <c r="CP272" s="12"/>
      <c r="CQ272" s="12"/>
      <c r="CR272" s="12"/>
      <c r="CS272" s="12"/>
      <c r="CT272" s="12"/>
      <c r="CU272" s="12"/>
      <c r="CV272" s="12"/>
      <c r="CW272" s="12"/>
      <c r="CX272" s="12"/>
      <c r="CY272" s="12"/>
      <c r="CZ272" s="12"/>
      <c r="DA272" s="12"/>
      <c r="DB272" s="12"/>
      <c r="DC272" s="12"/>
      <c r="DD272" s="12"/>
    </row>
    <row r="273" ht="22.5" customHeight="1">
      <c r="A273" s="11" t="s">
        <v>995</v>
      </c>
      <c r="B273" s="11" t="s">
        <v>1059</v>
      </c>
      <c r="C273" s="32" t="s">
        <v>3</v>
      </c>
      <c r="D273" s="12"/>
      <c r="E273" s="12"/>
      <c r="F273" s="12"/>
      <c r="G273" s="12"/>
      <c r="H273" s="12"/>
      <c r="I273" s="12"/>
      <c r="J273" s="12"/>
      <c r="K273" s="12"/>
      <c r="L273" s="12"/>
      <c r="M273" s="12"/>
      <c r="N273" s="12"/>
      <c r="O273" s="12"/>
      <c r="P273" s="12"/>
      <c r="Q273" s="12"/>
      <c r="R273" s="12"/>
      <c r="S273" s="12"/>
      <c r="T273" s="12"/>
      <c r="U273" s="12"/>
      <c r="V273" s="12"/>
      <c r="W273" s="12"/>
      <c r="X273" s="12"/>
      <c r="Y273" s="12"/>
      <c r="Z273" s="12"/>
      <c r="AA273" s="12"/>
      <c r="AB273" s="12"/>
      <c r="AC273" s="12"/>
      <c r="AD273" s="12"/>
      <c r="AE273" s="12"/>
      <c r="AF273" s="12"/>
      <c r="AG273" s="12"/>
      <c r="AH273" s="12"/>
      <c r="AI273" s="12"/>
      <c r="AJ273" s="12"/>
      <c r="AK273" s="12"/>
      <c r="AL273" s="12"/>
      <c r="AM273" s="12"/>
      <c r="AN273" s="12"/>
      <c r="AO273" s="12"/>
      <c r="AP273" s="12"/>
      <c r="AQ273" s="12"/>
      <c r="AR273" s="12"/>
      <c r="AS273" s="12"/>
      <c r="AT273" s="12"/>
      <c r="AU273" s="12"/>
      <c r="AV273" s="12"/>
      <c r="AW273" s="12"/>
      <c r="AX273" s="12"/>
      <c r="AY273" s="12"/>
      <c r="AZ273" s="12"/>
      <c r="BA273" s="12"/>
      <c r="BB273" s="12"/>
      <c r="BC273" s="12"/>
      <c r="BD273" s="12"/>
      <c r="BE273" s="12"/>
      <c r="BF273" s="12"/>
      <c r="BG273" s="12"/>
      <c r="BH273" s="12"/>
      <c r="BI273" s="12"/>
      <c r="BJ273" s="12"/>
      <c r="BK273" s="12"/>
      <c r="BL273" s="11"/>
      <c r="BM273" s="22"/>
      <c r="BN273" s="27"/>
      <c r="BO273" s="27"/>
      <c r="BP273" s="27"/>
      <c r="BQ273" s="31"/>
      <c r="BR273" s="30"/>
      <c r="BS273" s="27"/>
      <c r="BT273" s="22"/>
      <c r="BU273" s="11"/>
      <c r="BV273" s="11"/>
      <c r="BW273" s="12"/>
      <c r="BX273" s="12"/>
      <c r="BY273" s="12"/>
      <c r="BZ273" s="12"/>
      <c r="CA273" s="12"/>
      <c r="CB273" s="12"/>
      <c r="CC273" s="12"/>
      <c r="CD273" s="33">
        <v>45233.0</v>
      </c>
      <c r="CE273" s="34" t="s">
        <v>406</v>
      </c>
      <c r="CF273" s="34" t="s">
        <v>1186</v>
      </c>
      <c r="CG273" s="34" t="s">
        <v>266</v>
      </c>
      <c r="CH273" s="34" t="s">
        <v>1187</v>
      </c>
      <c r="CI273" s="34" t="s">
        <v>266</v>
      </c>
      <c r="CJ273" s="41" t="s">
        <v>1188</v>
      </c>
      <c r="CK273" s="34" t="s">
        <v>1171</v>
      </c>
      <c r="CL273" s="36" t="s">
        <v>1188</v>
      </c>
      <c r="CM273" s="12"/>
      <c r="CN273" s="12"/>
      <c r="CO273" s="12"/>
      <c r="CP273" s="12"/>
      <c r="CQ273" s="12"/>
      <c r="CR273" s="12"/>
      <c r="CS273" s="12"/>
      <c r="CT273" s="12"/>
      <c r="CU273" s="12"/>
      <c r="CV273" s="12"/>
      <c r="CW273" s="12"/>
      <c r="CX273" s="12"/>
      <c r="CY273" s="12"/>
      <c r="CZ273" s="12"/>
      <c r="DA273" s="12"/>
      <c r="DB273" s="12"/>
      <c r="DC273" s="12"/>
      <c r="DD273" s="12"/>
    </row>
    <row r="274" ht="22.5" customHeight="1">
      <c r="A274" s="11" t="s">
        <v>995</v>
      </c>
      <c r="B274" s="11" t="s">
        <v>1059</v>
      </c>
      <c r="C274" s="32" t="s">
        <v>3</v>
      </c>
      <c r="D274" s="12"/>
      <c r="E274" s="12"/>
      <c r="F274" s="12"/>
      <c r="G274" s="12"/>
      <c r="H274" s="12"/>
      <c r="I274" s="12"/>
      <c r="J274" s="12"/>
      <c r="K274" s="12"/>
      <c r="L274" s="12"/>
      <c r="M274" s="12"/>
      <c r="N274" s="12"/>
      <c r="O274" s="12"/>
      <c r="P274" s="12"/>
      <c r="Q274" s="12"/>
      <c r="R274" s="12"/>
      <c r="S274" s="12"/>
      <c r="T274" s="12"/>
      <c r="U274" s="12"/>
      <c r="V274" s="12"/>
      <c r="W274" s="12"/>
      <c r="X274" s="12"/>
      <c r="Y274" s="12"/>
      <c r="Z274" s="12"/>
      <c r="AA274" s="12"/>
      <c r="AB274" s="12"/>
      <c r="AC274" s="12"/>
      <c r="AD274" s="12"/>
      <c r="AE274" s="12"/>
      <c r="AF274" s="12"/>
      <c r="AG274" s="12"/>
      <c r="AH274" s="12"/>
      <c r="AI274" s="12"/>
      <c r="AJ274" s="12"/>
      <c r="AK274" s="12"/>
      <c r="AL274" s="12"/>
      <c r="AM274" s="12"/>
      <c r="AN274" s="12"/>
      <c r="AO274" s="12"/>
      <c r="AP274" s="12"/>
      <c r="AQ274" s="12"/>
      <c r="AR274" s="12"/>
      <c r="AS274" s="12"/>
      <c r="AT274" s="12"/>
      <c r="AU274" s="12"/>
      <c r="AV274" s="12"/>
      <c r="AW274" s="12"/>
      <c r="AX274" s="12"/>
      <c r="AY274" s="12"/>
      <c r="AZ274" s="12"/>
      <c r="BA274" s="12"/>
      <c r="BB274" s="12"/>
      <c r="BC274" s="12"/>
      <c r="BD274" s="12"/>
      <c r="BE274" s="12"/>
      <c r="BF274" s="12"/>
      <c r="BG274" s="12"/>
      <c r="BH274" s="12"/>
      <c r="BI274" s="12"/>
      <c r="BJ274" s="12"/>
      <c r="BK274" s="12"/>
      <c r="BL274" s="11"/>
      <c r="BM274" s="22"/>
      <c r="BN274" s="27"/>
      <c r="BO274" s="27"/>
      <c r="BP274" s="27"/>
      <c r="BQ274" s="31"/>
      <c r="BR274" s="30"/>
      <c r="BS274" s="27"/>
      <c r="BT274" s="22"/>
      <c r="BU274" s="11"/>
      <c r="BV274" s="11"/>
      <c r="BW274" s="12"/>
      <c r="BX274" s="12"/>
      <c r="BY274" s="12"/>
      <c r="BZ274" s="12"/>
      <c r="CA274" s="12"/>
      <c r="CB274" s="12"/>
      <c r="CC274" s="12"/>
      <c r="CD274" s="39">
        <v>45257.0</v>
      </c>
      <c r="CE274" s="34" t="s">
        <v>406</v>
      </c>
      <c r="CF274" s="34" t="s">
        <v>1189</v>
      </c>
      <c r="CG274" s="34" t="s">
        <v>140</v>
      </c>
      <c r="CH274" s="34" t="s">
        <v>1190</v>
      </c>
      <c r="CI274" s="34" t="s">
        <v>266</v>
      </c>
      <c r="CJ274" s="41" t="s">
        <v>1184</v>
      </c>
      <c r="CK274" s="34" t="s">
        <v>1185</v>
      </c>
      <c r="CL274" s="40" t="s">
        <v>1191</v>
      </c>
      <c r="CM274" s="12"/>
      <c r="CN274" s="12"/>
      <c r="CO274" s="12"/>
      <c r="CP274" s="12"/>
      <c r="CQ274" s="12"/>
      <c r="CR274" s="12"/>
      <c r="CS274" s="12"/>
      <c r="CT274" s="12"/>
      <c r="CU274" s="12"/>
      <c r="CV274" s="12"/>
      <c r="CW274" s="12"/>
      <c r="CX274" s="12"/>
      <c r="CY274" s="12"/>
      <c r="CZ274" s="12"/>
      <c r="DA274" s="12"/>
      <c r="DB274" s="12"/>
      <c r="DC274" s="12"/>
      <c r="DD274" s="12"/>
    </row>
    <row r="275" ht="22.5" customHeight="1">
      <c r="A275" s="11" t="s">
        <v>995</v>
      </c>
      <c r="B275" s="11" t="s">
        <v>1059</v>
      </c>
      <c r="C275" s="32" t="s">
        <v>3</v>
      </c>
      <c r="D275" s="12"/>
      <c r="E275" s="12"/>
      <c r="F275" s="12"/>
      <c r="G275" s="12"/>
      <c r="H275" s="12"/>
      <c r="I275" s="12"/>
      <c r="J275" s="12"/>
      <c r="K275" s="12"/>
      <c r="L275" s="12"/>
      <c r="M275" s="12"/>
      <c r="N275" s="12"/>
      <c r="O275" s="12"/>
      <c r="P275" s="12"/>
      <c r="Q275" s="12"/>
      <c r="R275" s="12"/>
      <c r="S275" s="12"/>
      <c r="T275" s="12"/>
      <c r="U275" s="12"/>
      <c r="V275" s="12"/>
      <c r="W275" s="12"/>
      <c r="X275" s="12"/>
      <c r="Y275" s="12"/>
      <c r="Z275" s="12"/>
      <c r="AA275" s="12"/>
      <c r="AB275" s="12"/>
      <c r="AC275" s="12"/>
      <c r="AD275" s="12"/>
      <c r="AE275" s="12"/>
      <c r="AF275" s="12"/>
      <c r="AG275" s="12"/>
      <c r="AH275" s="12"/>
      <c r="AI275" s="12"/>
      <c r="AJ275" s="12"/>
      <c r="AK275" s="12"/>
      <c r="AL275" s="12"/>
      <c r="AM275" s="12"/>
      <c r="AN275" s="12"/>
      <c r="AO275" s="12"/>
      <c r="AP275" s="12"/>
      <c r="AQ275" s="12"/>
      <c r="AR275" s="12"/>
      <c r="AS275" s="12"/>
      <c r="AT275" s="12"/>
      <c r="AU275" s="12"/>
      <c r="AV275" s="12"/>
      <c r="AW275" s="12"/>
      <c r="AX275" s="12"/>
      <c r="AY275" s="12"/>
      <c r="AZ275" s="12"/>
      <c r="BA275" s="12"/>
      <c r="BB275" s="12"/>
      <c r="BC275" s="12"/>
      <c r="BD275" s="12"/>
      <c r="BE275" s="12"/>
      <c r="BF275" s="12"/>
      <c r="BG275" s="12"/>
      <c r="BH275" s="12"/>
      <c r="BI275" s="12"/>
      <c r="BJ275" s="12"/>
      <c r="BK275" s="12"/>
      <c r="BL275" s="11"/>
      <c r="BM275" s="22"/>
      <c r="BN275" s="27"/>
      <c r="BO275" s="27"/>
      <c r="BP275" s="27"/>
      <c r="BQ275" s="31"/>
      <c r="BR275" s="30"/>
      <c r="BS275" s="27"/>
      <c r="BT275" s="22"/>
      <c r="BU275" s="11"/>
      <c r="BV275" s="11"/>
      <c r="BW275" s="12"/>
      <c r="BX275" s="12"/>
      <c r="BY275" s="12"/>
      <c r="BZ275" s="12"/>
      <c r="CA275" s="12"/>
      <c r="CB275" s="12"/>
      <c r="CC275" s="12"/>
      <c r="CD275" s="39">
        <v>45274.0</v>
      </c>
      <c r="CE275" s="34" t="s">
        <v>1161</v>
      </c>
      <c r="CF275" s="34" t="s">
        <v>1192</v>
      </c>
      <c r="CG275" s="34" t="s">
        <v>266</v>
      </c>
      <c r="CH275" s="34" t="s">
        <v>1193</v>
      </c>
      <c r="CI275" s="34" t="s">
        <v>266</v>
      </c>
      <c r="CJ275" s="12"/>
      <c r="CK275" s="34" t="s">
        <v>1185</v>
      </c>
      <c r="CL275" s="26" t="s">
        <v>1194</v>
      </c>
      <c r="CM275" s="12"/>
      <c r="CN275" s="12"/>
      <c r="CO275" s="12"/>
      <c r="CP275" s="12"/>
      <c r="CQ275" s="12"/>
      <c r="CR275" s="12"/>
      <c r="CS275" s="12"/>
      <c r="CT275" s="12"/>
      <c r="CU275" s="12"/>
      <c r="CV275" s="12"/>
      <c r="CW275" s="12"/>
      <c r="CX275" s="12"/>
      <c r="CY275" s="12"/>
      <c r="CZ275" s="12"/>
      <c r="DA275" s="12"/>
      <c r="DB275" s="12"/>
      <c r="DC275" s="12"/>
      <c r="DD275" s="12"/>
    </row>
    <row r="276" ht="22.5" customHeight="1">
      <c r="A276" s="11" t="s">
        <v>995</v>
      </c>
      <c r="B276" s="11" t="s">
        <v>1059</v>
      </c>
      <c r="C276" s="32" t="s">
        <v>3</v>
      </c>
      <c r="D276" s="12"/>
      <c r="E276" s="12"/>
      <c r="F276" s="12"/>
      <c r="G276" s="12"/>
      <c r="H276" s="12"/>
      <c r="I276" s="12"/>
      <c r="J276" s="12"/>
      <c r="K276" s="12"/>
      <c r="L276" s="12"/>
      <c r="M276" s="12"/>
      <c r="N276" s="12"/>
      <c r="O276" s="12"/>
      <c r="P276" s="12"/>
      <c r="Q276" s="12"/>
      <c r="R276" s="12"/>
      <c r="S276" s="12"/>
      <c r="T276" s="12"/>
      <c r="U276" s="12"/>
      <c r="V276" s="12"/>
      <c r="W276" s="12"/>
      <c r="X276" s="12"/>
      <c r="Y276" s="12"/>
      <c r="Z276" s="12"/>
      <c r="AA276" s="12"/>
      <c r="AB276" s="12"/>
      <c r="AC276" s="12"/>
      <c r="AD276" s="12"/>
      <c r="AE276" s="12"/>
      <c r="AF276" s="12"/>
      <c r="AG276" s="12"/>
      <c r="AH276" s="12"/>
      <c r="AI276" s="12"/>
      <c r="AJ276" s="12"/>
      <c r="AK276" s="12"/>
      <c r="AL276" s="12"/>
      <c r="AM276" s="12"/>
      <c r="AN276" s="12"/>
      <c r="AO276" s="12"/>
      <c r="AP276" s="12"/>
      <c r="AQ276" s="12"/>
      <c r="AR276" s="12"/>
      <c r="AS276" s="12"/>
      <c r="AT276" s="12"/>
      <c r="AU276" s="12"/>
      <c r="AV276" s="12"/>
      <c r="AW276" s="12"/>
      <c r="AX276" s="12"/>
      <c r="AY276" s="12"/>
      <c r="AZ276" s="12"/>
      <c r="BA276" s="12"/>
      <c r="BB276" s="12"/>
      <c r="BC276" s="12"/>
      <c r="BD276" s="12"/>
      <c r="BE276" s="12"/>
      <c r="BF276" s="12"/>
      <c r="BG276" s="12"/>
      <c r="BH276" s="12"/>
      <c r="BI276" s="12"/>
      <c r="BJ276" s="12"/>
      <c r="BK276" s="12"/>
      <c r="BL276" s="11"/>
      <c r="BM276" s="22"/>
      <c r="BN276" s="27"/>
      <c r="BO276" s="27"/>
      <c r="BP276" s="27"/>
      <c r="BQ276" s="31"/>
      <c r="BR276" s="30"/>
      <c r="BS276" s="27"/>
      <c r="BT276" s="22"/>
      <c r="BU276" s="11"/>
      <c r="BV276" s="11"/>
      <c r="BW276" s="12"/>
      <c r="BX276" s="12"/>
      <c r="BY276" s="12"/>
      <c r="BZ276" s="12"/>
      <c r="CA276" s="12"/>
      <c r="CB276" s="12"/>
      <c r="CC276" s="12"/>
      <c r="CD276" s="33">
        <v>45313.0</v>
      </c>
      <c r="CE276" s="34" t="s">
        <v>406</v>
      </c>
      <c r="CF276" s="34" t="s">
        <v>1195</v>
      </c>
      <c r="CG276" s="34" t="s">
        <v>266</v>
      </c>
      <c r="CH276" s="34" t="s">
        <v>1196</v>
      </c>
      <c r="CI276" s="34" t="s">
        <v>266</v>
      </c>
      <c r="CJ276" s="12"/>
      <c r="CK276" s="34" t="s">
        <v>1197</v>
      </c>
      <c r="CL276" s="11"/>
      <c r="CM276" s="12"/>
      <c r="CN276" s="12"/>
      <c r="CO276" s="12"/>
      <c r="CP276" s="12"/>
      <c r="CQ276" s="12"/>
      <c r="CR276" s="12"/>
      <c r="CS276" s="12"/>
      <c r="CT276" s="12"/>
      <c r="CU276" s="12"/>
      <c r="CV276" s="12"/>
      <c r="CW276" s="12"/>
      <c r="CX276" s="12"/>
      <c r="CY276" s="12"/>
      <c r="CZ276" s="12"/>
      <c r="DA276" s="12"/>
      <c r="DB276" s="12"/>
      <c r="DC276" s="12"/>
      <c r="DD276" s="12"/>
    </row>
    <row r="277" ht="22.5" customHeight="1">
      <c r="A277" s="11" t="s">
        <v>995</v>
      </c>
      <c r="B277" s="11" t="s">
        <v>1059</v>
      </c>
      <c r="C277" s="32" t="s">
        <v>3</v>
      </c>
      <c r="D277" s="12"/>
      <c r="E277" s="12"/>
      <c r="F277" s="12"/>
      <c r="G277" s="12"/>
      <c r="H277" s="12"/>
      <c r="I277" s="12"/>
      <c r="J277" s="12"/>
      <c r="K277" s="12"/>
      <c r="L277" s="12"/>
      <c r="M277" s="12"/>
      <c r="N277" s="12"/>
      <c r="O277" s="12"/>
      <c r="P277" s="12"/>
      <c r="Q277" s="12"/>
      <c r="R277" s="12"/>
      <c r="S277" s="12"/>
      <c r="T277" s="12"/>
      <c r="U277" s="12"/>
      <c r="V277" s="12"/>
      <c r="W277" s="12"/>
      <c r="X277" s="12"/>
      <c r="Y277" s="12"/>
      <c r="Z277" s="12"/>
      <c r="AA277" s="12"/>
      <c r="AB277" s="12"/>
      <c r="AC277" s="12"/>
      <c r="AD277" s="12"/>
      <c r="AE277" s="12"/>
      <c r="AF277" s="12"/>
      <c r="AG277" s="12"/>
      <c r="AH277" s="12"/>
      <c r="AI277" s="12"/>
      <c r="AJ277" s="12"/>
      <c r="AK277" s="12"/>
      <c r="AL277" s="12"/>
      <c r="AM277" s="12"/>
      <c r="AN277" s="12"/>
      <c r="AO277" s="12"/>
      <c r="AP277" s="12"/>
      <c r="AQ277" s="12"/>
      <c r="AR277" s="12"/>
      <c r="AS277" s="12"/>
      <c r="AT277" s="12"/>
      <c r="AU277" s="12"/>
      <c r="AV277" s="12"/>
      <c r="AW277" s="12"/>
      <c r="AX277" s="12"/>
      <c r="AY277" s="12"/>
      <c r="AZ277" s="12"/>
      <c r="BA277" s="12"/>
      <c r="BB277" s="12"/>
      <c r="BC277" s="12"/>
      <c r="BD277" s="12"/>
      <c r="BE277" s="12"/>
      <c r="BF277" s="12"/>
      <c r="BG277" s="12"/>
      <c r="BH277" s="12"/>
      <c r="BI277" s="12"/>
      <c r="BJ277" s="12"/>
      <c r="BK277" s="12"/>
      <c r="BL277" s="11"/>
      <c r="BM277" s="22"/>
      <c r="BN277" s="27"/>
      <c r="BO277" s="27"/>
      <c r="BP277" s="27"/>
      <c r="BQ277" s="31"/>
      <c r="BR277" s="30"/>
      <c r="BS277" s="27"/>
      <c r="BT277" s="22"/>
      <c r="BU277" s="11"/>
      <c r="BV277" s="11"/>
      <c r="BW277" s="12"/>
      <c r="BX277" s="12"/>
      <c r="BY277" s="12"/>
      <c r="BZ277" s="12"/>
      <c r="CA277" s="12"/>
      <c r="CB277" s="12"/>
      <c r="CC277" s="12"/>
      <c r="CD277" s="33">
        <v>45325.0</v>
      </c>
      <c r="CE277" s="34" t="s">
        <v>1198</v>
      </c>
      <c r="CF277" s="34" t="s">
        <v>1199</v>
      </c>
      <c r="CG277" s="34" t="s">
        <v>266</v>
      </c>
      <c r="CH277" s="34" t="s">
        <v>1199</v>
      </c>
      <c r="CI277" s="34" t="s">
        <v>266</v>
      </c>
      <c r="CJ277" s="12"/>
      <c r="CK277" s="34" t="s">
        <v>1200</v>
      </c>
      <c r="CL277" s="36" t="s">
        <v>1201</v>
      </c>
      <c r="CM277" s="12"/>
      <c r="CN277" s="12"/>
      <c r="CO277" s="12"/>
      <c r="CP277" s="12"/>
      <c r="CQ277" s="12"/>
      <c r="CR277" s="12"/>
      <c r="CS277" s="12"/>
      <c r="CT277" s="12"/>
      <c r="CU277" s="12"/>
      <c r="CV277" s="12"/>
      <c r="CW277" s="12"/>
      <c r="CX277" s="12"/>
      <c r="CY277" s="12"/>
      <c r="CZ277" s="12"/>
      <c r="DA277" s="12"/>
      <c r="DB277" s="12"/>
      <c r="DC277" s="12"/>
      <c r="DD277" s="12"/>
    </row>
    <row r="278" ht="22.5" customHeight="1">
      <c r="A278" s="11" t="s">
        <v>995</v>
      </c>
      <c r="B278" s="11" t="s">
        <v>1059</v>
      </c>
      <c r="C278" s="32" t="s">
        <v>3</v>
      </c>
      <c r="D278" s="12"/>
      <c r="E278" s="12"/>
      <c r="F278" s="12"/>
      <c r="G278" s="12"/>
      <c r="H278" s="12"/>
      <c r="I278" s="12"/>
      <c r="J278" s="12"/>
      <c r="K278" s="12"/>
      <c r="L278" s="12"/>
      <c r="M278" s="12"/>
      <c r="N278" s="12"/>
      <c r="O278" s="12"/>
      <c r="P278" s="12"/>
      <c r="Q278" s="12"/>
      <c r="R278" s="12"/>
      <c r="S278" s="12"/>
      <c r="T278" s="12"/>
      <c r="U278" s="12"/>
      <c r="V278" s="12"/>
      <c r="W278" s="12"/>
      <c r="X278" s="12"/>
      <c r="Y278" s="12"/>
      <c r="Z278" s="12"/>
      <c r="AA278" s="12"/>
      <c r="AB278" s="12"/>
      <c r="AC278" s="12"/>
      <c r="AD278" s="12"/>
      <c r="AE278" s="12"/>
      <c r="AF278" s="12"/>
      <c r="AG278" s="12"/>
      <c r="AH278" s="12"/>
      <c r="AI278" s="12"/>
      <c r="AJ278" s="12"/>
      <c r="AK278" s="12"/>
      <c r="AL278" s="12"/>
      <c r="AM278" s="12"/>
      <c r="AN278" s="12"/>
      <c r="AO278" s="12"/>
      <c r="AP278" s="12"/>
      <c r="AQ278" s="12"/>
      <c r="AR278" s="12"/>
      <c r="AS278" s="12"/>
      <c r="AT278" s="12"/>
      <c r="AU278" s="12"/>
      <c r="AV278" s="12"/>
      <c r="AW278" s="12"/>
      <c r="AX278" s="12"/>
      <c r="AY278" s="12"/>
      <c r="AZ278" s="12"/>
      <c r="BA278" s="12"/>
      <c r="BB278" s="12"/>
      <c r="BC278" s="12"/>
      <c r="BD278" s="12"/>
      <c r="BE278" s="12"/>
      <c r="BF278" s="12"/>
      <c r="BG278" s="12"/>
      <c r="BH278" s="12"/>
      <c r="BI278" s="12"/>
      <c r="BJ278" s="12"/>
      <c r="BK278" s="12"/>
      <c r="BL278" s="11"/>
      <c r="BM278" s="22"/>
      <c r="BN278" s="27"/>
      <c r="BO278" s="27"/>
      <c r="BP278" s="27"/>
      <c r="BQ278" s="31"/>
      <c r="BR278" s="30"/>
      <c r="BS278" s="27"/>
      <c r="BT278" s="22"/>
      <c r="BU278" s="11"/>
      <c r="BV278" s="11"/>
      <c r="BW278" s="12"/>
      <c r="BX278" s="12"/>
      <c r="BY278" s="12"/>
      <c r="BZ278" s="12"/>
      <c r="CA278" s="12"/>
      <c r="CB278" s="12"/>
      <c r="CC278" s="12"/>
      <c r="CD278" s="33">
        <v>45334.0</v>
      </c>
      <c r="CE278" s="34" t="s">
        <v>406</v>
      </c>
      <c r="CF278" s="34" t="s">
        <v>1202</v>
      </c>
      <c r="CG278" s="34" t="s">
        <v>266</v>
      </c>
      <c r="CH278" s="34" t="s">
        <v>1036</v>
      </c>
      <c r="CI278" s="34" t="s">
        <v>266</v>
      </c>
      <c r="CJ278" s="12"/>
      <c r="CK278" s="34" t="s">
        <v>1203</v>
      </c>
      <c r="CL278" s="26" t="s">
        <v>1021</v>
      </c>
      <c r="CM278" s="12"/>
      <c r="CN278" s="12"/>
      <c r="CO278" s="12"/>
      <c r="CP278" s="12"/>
      <c r="CQ278" s="12"/>
      <c r="CR278" s="12"/>
      <c r="CS278" s="12"/>
      <c r="CT278" s="12"/>
      <c r="CU278" s="12"/>
      <c r="CV278" s="12"/>
      <c r="CW278" s="12"/>
      <c r="CX278" s="12"/>
      <c r="CY278" s="12"/>
      <c r="CZ278" s="12"/>
      <c r="DA278" s="12"/>
      <c r="DB278" s="12"/>
      <c r="DC278" s="12"/>
      <c r="DD278" s="12"/>
    </row>
    <row r="279" ht="22.5" customHeight="1">
      <c r="A279" s="11" t="s">
        <v>995</v>
      </c>
      <c r="B279" s="11" t="s">
        <v>1059</v>
      </c>
      <c r="C279" s="32" t="s">
        <v>3</v>
      </c>
      <c r="D279" s="12"/>
      <c r="E279" s="12"/>
      <c r="F279" s="12"/>
      <c r="G279" s="12"/>
      <c r="H279" s="12"/>
      <c r="I279" s="12"/>
      <c r="J279" s="12"/>
      <c r="K279" s="12"/>
      <c r="L279" s="12"/>
      <c r="M279" s="12"/>
      <c r="N279" s="12"/>
      <c r="O279" s="12"/>
      <c r="P279" s="12"/>
      <c r="Q279" s="12"/>
      <c r="R279" s="12"/>
      <c r="S279" s="12"/>
      <c r="T279" s="12"/>
      <c r="U279" s="12"/>
      <c r="V279" s="12"/>
      <c r="W279" s="12"/>
      <c r="X279" s="12"/>
      <c r="Y279" s="12"/>
      <c r="Z279" s="12"/>
      <c r="AA279" s="12"/>
      <c r="AB279" s="12"/>
      <c r="AC279" s="12"/>
      <c r="AD279" s="12"/>
      <c r="AE279" s="12"/>
      <c r="AF279" s="12"/>
      <c r="AG279" s="12"/>
      <c r="AH279" s="12"/>
      <c r="AI279" s="12"/>
      <c r="AJ279" s="12"/>
      <c r="AK279" s="12"/>
      <c r="AL279" s="12"/>
      <c r="AM279" s="12"/>
      <c r="AN279" s="12"/>
      <c r="AO279" s="12"/>
      <c r="AP279" s="12"/>
      <c r="AQ279" s="12"/>
      <c r="AR279" s="12"/>
      <c r="AS279" s="12"/>
      <c r="AT279" s="12"/>
      <c r="AU279" s="12"/>
      <c r="AV279" s="12"/>
      <c r="AW279" s="12"/>
      <c r="AX279" s="12"/>
      <c r="AY279" s="12"/>
      <c r="AZ279" s="12"/>
      <c r="BA279" s="12"/>
      <c r="BB279" s="12"/>
      <c r="BC279" s="12"/>
      <c r="BD279" s="12"/>
      <c r="BE279" s="12"/>
      <c r="BF279" s="12"/>
      <c r="BG279" s="12"/>
      <c r="BH279" s="12"/>
      <c r="BI279" s="12"/>
      <c r="BJ279" s="12"/>
      <c r="BK279" s="12"/>
      <c r="BL279" s="11"/>
      <c r="BM279" s="22"/>
      <c r="BN279" s="27"/>
      <c r="BO279" s="27"/>
      <c r="BP279" s="27"/>
      <c r="BQ279" s="31"/>
      <c r="BR279" s="30"/>
      <c r="BS279" s="27"/>
      <c r="BT279" s="22"/>
      <c r="BU279" s="11"/>
      <c r="BV279" s="11"/>
      <c r="BW279" s="12"/>
      <c r="BX279" s="12"/>
      <c r="BY279" s="12"/>
      <c r="BZ279" s="12"/>
      <c r="CA279" s="12"/>
      <c r="CB279" s="12"/>
      <c r="CC279" s="12"/>
      <c r="CD279" s="33">
        <v>45324.0</v>
      </c>
      <c r="CE279" s="34" t="s">
        <v>406</v>
      </c>
      <c r="CF279" s="34" t="s">
        <v>1204</v>
      </c>
      <c r="CG279" s="34" t="s">
        <v>266</v>
      </c>
      <c r="CH279" s="34" t="s">
        <v>1205</v>
      </c>
      <c r="CI279" s="34" t="s">
        <v>266</v>
      </c>
      <c r="CJ279" s="12"/>
      <c r="CK279" s="34" t="s">
        <v>1203</v>
      </c>
      <c r="CL279" s="11"/>
      <c r="CM279" s="12"/>
      <c r="CN279" s="12"/>
      <c r="CO279" s="12"/>
      <c r="CP279" s="12"/>
      <c r="CQ279" s="12"/>
      <c r="CR279" s="12"/>
      <c r="CS279" s="12"/>
      <c r="CT279" s="12"/>
      <c r="CU279" s="12"/>
      <c r="CV279" s="12"/>
      <c r="CW279" s="12"/>
      <c r="CX279" s="12"/>
      <c r="CY279" s="12"/>
      <c r="CZ279" s="12"/>
      <c r="DA279" s="12"/>
      <c r="DB279" s="12"/>
      <c r="DC279" s="12"/>
      <c r="DD279" s="12"/>
    </row>
    <row r="280" ht="22.5" customHeight="1">
      <c r="A280" s="11" t="s">
        <v>995</v>
      </c>
      <c r="B280" s="11" t="s">
        <v>1059</v>
      </c>
      <c r="C280" s="32" t="s">
        <v>3</v>
      </c>
      <c r="D280" s="12"/>
      <c r="E280" s="12"/>
      <c r="F280" s="12"/>
      <c r="G280" s="12"/>
      <c r="H280" s="12"/>
      <c r="I280" s="12"/>
      <c r="J280" s="12"/>
      <c r="K280" s="12"/>
      <c r="L280" s="12"/>
      <c r="M280" s="12"/>
      <c r="N280" s="12"/>
      <c r="O280" s="12"/>
      <c r="P280" s="12"/>
      <c r="Q280" s="12"/>
      <c r="R280" s="12"/>
      <c r="S280" s="12"/>
      <c r="T280" s="12"/>
      <c r="U280" s="12"/>
      <c r="V280" s="12"/>
      <c r="W280" s="12"/>
      <c r="X280" s="12"/>
      <c r="Y280" s="12"/>
      <c r="Z280" s="12"/>
      <c r="AA280" s="12"/>
      <c r="AB280" s="12"/>
      <c r="AC280" s="12"/>
      <c r="AD280" s="12"/>
      <c r="AE280" s="12"/>
      <c r="AF280" s="12"/>
      <c r="AG280" s="12"/>
      <c r="AH280" s="12"/>
      <c r="AI280" s="12"/>
      <c r="AJ280" s="12"/>
      <c r="AK280" s="12"/>
      <c r="AL280" s="12"/>
      <c r="AM280" s="12"/>
      <c r="AN280" s="12"/>
      <c r="AO280" s="12"/>
      <c r="AP280" s="12"/>
      <c r="AQ280" s="12"/>
      <c r="AR280" s="12"/>
      <c r="AS280" s="12"/>
      <c r="AT280" s="12"/>
      <c r="AU280" s="12"/>
      <c r="AV280" s="12"/>
      <c r="AW280" s="12"/>
      <c r="AX280" s="12"/>
      <c r="AY280" s="12"/>
      <c r="AZ280" s="12"/>
      <c r="BA280" s="12"/>
      <c r="BB280" s="12"/>
      <c r="BC280" s="12"/>
      <c r="BD280" s="12"/>
      <c r="BE280" s="12"/>
      <c r="BF280" s="12"/>
      <c r="BG280" s="12"/>
      <c r="BH280" s="12"/>
      <c r="BI280" s="12"/>
      <c r="BJ280" s="12"/>
      <c r="BK280" s="12"/>
      <c r="BL280" s="11"/>
      <c r="BM280" s="22"/>
      <c r="BN280" s="27"/>
      <c r="BO280" s="27"/>
      <c r="BP280" s="27"/>
      <c r="BQ280" s="31"/>
      <c r="BR280" s="30"/>
      <c r="BS280" s="27"/>
      <c r="BT280" s="22"/>
      <c r="BU280" s="11"/>
      <c r="BV280" s="11"/>
      <c r="BW280" s="12"/>
      <c r="BX280" s="12"/>
      <c r="BY280" s="12"/>
      <c r="BZ280" s="12"/>
      <c r="CA280" s="12"/>
      <c r="CB280" s="12"/>
      <c r="CC280" s="12"/>
      <c r="CD280" s="33">
        <v>45370.0</v>
      </c>
      <c r="CE280" s="34" t="s">
        <v>1206</v>
      </c>
      <c r="CF280" s="34" t="s">
        <v>1207</v>
      </c>
      <c r="CG280" s="34" t="s">
        <v>266</v>
      </c>
      <c r="CH280" s="34" t="s">
        <v>1208</v>
      </c>
      <c r="CI280" s="34" t="s">
        <v>266</v>
      </c>
      <c r="CJ280" s="12"/>
      <c r="CK280" s="34" t="s">
        <v>1203</v>
      </c>
      <c r="CL280" s="15" t="s">
        <v>1209</v>
      </c>
      <c r="CM280" s="12"/>
      <c r="CN280" s="12"/>
      <c r="CO280" s="12"/>
      <c r="CP280" s="12"/>
      <c r="CQ280" s="12"/>
      <c r="CR280" s="12"/>
      <c r="CS280" s="12"/>
      <c r="CT280" s="12"/>
      <c r="CU280" s="12"/>
      <c r="CV280" s="12"/>
      <c r="CW280" s="12"/>
      <c r="CX280" s="12"/>
      <c r="CY280" s="12"/>
      <c r="CZ280" s="12"/>
      <c r="DA280" s="12"/>
      <c r="DB280" s="12"/>
      <c r="DC280" s="12"/>
      <c r="DD280" s="12"/>
    </row>
    <row r="281" ht="22.5" customHeight="1">
      <c r="A281" s="11" t="s">
        <v>995</v>
      </c>
      <c r="B281" s="11" t="s">
        <v>1059</v>
      </c>
      <c r="C281" s="32" t="s">
        <v>3</v>
      </c>
      <c r="D281" s="12"/>
      <c r="E281" s="12"/>
      <c r="F281" s="12"/>
      <c r="G281" s="12"/>
      <c r="H281" s="12"/>
      <c r="I281" s="12"/>
      <c r="J281" s="12"/>
      <c r="K281" s="12"/>
      <c r="L281" s="12"/>
      <c r="M281" s="12"/>
      <c r="N281" s="12"/>
      <c r="O281" s="12"/>
      <c r="P281" s="12"/>
      <c r="Q281" s="12"/>
      <c r="R281" s="12"/>
      <c r="S281" s="12"/>
      <c r="T281" s="12"/>
      <c r="U281" s="12"/>
      <c r="V281" s="12"/>
      <c r="W281" s="12"/>
      <c r="X281" s="12"/>
      <c r="Y281" s="12"/>
      <c r="Z281" s="12"/>
      <c r="AA281" s="12"/>
      <c r="AB281" s="12"/>
      <c r="AC281" s="12"/>
      <c r="AD281" s="12"/>
      <c r="AE281" s="12"/>
      <c r="AF281" s="12"/>
      <c r="AG281" s="12"/>
      <c r="AH281" s="12"/>
      <c r="AI281" s="12"/>
      <c r="AJ281" s="12"/>
      <c r="AK281" s="12"/>
      <c r="AL281" s="12"/>
      <c r="AM281" s="12"/>
      <c r="AN281" s="12"/>
      <c r="AO281" s="12"/>
      <c r="AP281" s="12"/>
      <c r="AQ281" s="12"/>
      <c r="AR281" s="12"/>
      <c r="AS281" s="12"/>
      <c r="AT281" s="12"/>
      <c r="AU281" s="12"/>
      <c r="AV281" s="12"/>
      <c r="AW281" s="12"/>
      <c r="AX281" s="12"/>
      <c r="AY281" s="12"/>
      <c r="AZ281" s="12"/>
      <c r="BA281" s="12"/>
      <c r="BB281" s="12"/>
      <c r="BC281" s="12"/>
      <c r="BD281" s="12"/>
      <c r="BE281" s="12"/>
      <c r="BF281" s="12"/>
      <c r="BG281" s="12"/>
      <c r="BH281" s="12"/>
      <c r="BI281" s="12"/>
      <c r="BJ281" s="12"/>
      <c r="BK281" s="12"/>
      <c r="BL281" s="11"/>
      <c r="BM281" s="22"/>
      <c r="BN281" s="27"/>
      <c r="BO281" s="27"/>
      <c r="BP281" s="27"/>
      <c r="BQ281" s="31"/>
      <c r="BR281" s="30"/>
      <c r="BS281" s="27"/>
      <c r="BT281" s="22"/>
      <c r="BU281" s="11"/>
      <c r="BV281" s="11"/>
      <c r="BW281" s="12"/>
      <c r="BX281" s="12"/>
      <c r="BY281" s="12"/>
      <c r="BZ281" s="12"/>
      <c r="CA281" s="12"/>
      <c r="CB281" s="12"/>
      <c r="CC281" s="12"/>
      <c r="CD281" s="33">
        <v>45425.0</v>
      </c>
      <c r="CE281" s="34" t="s">
        <v>1161</v>
      </c>
      <c r="CF281" s="34" t="s">
        <v>1210</v>
      </c>
      <c r="CG281" s="34" t="s">
        <v>1211</v>
      </c>
      <c r="CH281" s="34" t="s">
        <v>1212</v>
      </c>
      <c r="CI281" s="34" t="s">
        <v>266</v>
      </c>
      <c r="CJ281" s="12"/>
      <c r="CK281" s="34" t="s">
        <v>1213</v>
      </c>
      <c r="CL281" s="26" t="s">
        <v>1214</v>
      </c>
      <c r="CM281" s="12"/>
      <c r="CN281" s="12"/>
      <c r="CO281" s="12"/>
      <c r="CP281" s="12"/>
      <c r="CQ281" s="12"/>
      <c r="CR281" s="12"/>
      <c r="CS281" s="12"/>
      <c r="CT281" s="12"/>
      <c r="CU281" s="12"/>
      <c r="CV281" s="12"/>
      <c r="CW281" s="12"/>
      <c r="CX281" s="12"/>
      <c r="CY281" s="12"/>
      <c r="CZ281" s="12"/>
      <c r="DA281" s="12"/>
      <c r="DB281" s="12"/>
      <c r="DC281" s="12"/>
      <c r="DD281" s="12"/>
    </row>
    <row r="282" ht="22.5" customHeight="1">
      <c r="A282" s="11" t="s">
        <v>995</v>
      </c>
      <c r="B282" s="11" t="s">
        <v>1059</v>
      </c>
      <c r="C282" s="32" t="s">
        <v>3</v>
      </c>
      <c r="D282" s="12"/>
      <c r="E282" s="12"/>
      <c r="F282" s="12"/>
      <c r="G282" s="12"/>
      <c r="H282" s="12"/>
      <c r="I282" s="12"/>
      <c r="J282" s="12"/>
      <c r="K282" s="12"/>
      <c r="L282" s="12"/>
      <c r="M282" s="12"/>
      <c r="N282" s="12"/>
      <c r="O282" s="12"/>
      <c r="P282" s="12"/>
      <c r="Q282" s="12"/>
      <c r="R282" s="12"/>
      <c r="S282" s="12"/>
      <c r="T282" s="12"/>
      <c r="U282" s="12"/>
      <c r="V282" s="12"/>
      <c r="W282" s="12"/>
      <c r="X282" s="12"/>
      <c r="Y282" s="12"/>
      <c r="Z282" s="12"/>
      <c r="AA282" s="12"/>
      <c r="AB282" s="12"/>
      <c r="AC282" s="12"/>
      <c r="AD282" s="12"/>
      <c r="AE282" s="12"/>
      <c r="AF282" s="12"/>
      <c r="AG282" s="12"/>
      <c r="AH282" s="12"/>
      <c r="AI282" s="12"/>
      <c r="AJ282" s="12"/>
      <c r="AK282" s="12"/>
      <c r="AL282" s="12"/>
      <c r="AM282" s="12"/>
      <c r="AN282" s="12"/>
      <c r="AO282" s="12"/>
      <c r="AP282" s="12"/>
      <c r="AQ282" s="12"/>
      <c r="AR282" s="12"/>
      <c r="AS282" s="12"/>
      <c r="AT282" s="12"/>
      <c r="AU282" s="12"/>
      <c r="AV282" s="12"/>
      <c r="AW282" s="12"/>
      <c r="AX282" s="12"/>
      <c r="AY282" s="12"/>
      <c r="AZ282" s="12"/>
      <c r="BA282" s="12"/>
      <c r="BB282" s="12"/>
      <c r="BC282" s="12"/>
      <c r="BD282" s="12"/>
      <c r="BE282" s="12"/>
      <c r="BF282" s="12"/>
      <c r="BG282" s="12"/>
      <c r="BH282" s="12"/>
      <c r="BI282" s="12"/>
      <c r="BJ282" s="12"/>
      <c r="BK282" s="12"/>
      <c r="BL282" s="11"/>
      <c r="BM282" s="22"/>
      <c r="BN282" s="27"/>
      <c r="BO282" s="27"/>
      <c r="BP282" s="27"/>
      <c r="BQ282" s="31"/>
      <c r="BR282" s="30"/>
      <c r="BS282" s="27"/>
      <c r="BT282" s="22"/>
      <c r="BU282" s="11"/>
      <c r="BV282" s="11"/>
      <c r="BW282" s="12"/>
      <c r="BX282" s="12"/>
      <c r="BY282" s="12"/>
      <c r="BZ282" s="12"/>
      <c r="CA282" s="12"/>
      <c r="CB282" s="12"/>
      <c r="CC282" s="12"/>
      <c r="CD282" s="33">
        <v>45527.0</v>
      </c>
      <c r="CE282" s="34" t="s">
        <v>1215</v>
      </c>
      <c r="CF282" s="34" t="s">
        <v>1216</v>
      </c>
      <c r="CG282" s="12"/>
      <c r="CH282" s="34" t="s">
        <v>799</v>
      </c>
      <c r="CI282" s="34" t="s">
        <v>266</v>
      </c>
      <c r="CJ282" s="12"/>
      <c r="CK282" s="34" t="s">
        <v>1200</v>
      </c>
      <c r="CL282" s="15" t="s">
        <v>1217</v>
      </c>
      <c r="CM282" s="12"/>
      <c r="CN282" s="12"/>
      <c r="CO282" s="12"/>
      <c r="CP282" s="12"/>
      <c r="CQ282" s="12"/>
      <c r="CR282" s="12"/>
      <c r="CS282" s="12"/>
      <c r="CT282" s="12"/>
      <c r="CU282" s="12"/>
      <c r="CV282" s="12"/>
      <c r="CW282" s="12"/>
      <c r="CX282" s="12"/>
      <c r="CY282" s="12"/>
      <c r="CZ282" s="12"/>
      <c r="DA282" s="12"/>
      <c r="DB282" s="12"/>
      <c r="DC282" s="12"/>
      <c r="DD282" s="12"/>
    </row>
    <row r="283" ht="22.5" customHeight="1">
      <c r="A283" s="11" t="s">
        <v>995</v>
      </c>
      <c r="B283" s="11" t="s">
        <v>1059</v>
      </c>
      <c r="C283" s="32" t="s">
        <v>3</v>
      </c>
      <c r="D283" s="12"/>
      <c r="E283" s="12"/>
      <c r="F283" s="12"/>
      <c r="G283" s="12"/>
      <c r="H283" s="12"/>
      <c r="I283" s="12"/>
      <c r="J283" s="12"/>
      <c r="K283" s="12"/>
      <c r="L283" s="12"/>
      <c r="M283" s="12"/>
      <c r="N283" s="12"/>
      <c r="O283" s="12"/>
      <c r="P283" s="12"/>
      <c r="Q283" s="12"/>
      <c r="R283" s="12"/>
      <c r="S283" s="12"/>
      <c r="T283" s="12"/>
      <c r="U283" s="12"/>
      <c r="V283" s="12"/>
      <c r="W283" s="12"/>
      <c r="X283" s="12"/>
      <c r="Y283" s="12"/>
      <c r="Z283" s="12"/>
      <c r="AA283" s="12"/>
      <c r="AB283" s="12"/>
      <c r="AC283" s="12"/>
      <c r="AD283" s="12"/>
      <c r="AE283" s="12"/>
      <c r="AF283" s="12"/>
      <c r="AG283" s="12"/>
      <c r="AH283" s="12"/>
      <c r="AI283" s="12"/>
      <c r="AJ283" s="12"/>
      <c r="AK283" s="12"/>
      <c r="AL283" s="12"/>
      <c r="AM283" s="12"/>
      <c r="AN283" s="12"/>
      <c r="AO283" s="12"/>
      <c r="AP283" s="12"/>
      <c r="AQ283" s="12"/>
      <c r="AR283" s="12"/>
      <c r="AS283" s="12"/>
      <c r="AT283" s="12"/>
      <c r="AU283" s="12"/>
      <c r="AV283" s="12"/>
      <c r="AW283" s="12"/>
      <c r="AX283" s="12"/>
      <c r="AY283" s="12"/>
      <c r="AZ283" s="12"/>
      <c r="BA283" s="12"/>
      <c r="BB283" s="12"/>
      <c r="BC283" s="12"/>
      <c r="BD283" s="12"/>
      <c r="BE283" s="12"/>
      <c r="BF283" s="12"/>
      <c r="BG283" s="12"/>
      <c r="BH283" s="12"/>
      <c r="BI283" s="12"/>
      <c r="BJ283" s="12"/>
      <c r="BK283" s="12"/>
      <c r="BL283" s="11"/>
      <c r="BM283" s="22"/>
      <c r="BN283" s="27"/>
      <c r="BO283" s="27"/>
      <c r="BP283" s="27"/>
      <c r="BQ283" s="31"/>
      <c r="BR283" s="30"/>
      <c r="BS283" s="27"/>
      <c r="BT283" s="22"/>
      <c r="BU283" s="11"/>
      <c r="BV283" s="11"/>
      <c r="BW283" s="12"/>
      <c r="BX283" s="12"/>
      <c r="BY283" s="12"/>
      <c r="BZ283" s="12"/>
      <c r="CA283" s="12"/>
      <c r="CB283" s="12"/>
      <c r="CC283" s="12"/>
      <c r="CD283" s="33">
        <v>45539.0</v>
      </c>
      <c r="CE283" s="34" t="s">
        <v>1218</v>
      </c>
      <c r="CF283" s="34" t="s">
        <v>1219</v>
      </c>
      <c r="CG283" s="12"/>
      <c r="CH283" s="34" t="s">
        <v>1220</v>
      </c>
      <c r="CI283" s="34" t="s">
        <v>1221</v>
      </c>
      <c r="CJ283" s="12"/>
      <c r="CK283" s="34" t="s">
        <v>1203</v>
      </c>
      <c r="CL283" s="40" t="s">
        <v>1222</v>
      </c>
      <c r="CM283" s="12"/>
      <c r="CN283" s="12"/>
      <c r="CO283" s="12"/>
      <c r="CP283" s="12"/>
      <c r="CQ283" s="12"/>
      <c r="CR283" s="12"/>
      <c r="CS283" s="12"/>
      <c r="CT283" s="12"/>
      <c r="CU283" s="12"/>
      <c r="CV283" s="12"/>
      <c r="CW283" s="12"/>
      <c r="CX283" s="12"/>
      <c r="CY283" s="12"/>
      <c r="CZ283" s="12"/>
      <c r="DA283" s="12"/>
      <c r="DB283" s="12"/>
      <c r="DC283" s="12"/>
      <c r="DD283" s="12"/>
    </row>
    <row r="284" ht="22.5" customHeight="1">
      <c r="A284" s="11" t="s">
        <v>995</v>
      </c>
      <c r="B284" s="11" t="s">
        <v>1059</v>
      </c>
      <c r="C284" s="32" t="s">
        <v>3</v>
      </c>
      <c r="D284" s="12"/>
      <c r="E284" s="12"/>
      <c r="F284" s="12"/>
      <c r="G284" s="12"/>
      <c r="H284" s="12"/>
      <c r="I284" s="12"/>
      <c r="J284" s="12"/>
      <c r="K284" s="12"/>
      <c r="L284" s="12"/>
      <c r="M284" s="12"/>
      <c r="N284" s="12"/>
      <c r="O284" s="12"/>
      <c r="P284" s="12"/>
      <c r="Q284" s="12"/>
      <c r="R284" s="12"/>
      <c r="S284" s="12"/>
      <c r="T284" s="12"/>
      <c r="U284" s="12"/>
      <c r="V284" s="12"/>
      <c r="W284" s="12"/>
      <c r="X284" s="12"/>
      <c r="Y284" s="12"/>
      <c r="Z284" s="12"/>
      <c r="AA284" s="12"/>
      <c r="AB284" s="12"/>
      <c r="AC284" s="12"/>
      <c r="AD284" s="12"/>
      <c r="AE284" s="12"/>
      <c r="AF284" s="12"/>
      <c r="AG284" s="12"/>
      <c r="AH284" s="12"/>
      <c r="AI284" s="12"/>
      <c r="AJ284" s="12"/>
      <c r="AK284" s="12"/>
      <c r="AL284" s="12"/>
      <c r="AM284" s="12"/>
      <c r="AN284" s="12"/>
      <c r="AO284" s="12"/>
      <c r="AP284" s="12"/>
      <c r="AQ284" s="12"/>
      <c r="AR284" s="12"/>
      <c r="AS284" s="12"/>
      <c r="AT284" s="12"/>
      <c r="AU284" s="12"/>
      <c r="AV284" s="12"/>
      <c r="AW284" s="12"/>
      <c r="AX284" s="12"/>
      <c r="AY284" s="12"/>
      <c r="AZ284" s="12"/>
      <c r="BA284" s="12"/>
      <c r="BB284" s="12"/>
      <c r="BC284" s="12"/>
      <c r="BD284" s="12"/>
      <c r="BE284" s="12"/>
      <c r="BF284" s="12"/>
      <c r="BG284" s="12"/>
      <c r="BH284" s="12"/>
      <c r="BI284" s="12"/>
      <c r="BJ284" s="12"/>
      <c r="BK284" s="12"/>
      <c r="BL284" s="11"/>
      <c r="BM284" s="22"/>
      <c r="BN284" s="27"/>
      <c r="BO284" s="27"/>
      <c r="BP284" s="27"/>
      <c r="BQ284" s="31"/>
      <c r="BR284" s="30"/>
      <c r="BS284" s="27"/>
      <c r="BT284" s="22"/>
      <c r="BU284" s="11"/>
      <c r="BV284" s="11"/>
      <c r="BW284" s="12"/>
      <c r="BX284" s="12"/>
      <c r="BY284" s="12"/>
      <c r="BZ284" s="12"/>
      <c r="CA284" s="12"/>
      <c r="CB284" s="12"/>
      <c r="CC284" s="12"/>
      <c r="CD284" s="33">
        <v>45548.0</v>
      </c>
      <c r="CE284" s="34" t="s">
        <v>1206</v>
      </c>
      <c r="CF284" s="34" t="s">
        <v>1207</v>
      </c>
      <c r="CG284" s="12"/>
      <c r="CH284" s="34" t="s">
        <v>1223</v>
      </c>
      <c r="CI284" s="34" t="s">
        <v>266</v>
      </c>
      <c r="CJ284" s="12"/>
      <c r="CK284" s="34" t="s">
        <v>1224</v>
      </c>
      <c r="CL284" s="26" t="s">
        <v>1225</v>
      </c>
      <c r="CM284" s="12"/>
      <c r="CN284" s="12"/>
      <c r="CO284" s="12"/>
      <c r="CP284" s="12"/>
      <c r="CQ284" s="12"/>
      <c r="CR284" s="12"/>
      <c r="CS284" s="12"/>
      <c r="CT284" s="12"/>
      <c r="CU284" s="12"/>
      <c r="CV284" s="12"/>
      <c r="CW284" s="12"/>
      <c r="CX284" s="12"/>
      <c r="CY284" s="12"/>
      <c r="CZ284" s="12"/>
      <c r="DA284" s="12"/>
      <c r="DB284" s="12"/>
      <c r="DC284" s="12"/>
      <c r="DD284" s="12"/>
    </row>
    <row r="285" ht="22.5" customHeight="1">
      <c r="A285" s="11" t="s">
        <v>995</v>
      </c>
      <c r="B285" s="11" t="s">
        <v>1059</v>
      </c>
      <c r="C285" s="32" t="s">
        <v>3</v>
      </c>
      <c r="D285" s="12"/>
      <c r="E285" s="12"/>
      <c r="F285" s="12"/>
      <c r="G285" s="12"/>
      <c r="H285" s="12"/>
      <c r="I285" s="12"/>
      <c r="J285" s="12"/>
      <c r="K285" s="12"/>
      <c r="L285" s="12"/>
      <c r="M285" s="12"/>
      <c r="N285" s="12"/>
      <c r="O285" s="12"/>
      <c r="P285" s="12"/>
      <c r="Q285" s="12"/>
      <c r="R285" s="12"/>
      <c r="S285" s="12"/>
      <c r="T285" s="12"/>
      <c r="U285" s="12"/>
      <c r="V285" s="12"/>
      <c r="W285" s="12"/>
      <c r="X285" s="12"/>
      <c r="Y285" s="12"/>
      <c r="Z285" s="12"/>
      <c r="AA285" s="12"/>
      <c r="AB285" s="12"/>
      <c r="AC285" s="12"/>
      <c r="AD285" s="12"/>
      <c r="AE285" s="12"/>
      <c r="AF285" s="12"/>
      <c r="AG285" s="12"/>
      <c r="AH285" s="12"/>
      <c r="AI285" s="12"/>
      <c r="AJ285" s="12"/>
      <c r="AK285" s="12"/>
      <c r="AL285" s="12"/>
      <c r="AM285" s="12"/>
      <c r="AN285" s="12"/>
      <c r="AO285" s="12"/>
      <c r="AP285" s="12"/>
      <c r="AQ285" s="12"/>
      <c r="AR285" s="12"/>
      <c r="AS285" s="12"/>
      <c r="AT285" s="12"/>
      <c r="AU285" s="12"/>
      <c r="AV285" s="12"/>
      <c r="AW285" s="12"/>
      <c r="AX285" s="12"/>
      <c r="AY285" s="12"/>
      <c r="AZ285" s="12"/>
      <c r="BA285" s="12"/>
      <c r="BB285" s="12"/>
      <c r="BC285" s="12"/>
      <c r="BD285" s="12"/>
      <c r="BE285" s="12"/>
      <c r="BF285" s="12"/>
      <c r="BG285" s="12"/>
      <c r="BH285" s="12"/>
      <c r="BI285" s="12"/>
      <c r="BJ285" s="12"/>
      <c r="BK285" s="12"/>
      <c r="BL285" s="11"/>
      <c r="BM285" s="22"/>
      <c r="BN285" s="27"/>
      <c r="BO285" s="27"/>
      <c r="BP285" s="27"/>
      <c r="BQ285" s="31"/>
      <c r="BR285" s="30"/>
      <c r="BS285" s="27"/>
      <c r="BT285" s="22"/>
      <c r="BU285" s="11"/>
      <c r="BV285" s="11"/>
      <c r="BW285" s="12"/>
      <c r="BX285" s="12"/>
      <c r="BY285" s="12"/>
      <c r="BZ285" s="12"/>
      <c r="CA285" s="12"/>
      <c r="CB285" s="12"/>
      <c r="CC285" s="12"/>
      <c r="CD285" s="33">
        <v>45570.0</v>
      </c>
      <c r="CE285" s="34" t="s">
        <v>1226</v>
      </c>
      <c r="CF285" s="34" t="s">
        <v>1227</v>
      </c>
      <c r="CG285" s="12"/>
      <c r="CH285" s="34" t="s">
        <v>1227</v>
      </c>
      <c r="CI285" s="34" t="s">
        <v>266</v>
      </c>
      <c r="CJ285" s="12"/>
      <c r="CK285" s="34" t="s">
        <v>1224</v>
      </c>
      <c r="CL285" s="15" t="s">
        <v>1228</v>
      </c>
      <c r="CM285" s="12"/>
      <c r="CN285" s="12"/>
      <c r="CO285" s="12"/>
      <c r="CP285" s="12"/>
      <c r="CQ285" s="12"/>
      <c r="CR285" s="12"/>
      <c r="CS285" s="12"/>
      <c r="CT285" s="12"/>
      <c r="CU285" s="12"/>
      <c r="CV285" s="12"/>
      <c r="CW285" s="12"/>
      <c r="CX285" s="12"/>
      <c r="CY285" s="12"/>
      <c r="CZ285" s="12"/>
      <c r="DA285" s="12"/>
      <c r="DB285" s="12"/>
      <c r="DC285" s="12"/>
      <c r="DD285" s="12"/>
    </row>
    <row r="286" ht="22.5" customHeight="1">
      <c r="A286" s="11" t="s">
        <v>995</v>
      </c>
      <c r="B286" s="11" t="s">
        <v>1059</v>
      </c>
      <c r="C286" s="32" t="s">
        <v>3</v>
      </c>
      <c r="D286" s="12"/>
      <c r="E286" s="12"/>
      <c r="F286" s="12"/>
      <c r="G286" s="12"/>
      <c r="H286" s="12"/>
      <c r="I286" s="12"/>
      <c r="J286" s="12"/>
      <c r="K286" s="12"/>
      <c r="L286" s="12"/>
      <c r="M286" s="12"/>
      <c r="N286" s="12"/>
      <c r="O286" s="12"/>
      <c r="P286" s="12"/>
      <c r="Q286" s="12"/>
      <c r="R286" s="12"/>
      <c r="S286" s="12"/>
      <c r="T286" s="12"/>
      <c r="U286" s="12"/>
      <c r="V286" s="12"/>
      <c r="W286" s="12"/>
      <c r="X286" s="12"/>
      <c r="Y286" s="12"/>
      <c r="Z286" s="12"/>
      <c r="AA286" s="12"/>
      <c r="AB286" s="12"/>
      <c r="AC286" s="12"/>
      <c r="AD286" s="12"/>
      <c r="AE286" s="12"/>
      <c r="AF286" s="12"/>
      <c r="AG286" s="12"/>
      <c r="AH286" s="12"/>
      <c r="AI286" s="12"/>
      <c r="AJ286" s="12"/>
      <c r="AK286" s="12"/>
      <c r="AL286" s="12"/>
      <c r="AM286" s="12"/>
      <c r="AN286" s="12"/>
      <c r="AO286" s="12"/>
      <c r="AP286" s="12"/>
      <c r="AQ286" s="12"/>
      <c r="AR286" s="12"/>
      <c r="AS286" s="12"/>
      <c r="AT286" s="12"/>
      <c r="AU286" s="12"/>
      <c r="AV286" s="12"/>
      <c r="AW286" s="12"/>
      <c r="AX286" s="12"/>
      <c r="AY286" s="12"/>
      <c r="AZ286" s="12"/>
      <c r="BA286" s="12"/>
      <c r="BB286" s="12"/>
      <c r="BC286" s="12"/>
      <c r="BD286" s="12"/>
      <c r="BE286" s="12"/>
      <c r="BF286" s="12"/>
      <c r="BG286" s="12"/>
      <c r="BH286" s="12"/>
      <c r="BI286" s="12"/>
      <c r="BJ286" s="12"/>
      <c r="BK286" s="12"/>
      <c r="BL286" s="11"/>
      <c r="BM286" s="22"/>
      <c r="BN286" s="27"/>
      <c r="BO286" s="27"/>
      <c r="BP286" s="27"/>
      <c r="BQ286" s="31"/>
      <c r="BR286" s="30"/>
      <c r="BS286" s="27"/>
      <c r="BT286" s="22"/>
      <c r="BU286" s="11"/>
      <c r="BV286" s="11"/>
      <c r="BW286" s="12"/>
      <c r="BX286" s="12"/>
      <c r="BY286" s="12"/>
      <c r="BZ286" s="12"/>
      <c r="CA286" s="12"/>
      <c r="CB286" s="12"/>
      <c r="CC286" s="12"/>
      <c r="CD286" s="33">
        <v>45750.0</v>
      </c>
      <c r="CE286" s="34" t="s">
        <v>1229</v>
      </c>
      <c r="CF286" s="34" t="s">
        <v>1230</v>
      </c>
      <c r="CG286" s="34" t="s">
        <v>266</v>
      </c>
      <c r="CH286" s="34" t="s">
        <v>1231</v>
      </c>
      <c r="CI286" s="34" t="s">
        <v>1230</v>
      </c>
      <c r="CJ286" s="12"/>
      <c r="CK286" s="34" t="s">
        <v>1200</v>
      </c>
      <c r="CL286" s="15" t="s">
        <v>1232</v>
      </c>
      <c r="CM286" s="12"/>
      <c r="CN286" s="12"/>
      <c r="CO286" s="12"/>
      <c r="CP286" s="12"/>
      <c r="CQ286" s="12"/>
      <c r="CR286" s="12"/>
      <c r="CS286" s="12"/>
      <c r="CT286" s="12"/>
      <c r="CU286" s="12"/>
      <c r="CV286" s="12"/>
      <c r="CW286" s="12"/>
      <c r="CX286" s="12"/>
      <c r="CY286" s="12"/>
      <c r="CZ286" s="12"/>
      <c r="DA286" s="12"/>
      <c r="DB286" s="12"/>
      <c r="DC286" s="12"/>
      <c r="DD286" s="12"/>
    </row>
    <row r="287" ht="22.5" customHeight="1">
      <c r="A287" s="11" t="s">
        <v>995</v>
      </c>
      <c r="B287" s="11" t="s">
        <v>1059</v>
      </c>
      <c r="C287" s="32" t="s">
        <v>3</v>
      </c>
      <c r="D287" s="12"/>
      <c r="E287" s="12"/>
      <c r="F287" s="12"/>
      <c r="G287" s="12"/>
      <c r="H287" s="12"/>
      <c r="I287" s="12"/>
      <c r="J287" s="12"/>
      <c r="K287" s="12"/>
      <c r="L287" s="12"/>
      <c r="M287" s="12"/>
      <c r="N287" s="12"/>
      <c r="O287" s="12"/>
      <c r="P287" s="12"/>
      <c r="Q287" s="12"/>
      <c r="R287" s="12"/>
      <c r="S287" s="12"/>
      <c r="T287" s="12"/>
      <c r="U287" s="12"/>
      <c r="V287" s="12"/>
      <c r="W287" s="12"/>
      <c r="X287" s="12"/>
      <c r="Y287" s="12"/>
      <c r="Z287" s="12"/>
      <c r="AA287" s="12"/>
      <c r="AB287" s="12"/>
      <c r="AC287" s="12"/>
      <c r="AD287" s="12"/>
      <c r="AE287" s="12"/>
      <c r="AF287" s="12"/>
      <c r="AG287" s="12"/>
      <c r="AH287" s="12"/>
      <c r="AI287" s="12"/>
      <c r="AJ287" s="12"/>
      <c r="AK287" s="12"/>
      <c r="AL287" s="12"/>
      <c r="AM287" s="12"/>
      <c r="AN287" s="12"/>
      <c r="AO287" s="12"/>
      <c r="AP287" s="12"/>
      <c r="AQ287" s="12"/>
      <c r="AR287" s="12"/>
      <c r="AS287" s="12"/>
      <c r="AT287" s="12"/>
      <c r="AU287" s="12"/>
      <c r="AV287" s="12"/>
      <c r="AW287" s="12"/>
      <c r="AX287" s="12"/>
      <c r="AY287" s="12"/>
      <c r="AZ287" s="12"/>
      <c r="BA287" s="12"/>
      <c r="BB287" s="12"/>
      <c r="BC287" s="12"/>
      <c r="BD287" s="12"/>
      <c r="BE287" s="12"/>
      <c r="BF287" s="12"/>
      <c r="BG287" s="12"/>
      <c r="BH287" s="12"/>
      <c r="BI287" s="12"/>
      <c r="BJ287" s="12"/>
      <c r="BK287" s="12"/>
      <c r="BL287" s="11"/>
      <c r="BM287" s="22"/>
      <c r="BN287" s="27"/>
      <c r="BO287" s="27"/>
      <c r="BP287" s="27"/>
      <c r="BQ287" s="31"/>
      <c r="BR287" s="30"/>
      <c r="BS287" s="27"/>
      <c r="BT287" s="22"/>
      <c r="BU287" s="11"/>
      <c r="BV287" s="11"/>
      <c r="BW287" s="12"/>
      <c r="BX287" s="12"/>
      <c r="BY287" s="12"/>
      <c r="BZ287" s="12"/>
      <c r="CA287" s="12"/>
      <c r="CB287" s="12"/>
      <c r="CC287" s="12"/>
      <c r="CD287" s="33">
        <v>45856.0</v>
      </c>
      <c r="CE287" s="34" t="s">
        <v>1233</v>
      </c>
      <c r="CF287" s="34" t="s">
        <v>1234</v>
      </c>
      <c r="CG287" s="34" t="s">
        <v>266</v>
      </c>
      <c r="CH287" s="34" t="s">
        <v>1235</v>
      </c>
      <c r="CI287" s="34" t="s">
        <v>266</v>
      </c>
      <c r="CJ287" s="12"/>
      <c r="CK287" s="34" t="s">
        <v>1200</v>
      </c>
      <c r="CL287" s="15" t="s">
        <v>1236</v>
      </c>
      <c r="CM287" s="12"/>
      <c r="CN287" s="12"/>
      <c r="CO287" s="12"/>
      <c r="CP287" s="12"/>
      <c r="CQ287" s="12"/>
      <c r="CR287" s="12"/>
      <c r="CS287" s="12"/>
      <c r="CT287" s="12"/>
      <c r="CU287" s="12"/>
      <c r="CV287" s="12"/>
      <c r="CW287" s="12"/>
      <c r="CX287" s="12"/>
      <c r="CY287" s="12"/>
      <c r="CZ287" s="12"/>
      <c r="DA287" s="12"/>
      <c r="DB287" s="12"/>
      <c r="DC287" s="12"/>
      <c r="DD287" s="12"/>
    </row>
    <row r="288" ht="22.5" customHeight="1">
      <c r="A288" s="11" t="s">
        <v>995</v>
      </c>
      <c r="B288" s="11" t="s">
        <v>1059</v>
      </c>
      <c r="C288" s="32" t="s">
        <v>3</v>
      </c>
      <c r="D288" s="12"/>
      <c r="E288" s="12"/>
      <c r="F288" s="12"/>
      <c r="G288" s="12"/>
      <c r="H288" s="12"/>
      <c r="I288" s="12"/>
      <c r="J288" s="12"/>
      <c r="K288" s="12"/>
      <c r="L288" s="12"/>
      <c r="M288" s="12"/>
      <c r="N288" s="12"/>
      <c r="O288" s="12"/>
      <c r="P288" s="12"/>
      <c r="Q288" s="12"/>
      <c r="R288" s="12"/>
      <c r="S288" s="12"/>
      <c r="T288" s="12"/>
      <c r="U288" s="12"/>
      <c r="V288" s="12"/>
      <c r="W288" s="12"/>
      <c r="X288" s="12"/>
      <c r="Y288" s="12"/>
      <c r="Z288" s="12"/>
      <c r="AA288" s="12"/>
      <c r="AB288" s="12"/>
      <c r="AC288" s="12"/>
      <c r="AD288" s="12"/>
      <c r="AE288" s="12"/>
      <c r="AF288" s="12"/>
      <c r="AG288" s="12"/>
      <c r="AH288" s="12"/>
      <c r="AI288" s="12"/>
      <c r="AJ288" s="12"/>
      <c r="AK288" s="12"/>
      <c r="AL288" s="12"/>
      <c r="AM288" s="12"/>
      <c r="AN288" s="12"/>
      <c r="AO288" s="12"/>
      <c r="AP288" s="12"/>
      <c r="AQ288" s="12"/>
      <c r="AR288" s="12"/>
      <c r="AS288" s="12"/>
      <c r="AT288" s="12"/>
      <c r="AU288" s="12"/>
      <c r="AV288" s="12"/>
      <c r="AW288" s="12"/>
      <c r="AX288" s="12"/>
      <c r="AY288" s="12"/>
      <c r="AZ288" s="12"/>
      <c r="BA288" s="12"/>
      <c r="BB288" s="12"/>
      <c r="BC288" s="12"/>
      <c r="BD288" s="12"/>
      <c r="BE288" s="12"/>
      <c r="BF288" s="12"/>
      <c r="BG288" s="12"/>
      <c r="BH288" s="12"/>
      <c r="BI288" s="12"/>
      <c r="BJ288" s="12"/>
      <c r="BK288" s="12"/>
      <c r="BL288" s="11"/>
      <c r="BM288" s="22"/>
      <c r="BN288" s="27"/>
      <c r="BO288" s="27"/>
      <c r="BP288" s="27"/>
      <c r="BQ288" s="31"/>
      <c r="BR288" s="30"/>
      <c r="BS288" s="27"/>
      <c r="BT288" s="22"/>
      <c r="BU288" s="11"/>
      <c r="BV288" s="11"/>
      <c r="BW288" s="12"/>
      <c r="BX288" s="12"/>
      <c r="BY288" s="12"/>
      <c r="BZ288" s="12"/>
      <c r="CA288" s="12"/>
      <c r="CB288" s="12"/>
      <c r="CC288" s="12"/>
      <c r="CD288" s="33">
        <v>45911.0</v>
      </c>
      <c r="CE288" s="34" t="s">
        <v>1237</v>
      </c>
      <c r="CF288" s="34" t="s">
        <v>1238</v>
      </c>
      <c r="CG288" s="34" t="s">
        <v>266</v>
      </c>
      <c r="CH288" s="34" t="s">
        <v>181</v>
      </c>
      <c r="CI288" s="34" t="s">
        <v>1239</v>
      </c>
      <c r="CJ288" s="12"/>
      <c r="CK288" s="34" t="s">
        <v>1200</v>
      </c>
      <c r="CL288" s="11"/>
      <c r="CM288" s="12"/>
      <c r="CN288" s="12"/>
      <c r="CO288" s="12"/>
      <c r="CP288" s="12"/>
      <c r="CQ288" s="12"/>
      <c r="CR288" s="12"/>
      <c r="CS288" s="12"/>
      <c r="CT288" s="12"/>
      <c r="CU288" s="12"/>
      <c r="CV288" s="12"/>
      <c r="CW288" s="12"/>
      <c r="CX288" s="12"/>
      <c r="CY288" s="12"/>
      <c r="CZ288" s="12"/>
      <c r="DA288" s="12"/>
      <c r="DB288" s="12"/>
      <c r="DC288" s="12"/>
      <c r="DD288" s="12"/>
    </row>
    <row r="289" ht="22.5" customHeight="1">
      <c r="A289" s="11" t="s">
        <v>995</v>
      </c>
      <c r="B289" s="11" t="s">
        <v>1059</v>
      </c>
      <c r="C289" s="32" t="s">
        <v>3</v>
      </c>
      <c r="D289" s="12"/>
      <c r="E289" s="12"/>
      <c r="F289" s="12"/>
      <c r="G289" s="12"/>
      <c r="H289" s="12"/>
      <c r="I289" s="12"/>
      <c r="J289" s="12"/>
      <c r="K289" s="12"/>
      <c r="L289" s="12"/>
      <c r="M289" s="12"/>
      <c r="N289" s="12"/>
      <c r="O289" s="12"/>
      <c r="P289" s="12"/>
      <c r="Q289" s="12"/>
      <c r="R289" s="12"/>
      <c r="S289" s="12"/>
      <c r="T289" s="12"/>
      <c r="U289" s="12"/>
      <c r="V289" s="12"/>
      <c r="W289" s="12"/>
      <c r="X289" s="12"/>
      <c r="Y289" s="12"/>
      <c r="Z289" s="12"/>
      <c r="AA289" s="12"/>
      <c r="AB289" s="12"/>
      <c r="AC289" s="12"/>
      <c r="AD289" s="12"/>
      <c r="AE289" s="12"/>
      <c r="AF289" s="12"/>
      <c r="AG289" s="12"/>
      <c r="AH289" s="12"/>
      <c r="AI289" s="12"/>
      <c r="AJ289" s="12"/>
      <c r="AK289" s="12"/>
      <c r="AL289" s="12"/>
      <c r="AM289" s="12"/>
      <c r="AN289" s="12"/>
      <c r="AO289" s="12"/>
      <c r="AP289" s="12"/>
      <c r="AQ289" s="12"/>
      <c r="AR289" s="12"/>
      <c r="AS289" s="12"/>
      <c r="AT289" s="12"/>
      <c r="AU289" s="12"/>
      <c r="AV289" s="12"/>
      <c r="AW289" s="12"/>
      <c r="AX289" s="12"/>
      <c r="AY289" s="12"/>
      <c r="AZ289" s="12"/>
      <c r="BA289" s="12"/>
      <c r="BB289" s="12"/>
      <c r="BC289" s="12"/>
      <c r="BD289" s="12"/>
      <c r="BE289" s="12"/>
      <c r="BF289" s="12"/>
      <c r="BG289" s="12"/>
      <c r="BH289" s="12"/>
      <c r="BI289" s="12"/>
      <c r="BJ289" s="12"/>
      <c r="BK289" s="12"/>
      <c r="BL289" s="11"/>
      <c r="BM289" s="22"/>
      <c r="BN289" s="27"/>
      <c r="BO289" s="27"/>
      <c r="BP289" s="27"/>
      <c r="BQ289" s="31"/>
      <c r="BR289" s="30"/>
      <c r="BS289" s="27"/>
      <c r="BT289" s="22"/>
      <c r="BU289" s="11"/>
      <c r="BV289" s="11"/>
      <c r="BW289" s="12"/>
      <c r="BX289" s="12"/>
      <c r="BY289" s="12"/>
      <c r="BZ289" s="12"/>
      <c r="CA289" s="12"/>
      <c r="CB289" s="12"/>
      <c r="CC289" s="12"/>
      <c r="CD289" s="33">
        <v>45911.0</v>
      </c>
      <c r="CE289" s="34" t="s">
        <v>1240</v>
      </c>
      <c r="CF289" s="34" t="s">
        <v>1241</v>
      </c>
      <c r="CG289" s="34" t="s">
        <v>266</v>
      </c>
      <c r="CH289" s="34" t="s">
        <v>1242</v>
      </c>
      <c r="CI289" s="34" t="s">
        <v>1239</v>
      </c>
      <c r="CJ289" s="12"/>
      <c r="CK289" s="34" t="s">
        <v>1203</v>
      </c>
      <c r="CL289" s="15" t="s">
        <v>1243</v>
      </c>
      <c r="CM289" s="12"/>
      <c r="CN289" s="12"/>
      <c r="CO289" s="12"/>
      <c r="CP289" s="12"/>
      <c r="CQ289" s="12"/>
      <c r="CR289" s="12"/>
      <c r="CS289" s="12"/>
      <c r="CT289" s="12"/>
      <c r="CU289" s="12"/>
      <c r="CV289" s="12"/>
      <c r="CW289" s="12"/>
      <c r="CX289" s="12"/>
      <c r="CY289" s="12"/>
      <c r="CZ289" s="12"/>
      <c r="DA289" s="12"/>
      <c r="DB289" s="12"/>
      <c r="DC289" s="12"/>
      <c r="DD289" s="12"/>
    </row>
    <row r="290" ht="22.5" customHeight="1">
      <c r="A290" s="11" t="s">
        <v>995</v>
      </c>
      <c r="B290" s="11" t="s">
        <v>1059</v>
      </c>
      <c r="C290" s="32" t="s">
        <v>3</v>
      </c>
      <c r="D290" s="12"/>
      <c r="E290" s="12"/>
      <c r="F290" s="12"/>
      <c r="G290" s="12"/>
      <c r="H290" s="12"/>
      <c r="I290" s="12"/>
      <c r="J290" s="12"/>
      <c r="K290" s="12"/>
      <c r="L290" s="12"/>
      <c r="M290" s="12"/>
      <c r="N290" s="12"/>
      <c r="O290" s="12"/>
      <c r="P290" s="12"/>
      <c r="Q290" s="12"/>
      <c r="R290" s="12"/>
      <c r="S290" s="12"/>
      <c r="T290" s="12"/>
      <c r="U290" s="12"/>
      <c r="V290" s="12"/>
      <c r="W290" s="12"/>
      <c r="X290" s="12"/>
      <c r="Y290" s="12"/>
      <c r="Z290" s="12"/>
      <c r="AA290" s="12"/>
      <c r="AB290" s="12"/>
      <c r="AC290" s="12"/>
      <c r="AD290" s="12"/>
      <c r="AE290" s="12"/>
      <c r="AF290" s="12"/>
      <c r="AG290" s="12"/>
      <c r="AH290" s="12"/>
      <c r="AI290" s="12"/>
      <c r="AJ290" s="12"/>
      <c r="AK290" s="12"/>
      <c r="AL290" s="12"/>
      <c r="AM290" s="12"/>
      <c r="AN290" s="12"/>
      <c r="AO290" s="12"/>
      <c r="AP290" s="12"/>
      <c r="AQ290" s="12"/>
      <c r="AR290" s="12"/>
      <c r="AS290" s="12"/>
      <c r="AT290" s="12"/>
      <c r="AU290" s="12"/>
      <c r="AV290" s="12"/>
      <c r="AW290" s="12"/>
      <c r="AX290" s="12"/>
      <c r="AY290" s="12"/>
      <c r="AZ290" s="12"/>
      <c r="BA290" s="12"/>
      <c r="BB290" s="12"/>
      <c r="BC290" s="12"/>
      <c r="BD290" s="12"/>
      <c r="BE290" s="12"/>
      <c r="BF290" s="12"/>
      <c r="BG290" s="12"/>
      <c r="BH290" s="12"/>
      <c r="BI290" s="12"/>
      <c r="BJ290" s="12"/>
      <c r="BK290" s="12"/>
      <c r="BL290" s="11"/>
      <c r="BM290" s="22"/>
      <c r="BN290" s="27"/>
      <c r="BO290" s="27"/>
      <c r="BP290" s="27"/>
      <c r="BQ290" s="31"/>
      <c r="BR290" s="30"/>
      <c r="BS290" s="27"/>
      <c r="BT290" s="22"/>
      <c r="BU290" s="11"/>
      <c r="BV290" s="11"/>
      <c r="BW290" s="12"/>
      <c r="BX290" s="12"/>
      <c r="BY290" s="12"/>
      <c r="BZ290" s="12"/>
      <c r="CA290" s="12"/>
      <c r="CB290" s="12"/>
      <c r="CC290" s="12"/>
      <c r="CD290" s="39">
        <v>45944.0</v>
      </c>
      <c r="CE290" s="42" t="s">
        <v>1244</v>
      </c>
      <c r="CF290" s="42" t="s">
        <v>1245</v>
      </c>
      <c r="CG290" s="42" t="s">
        <v>266</v>
      </c>
      <c r="CH290" s="12"/>
      <c r="CI290" s="42" t="s">
        <v>266</v>
      </c>
      <c r="CJ290" s="12"/>
      <c r="CK290" s="42" t="s">
        <v>1203</v>
      </c>
      <c r="CL290" s="26" t="s">
        <v>1246</v>
      </c>
      <c r="CM290" s="12"/>
      <c r="CN290" s="12"/>
      <c r="CO290" s="12"/>
      <c r="CP290" s="12"/>
      <c r="CQ290" s="12"/>
      <c r="CR290" s="12"/>
      <c r="CS290" s="12"/>
      <c r="CT290" s="12"/>
      <c r="CU290" s="12"/>
      <c r="CV290" s="12"/>
      <c r="CW290" s="12"/>
      <c r="CX290" s="12"/>
      <c r="CY290" s="12"/>
      <c r="CZ290" s="12"/>
      <c r="DA290" s="12"/>
      <c r="DB290" s="12"/>
      <c r="DC290" s="12"/>
      <c r="DD290" s="12"/>
    </row>
    <row r="291" ht="22.5" customHeight="1">
      <c r="A291" s="11" t="s">
        <v>995</v>
      </c>
      <c r="B291" s="11" t="s">
        <v>1059</v>
      </c>
      <c r="C291" s="32" t="s">
        <v>3</v>
      </c>
      <c r="D291" s="12"/>
      <c r="E291" s="12"/>
      <c r="F291" s="12"/>
      <c r="G291" s="12"/>
      <c r="H291" s="12"/>
      <c r="I291" s="12"/>
      <c r="J291" s="12"/>
      <c r="K291" s="12"/>
      <c r="L291" s="12"/>
      <c r="M291" s="12"/>
      <c r="N291" s="12"/>
      <c r="O291" s="12"/>
      <c r="P291" s="12"/>
      <c r="Q291" s="12"/>
      <c r="R291" s="12"/>
      <c r="S291" s="12"/>
      <c r="T291" s="12"/>
      <c r="U291" s="12"/>
      <c r="V291" s="12"/>
      <c r="W291" s="12"/>
      <c r="X291" s="12"/>
      <c r="Y291" s="12"/>
      <c r="Z291" s="12"/>
      <c r="AA291" s="12"/>
      <c r="AB291" s="12"/>
      <c r="AC291" s="12"/>
      <c r="AD291" s="12"/>
      <c r="AE291" s="12"/>
      <c r="AF291" s="12"/>
      <c r="AG291" s="12"/>
      <c r="AH291" s="12"/>
      <c r="AI291" s="12"/>
      <c r="AJ291" s="12"/>
      <c r="AK291" s="12"/>
      <c r="AL291" s="12"/>
      <c r="AM291" s="12"/>
      <c r="AN291" s="12"/>
      <c r="AO291" s="12"/>
      <c r="AP291" s="12"/>
      <c r="AQ291" s="12"/>
      <c r="AR291" s="12"/>
      <c r="AS291" s="12"/>
      <c r="AT291" s="12"/>
      <c r="AU291" s="12"/>
      <c r="AV291" s="12"/>
      <c r="AW291" s="12"/>
      <c r="AX291" s="12"/>
      <c r="AY291" s="12"/>
      <c r="AZ291" s="12"/>
      <c r="BA291" s="12"/>
      <c r="BB291" s="12"/>
      <c r="BC291" s="12"/>
      <c r="BD291" s="12"/>
      <c r="BE291" s="12"/>
      <c r="BF291" s="12"/>
      <c r="BG291" s="12"/>
      <c r="BH291" s="12"/>
      <c r="BI291" s="12"/>
      <c r="BJ291" s="12"/>
      <c r="BK291" s="12"/>
      <c r="BL291" s="11"/>
      <c r="BM291" s="22"/>
      <c r="BN291" s="27"/>
      <c r="BO291" s="27"/>
      <c r="BP291" s="27"/>
      <c r="BQ291" s="31"/>
      <c r="BR291" s="30"/>
      <c r="BS291" s="27"/>
      <c r="BT291" s="22"/>
      <c r="BU291" s="11"/>
      <c r="BV291" s="11"/>
      <c r="BW291" s="12"/>
      <c r="BX291" s="12"/>
      <c r="BY291" s="12"/>
      <c r="BZ291" s="12"/>
      <c r="CA291" s="12"/>
      <c r="CB291" s="12"/>
      <c r="CC291" s="12"/>
      <c r="CD291" s="33">
        <v>45966.0</v>
      </c>
      <c r="CE291" s="34" t="s">
        <v>1247</v>
      </c>
      <c r="CF291" s="34" t="s">
        <v>1248</v>
      </c>
      <c r="CG291" s="34" t="s">
        <v>266</v>
      </c>
      <c r="CH291" s="34" t="s">
        <v>1249</v>
      </c>
      <c r="CI291" s="34" t="s">
        <v>1239</v>
      </c>
      <c r="CJ291" s="12"/>
      <c r="CK291" s="34" t="s">
        <v>1200</v>
      </c>
      <c r="CL291" s="15" t="s">
        <v>1250</v>
      </c>
      <c r="CM291" s="12"/>
      <c r="CN291" s="12"/>
      <c r="CO291" s="12"/>
      <c r="CP291" s="12"/>
      <c r="CQ291" s="12"/>
      <c r="CR291" s="12"/>
      <c r="CS291" s="12"/>
      <c r="CT291" s="12"/>
      <c r="CU291" s="12"/>
      <c r="CV291" s="12"/>
      <c r="CW291" s="12"/>
      <c r="CX291" s="12"/>
      <c r="CY291" s="12"/>
      <c r="CZ291" s="12"/>
      <c r="DA291" s="12"/>
      <c r="DB291" s="12"/>
      <c r="DC291" s="12"/>
      <c r="DD291" s="12"/>
    </row>
    <row r="292" ht="22.5" customHeight="1">
      <c r="A292" s="11" t="s">
        <v>995</v>
      </c>
      <c r="B292" s="11" t="s">
        <v>1059</v>
      </c>
      <c r="C292" s="32" t="s">
        <v>3</v>
      </c>
      <c r="D292" s="12"/>
      <c r="E292" s="12"/>
      <c r="F292" s="12"/>
      <c r="G292" s="12"/>
      <c r="H292" s="12"/>
      <c r="I292" s="12"/>
      <c r="J292" s="12"/>
      <c r="K292" s="12"/>
      <c r="L292" s="12"/>
      <c r="M292" s="12"/>
      <c r="N292" s="12"/>
      <c r="O292" s="12"/>
      <c r="P292" s="12"/>
      <c r="Q292" s="12"/>
      <c r="R292" s="12"/>
      <c r="S292" s="12"/>
      <c r="T292" s="12"/>
      <c r="U292" s="12"/>
      <c r="V292" s="12"/>
      <c r="W292" s="12"/>
      <c r="X292" s="12"/>
      <c r="Y292" s="12"/>
      <c r="Z292" s="12"/>
      <c r="AA292" s="12"/>
      <c r="AB292" s="12"/>
      <c r="AC292" s="12"/>
      <c r="AD292" s="12"/>
      <c r="AE292" s="12"/>
      <c r="AF292" s="12"/>
      <c r="AG292" s="12"/>
      <c r="AH292" s="12"/>
      <c r="AI292" s="12"/>
      <c r="AJ292" s="12"/>
      <c r="AK292" s="12"/>
      <c r="AL292" s="12"/>
      <c r="AM292" s="12"/>
      <c r="AN292" s="12"/>
      <c r="AO292" s="12"/>
      <c r="AP292" s="12"/>
      <c r="AQ292" s="12"/>
      <c r="AR292" s="12"/>
      <c r="AS292" s="12"/>
      <c r="AT292" s="12"/>
      <c r="AU292" s="12"/>
      <c r="AV292" s="12"/>
      <c r="AW292" s="12"/>
      <c r="AX292" s="12"/>
      <c r="AY292" s="12"/>
      <c r="AZ292" s="12"/>
      <c r="BA292" s="12"/>
      <c r="BB292" s="12"/>
      <c r="BC292" s="12"/>
      <c r="BD292" s="12"/>
      <c r="BE292" s="12"/>
      <c r="BF292" s="12"/>
      <c r="BG292" s="12"/>
      <c r="BH292" s="12"/>
      <c r="BI292" s="12"/>
      <c r="BJ292" s="12"/>
      <c r="BK292" s="12"/>
      <c r="BL292" s="11"/>
      <c r="BM292" s="22"/>
      <c r="BN292" s="27"/>
      <c r="BO292" s="27"/>
      <c r="BP292" s="27"/>
      <c r="BQ292" s="31"/>
      <c r="BR292" s="30"/>
      <c r="BS292" s="27"/>
      <c r="BT292" s="22"/>
      <c r="BU292" s="11"/>
      <c r="BV292" s="11"/>
      <c r="BW292" s="12"/>
      <c r="BX292" s="12"/>
      <c r="BY292" s="12"/>
      <c r="BZ292" s="12"/>
      <c r="CA292" s="12"/>
      <c r="CB292" s="12"/>
      <c r="CC292" s="12"/>
      <c r="CD292" s="33">
        <v>45968.0</v>
      </c>
      <c r="CE292" s="34" t="s">
        <v>1251</v>
      </c>
      <c r="CF292" s="34" t="s">
        <v>1252</v>
      </c>
      <c r="CG292" s="34" t="s">
        <v>266</v>
      </c>
      <c r="CH292" s="34" t="s">
        <v>1253</v>
      </c>
      <c r="CI292" s="34" t="s">
        <v>1239</v>
      </c>
      <c r="CJ292" s="12"/>
      <c r="CK292" s="34" t="s">
        <v>1200</v>
      </c>
      <c r="CL292" s="15" t="s">
        <v>1254</v>
      </c>
      <c r="CM292" s="12"/>
      <c r="CN292" s="12"/>
      <c r="CO292" s="12"/>
      <c r="CP292" s="12"/>
      <c r="CQ292" s="12"/>
      <c r="CR292" s="12"/>
      <c r="CS292" s="12"/>
      <c r="CT292" s="12"/>
      <c r="CU292" s="12"/>
      <c r="CV292" s="12"/>
      <c r="CW292" s="12"/>
      <c r="CX292" s="12"/>
      <c r="CY292" s="12"/>
      <c r="CZ292" s="12"/>
      <c r="DA292" s="12"/>
      <c r="DB292" s="12"/>
      <c r="DC292" s="12"/>
      <c r="DD292" s="12"/>
    </row>
    <row r="293" ht="22.5" customHeight="1">
      <c r="A293" s="11" t="s">
        <v>995</v>
      </c>
      <c r="B293" s="11" t="s">
        <v>1059</v>
      </c>
      <c r="C293" s="32" t="s">
        <v>3</v>
      </c>
      <c r="D293" s="12"/>
      <c r="E293" s="12"/>
      <c r="F293" s="12"/>
      <c r="G293" s="12"/>
      <c r="H293" s="12"/>
      <c r="I293" s="12"/>
      <c r="J293" s="12"/>
      <c r="K293" s="12"/>
      <c r="L293" s="12"/>
      <c r="M293" s="12"/>
      <c r="N293" s="12"/>
      <c r="O293" s="12"/>
      <c r="P293" s="12"/>
      <c r="Q293" s="12"/>
      <c r="R293" s="12"/>
      <c r="S293" s="12"/>
      <c r="T293" s="12"/>
      <c r="U293" s="12"/>
      <c r="V293" s="12"/>
      <c r="W293" s="12"/>
      <c r="X293" s="12"/>
      <c r="Y293" s="12"/>
      <c r="Z293" s="12"/>
      <c r="AA293" s="12"/>
      <c r="AB293" s="12"/>
      <c r="AC293" s="12"/>
      <c r="AD293" s="12"/>
      <c r="AE293" s="12"/>
      <c r="AF293" s="12"/>
      <c r="AG293" s="12"/>
      <c r="AH293" s="12"/>
      <c r="AI293" s="12"/>
      <c r="AJ293" s="12"/>
      <c r="AK293" s="12"/>
      <c r="AL293" s="12"/>
      <c r="AM293" s="12"/>
      <c r="AN293" s="12"/>
      <c r="AO293" s="12"/>
      <c r="AP293" s="12"/>
      <c r="AQ293" s="12"/>
      <c r="AR293" s="12"/>
      <c r="AS293" s="12"/>
      <c r="AT293" s="12"/>
      <c r="AU293" s="12"/>
      <c r="AV293" s="12"/>
      <c r="AW293" s="12"/>
      <c r="AX293" s="12"/>
      <c r="AY293" s="12"/>
      <c r="AZ293" s="12"/>
      <c r="BA293" s="12"/>
      <c r="BB293" s="12"/>
      <c r="BC293" s="12"/>
      <c r="BD293" s="12"/>
      <c r="BE293" s="12"/>
      <c r="BF293" s="12"/>
      <c r="BG293" s="12"/>
      <c r="BH293" s="12"/>
      <c r="BI293" s="12"/>
      <c r="BJ293" s="12"/>
      <c r="BK293" s="12"/>
      <c r="BL293" s="11"/>
      <c r="BM293" s="22"/>
      <c r="BN293" s="27"/>
      <c r="BO293" s="27"/>
      <c r="BP293" s="27"/>
      <c r="BQ293" s="31"/>
      <c r="BR293" s="30"/>
      <c r="BS293" s="27"/>
      <c r="BT293" s="22"/>
      <c r="BU293" s="11"/>
      <c r="BV293" s="11"/>
      <c r="BW293" s="12"/>
      <c r="BX293" s="12"/>
      <c r="BY293" s="12"/>
      <c r="BZ293" s="12"/>
      <c r="CA293" s="12"/>
      <c r="CB293" s="12"/>
      <c r="CC293" s="12"/>
      <c r="CD293" s="39">
        <v>45978.0</v>
      </c>
      <c r="CE293" s="34" t="s">
        <v>1255</v>
      </c>
      <c r="CF293" s="42" t="s">
        <v>1256</v>
      </c>
      <c r="CG293" s="34" t="s">
        <v>266</v>
      </c>
      <c r="CH293" s="12"/>
      <c r="CI293" s="34" t="s">
        <v>1239</v>
      </c>
      <c r="CJ293" s="12"/>
      <c r="CK293" s="34" t="s">
        <v>1200</v>
      </c>
      <c r="CL293" s="15" t="s">
        <v>1257</v>
      </c>
      <c r="CM293" s="12"/>
      <c r="CN293" s="12"/>
      <c r="CO293" s="12"/>
      <c r="CP293" s="12"/>
      <c r="CQ293" s="12"/>
      <c r="CR293" s="12"/>
      <c r="CS293" s="12"/>
      <c r="CT293" s="12"/>
      <c r="CU293" s="12"/>
      <c r="CV293" s="12"/>
      <c r="CW293" s="12"/>
      <c r="CX293" s="12"/>
      <c r="CY293" s="12"/>
      <c r="CZ293" s="12"/>
      <c r="DA293" s="12"/>
      <c r="DB293" s="12"/>
      <c r="DC293" s="12"/>
      <c r="DD293" s="12"/>
    </row>
  </sheetData>
  <hyperlinks>
    <hyperlink r:id="rId1" ref="BV2"/>
    <hyperlink r:id="rId2" ref="AY3"/>
    <hyperlink r:id="rId3" ref="AY4"/>
    <hyperlink r:id="rId4" ref="AY5"/>
    <hyperlink r:id="rId5" ref="AY6"/>
    <hyperlink r:id="rId6" ref="AY7"/>
    <hyperlink r:id="rId7" ref="DC8"/>
    <hyperlink r:id="rId8" ref="AN9"/>
    <hyperlink r:id="rId9" ref="AN10"/>
    <hyperlink r:id="rId10" ref="AN11"/>
    <hyperlink r:id="rId11" ref="AN12"/>
    <hyperlink r:id="rId12" ref="AN13"/>
    <hyperlink r:id="rId13" ref="AN14"/>
    <hyperlink r:id="rId14" ref="AN15"/>
    <hyperlink r:id="rId15" ref="AN16"/>
    <hyperlink r:id="rId16" ref="AN17"/>
    <hyperlink r:id="rId17" ref="AN18"/>
    <hyperlink r:id="rId18" ref="AN19"/>
    <hyperlink r:id="rId19" ref="AN20"/>
    <hyperlink r:id="rId20" ref="BK21"/>
    <hyperlink r:id="rId21" ref="BK22"/>
    <hyperlink r:id="rId22" ref="BK23"/>
    <hyperlink r:id="rId23" ref="BK24"/>
    <hyperlink r:id="rId24" ref="BG25"/>
    <hyperlink r:id="rId25" ref="BK25"/>
    <hyperlink r:id="rId26" ref="BK26"/>
    <hyperlink r:id="rId27" ref="BK27"/>
    <hyperlink r:id="rId28" ref="BK28"/>
    <hyperlink r:id="rId29" ref="BK29"/>
    <hyperlink r:id="rId30" ref="BK30"/>
    <hyperlink r:id="rId31" ref="BK31"/>
    <hyperlink r:id="rId32" ref="DC32"/>
    <hyperlink r:id="rId33" ref="N33"/>
    <hyperlink r:id="rId34" ref="S33"/>
    <hyperlink r:id="rId35" ref="N34"/>
    <hyperlink r:id="rId36" ref="S34"/>
    <hyperlink r:id="rId37" ref="BK35"/>
    <hyperlink r:id="rId38" ref="BK36"/>
    <hyperlink r:id="rId39" ref="DC37"/>
    <hyperlink r:id="rId40" ref="BK38"/>
    <hyperlink r:id="rId41" ref="S39"/>
    <hyperlink r:id="rId42" ref="BK40"/>
    <hyperlink r:id="rId43" ref="S41"/>
    <hyperlink r:id="rId44" ref="BK42"/>
    <hyperlink r:id="rId45" ref="BK43"/>
    <hyperlink r:id="rId46" ref="BK44"/>
    <hyperlink r:id="rId47" ref="BK46"/>
    <hyperlink r:id="rId48" ref="BK47"/>
    <hyperlink r:id="rId49" ref="BK48"/>
    <hyperlink r:id="rId50" ref="DC49"/>
    <hyperlink r:id="rId51" ref="BK50"/>
    <hyperlink r:id="rId52" ref="BK51"/>
    <hyperlink r:id="rId53" ref="BK52"/>
    <hyperlink r:id="rId54" ref="BK53"/>
    <hyperlink r:id="rId55" ref="CT54"/>
    <hyperlink r:id="rId56" ref="DC55"/>
    <hyperlink r:id="rId57" ref="BK56"/>
    <hyperlink r:id="rId58" ref="BK58"/>
    <hyperlink r:id="rId59" ref="BK60"/>
    <hyperlink r:id="rId60" ref="BK62"/>
    <hyperlink r:id="rId61" ref="CT63"/>
    <hyperlink r:id="rId62" ref="BK64"/>
    <hyperlink r:id="rId63" ref="BK66"/>
    <hyperlink r:id="rId64" ref="DC67"/>
    <hyperlink r:id="rId65" ref="DC68"/>
    <hyperlink r:id="rId66" ref="BK69"/>
    <hyperlink r:id="rId67" ref="BK72"/>
    <hyperlink r:id="rId68" ref="BK73"/>
    <hyperlink r:id="rId69" ref="BK74"/>
    <hyperlink r:id="rId70" ref="BK75"/>
    <hyperlink r:id="rId71" ref="BK77"/>
    <hyperlink r:id="rId72" ref="BK78"/>
    <hyperlink r:id="rId73" ref="DC79"/>
    <hyperlink r:id="rId74" ref="BK80"/>
    <hyperlink r:id="rId75" ref="BK81"/>
    <hyperlink r:id="rId76" ref="BK82"/>
    <hyperlink r:id="rId77" ref="BK83"/>
    <hyperlink r:id="rId78" ref="BK84"/>
    <hyperlink r:id="rId79" ref="BK85"/>
    <hyperlink r:id="rId80" ref="BK86"/>
    <hyperlink r:id="rId81" ref="BK87"/>
    <hyperlink r:id="rId82" ref="BK88"/>
    <hyperlink r:id="rId83" ref="BK89"/>
    <hyperlink r:id="rId84" location="goog_rewarded" ref="F90"/>
    <hyperlink r:id="rId85" ref="J90"/>
    <hyperlink r:id="rId86" ref="F91"/>
    <hyperlink r:id="rId87" ref="J91"/>
    <hyperlink r:id="rId88" ref="F92"/>
    <hyperlink r:id="rId89" ref="J92"/>
    <hyperlink r:id="rId90" ref="F93"/>
    <hyperlink r:id="rId91" ref="J93"/>
    <hyperlink r:id="rId92" ref="F94"/>
    <hyperlink r:id="rId93" ref="J94"/>
    <hyperlink r:id="rId94" ref="DC95"/>
    <hyperlink r:id="rId95" ref="DC96"/>
    <hyperlink r:id="rId96" ref="F97"/>
    <hyperlink r:id="rId97" ref="J97"/>
    <hyperlink r:id="rId98" ref="DC99"/>
    <hyperlink r:id="rId99" ref="DC100"/>
    <hyperlink r:id="rId100" ref="DC101"/>
    <hyperlink r:id="rId101" ref="DC102"/>
    <hyperlink r:id="rId102" ref="DC103"/>
    <hyperlink r:id="rId103" ref="DC104"/>
    <hyperlink r:id="rId104" ref="DC105"/>
    <hyperlink r:id="rId105" ref="F107"/>
    <hyperlink r:id="rId106" ref="J107"/>
    <hyperlink r:id="rId107" ref="F108"/>
    <hyperlink r:id="rId108" ref="J108"/>
    <hyperlink r:id="rId109" ref="F109"/>
    <hyperlink r:id="rId110" ref="J109"/>
    <hyperlink r:id="rId111" ref="F110"/>
    <hyperlink r:id="rId112" ref="J110"/>
    <hyperlink r:id="rId113" ref="F111"/>
    <hyperlink r:id="rId114" ref="J111"/>
    <hyperlink r:id="rId115" ref="E112"/>
    <hyperlink r:id="rId116" ref="F112"/>
    <hyperlink r:id="rId117" ref="J112"/>
    <hyperlink r:id="rId118" ref="DC113"/>
    <hyperlink r:id="rId119" ref="E114"/>
    <hyperlink r:id="rId120" ref="F114"/>
    <hyperlink r:id="rId121" ref="J114"/>
    <hyperlink r:id="rId122" ref="F115"/>
    <hyperlink r:id="rId123" ref="J115"/>
    <hyperlink r:id="rId124" ref="DC116"/>
    <hyperlink r:id="rId125" ref="DC117"/>
    <hyperlink r:id="rId126" location="goog_rewarded" ref="F118"/>
    <hyperlink r:id="rId127" ref="J118"/>
    <hyperlink r:id="rId128" ref="F119"/>
    <hyperlink r:id="rId129" ref="J119"/>
    <hyperlink r:id="rId130" ref="BK120"/>
    <hyperlink r:id="rId131" ref="DC121"/>
    <hyperlink r:id="rId132" ref="F122"/>
    <hyperlink r:id="rId133" ref="J122"/>
    <hyperlink r:id="rId134" ref="DC123"/>
    <hyperlink r:id="rId135" ref="DC124"/>
    <hyperlink r:id="rId136" ref="F125"/>
    <hyperlink r:id="rId137" ref="J125"/>
    <hyperlink r:id="rId138" ref="DC126"/>
    <hyperlink r:id="rId139" ref="BK127"/>
    <hyperlink r:id="rId140" ref="F128"/>
    <hyperlink r:id="rId141" ref="J128"/>
    <hyperlink r:id="rId142" ref="DC129"/>
    <hyperlink r:id="rId143" ref="F130"/>
    <hyperlink r:id="rId144" ref="J130"/>
    <hyperlink r:id="rId145" ref="DC131"/>
    <hyperlink r:id="rId146" ref="DC132"/>
    <hyperlink r:id="rId147" ref="BK133"/>
    <hyperlink r:id="rId148" ref="DC134"/>
    <hyperlink r:id="rId149" ref="DC135"/>
    <hyperlink r:id="rId150" ref="BK136"/>
    <hyperlink r:id="rId151" ref="DC137"/>
    <hyperlink r:id="rId152" ref="BK138"/>
    <hyperlink r:id="rId153" ref="DC139"/>
    <hyperlink r:id="rId154" ref="BK140"/>
    <hyperlink r:id="rId155" ref="DC143"/>
    <hyperlink r:id="rId156" ref="BK144"/>
    <hyperlink r:id="rId157" ref="BK145"/>
    <hyperlink r:id="rId158" ref="DC146"/>
    <hyperlink r:id="rId159" ref="DC147"/>
    <hyperlink r:id="rId160" ref="BK148"/>
    <hyperlink r:id="rId161" ref="DC149"/>
    <hyperlink r:id="rId162" ref="CC150"/>
    <hyperlink r:id="rId163" ref="CC151"/>
    <hyperlink r:id="rId164" ref="CC152"/>
    <hyperlink r:id="rId165" ref="DC154"/>
    <hyperlink r:id="rId166" ref="DC155"/>
    <hyperlink r:id="rId167" ref="DC156"/>
    <hyperlink r:id="rId168" ref="DC157"/>
    <hyperlink r:id="rId169" ref="DC158"/>
    <hyperlink r:id="rId170" ref="DC159"/>
    <hyperlink r:id="rId171" ref="DC160"/>
    <hyperlink r:id="rId172" ref="DC163"/>
    <hyperlink r:id="rId173" ref="DC167"/>
    <hyperlink r:id="rId174" ref="DC168"/>
    <hyperlink r:id="rId175" ref="DC169"/>
    <hyperlink r:id="rId176" ref="DC170"/>
    <hyperlink r:id="rId177" ref="DC171"/>
    <hyperlink r:id="rId178" ref="BK172"/>
    <hyperlink r:id="rId179" ref="BK173"/>
    <hyperlink r:id="rId180" ref="BK174"/>
    <hyperlink r:id="rId181" ref="BK175"/>
    <hyperlink r:id="rId182" ref="BK176"/>
    <hyperlink r:id="rId183" ref="BK177"/>
    <hyperlink r:id="rId184" ref="BK178"/>
    <hyperlink r:id="rId185" ref="BK179"/>
    <hyperlink r:id="rId186" ref="BK180"/>
    <hyperlink r:id="rId187" ref="BK181"/>
    <hyperlink r:id="rId188" ref="BK182"/>
    <hyperlink r:id="rId189" ref="BK183"/>
    <hyperlink r:id="rId190" ref="BK184"/>
    <hyperlink r:id="rId191" ref="DC185"/>
    <hyperlink r:id="rId192" ref="DC186"/>
    <hyperlink r:id="rId193" ref="DC187"/>
    <hyperlink r:id="rId194" ref="DC188"/>
    <hyperlink r:id="rId195" ref="DC189"/>
    <hyperlink r:id="rId196" ref="DC190"/>
    <hyperlink r:id="rId197" ref="DC191"/>
    <hyperlink r:id="rId198" ref="DC192"/>
    <hyperlink r:id="rId199" ref="DC193"/>
    <hyperlink r:id="rId200" ref="DC194"/>
    <hyperlink r:id="rId201" ref="DC195"/>
    <hyperlink r:id="rId202" ref="DC198"/>
    <hyperlink r:id="rId203" ref="DC199"/>
    <hyperlink r:id="rId204" ref="DC202"/>
    <hyperlink r:id="rId205" ref="DC203"/>
    <hyperlink r:id="rId206" ref="DC207"/>
    <hyperlink r:id="rId207" ref="DC209"/>
    <hyperlink r:id="rId208" ref="DC210"/>
    <hyperlink r:id="rId209" ref="DC211"/>
    <hyperlink r:id="rId210" ref="DC213"/>
    <hyperlink r:id="rId211" ref="DC214"/>
    <hyperlink r:id="rId212" ref="DC215"/>
    <hyperlink r:id="rId213" ref="DC216"/>
    <hyperlink r:id="rId214" ref="CC218"/>
    <hyperlink r:id="rId215" ref="CT220"/>
    <hyperlink r:id="rId216" ref="CT221"/>
    <hyperlink r:id="rId217" ref="CT222"/>
    <hyperlink r:id="rId218" ref="CT223"/>
    <hyperlink r:id="rId219" ref="CT224"/>
    <hyperlink r:id="rId220" ref="BV225"/>
    <hyperlink r:id="rId221" ref="BV226"/>
    <hyperlink r:id="rId222" ref="BV227"/>
    <hyperlink r:id="rId223" ref="BV228"/>
    <hyperlink r:id="rId224" ref="BV230"/>
    <hyperlink r:id="rId225" ref="BV231"/>
    <hyperlink r:id="rId226" ref="BV233"/>
    <hyperlink r:id="rId227" ref="BV234"/>
    <hyperlink r:id="rId228" ref="BV235"/>
    <hyperlink r:id="rId229" ref="BV236"/>
    <hyperlink r:id="rId230" ref="BV237"/>
    <hyperlink r:id="rId231" ref="BV238"/>
    <hyperlink r:id="rId232" ref="CJ242"/>
    <hyperlink r:id="rId233" ref="CL242"/>
    <hyperlink r:id="rId234" ref="CJ243"/>
    <hyperlink r:id="rId235" ref="CL243"/>
    <hyperlink r:id="rId236" ref="CJ245"/>
    <hyperlink r:id="rId237" ref="CL245"/>
    <hyperlink r:id="rId238" ref="CJ246"/>
    <hyperlink r:id="rId239" ref="CL246"/>
    <hyperlink r:id="rId240" ref="CJ247"/>
    <hyperlink r:id="rId241" ref="CL247"/>
    <hyperlink r:id="rId242" ref="CJ248"/>
    <hyperlink r:id="rId243" ref="CL248"/>
    <hyperlink r:id="rId244" ref="CJ249"/>
    <hyperlink r:id="rId245" ref="CL249"/>
    <hyperlink r:id="rId246" ref="CJ254"/>
    <hyperlink r:id="rId247" ref="CL254"/>
    <hyperlink r:id="rId248" ref="CJ257"/>
    <hyperlink r:id="rId249" ref="CL257"/>
    <hyperlink r:id="rId250" ref="CJ261"/>
    <hyperlink r:id="rId251" ref="CL261"/>
    <hyperlink r:id="rId252" ref="CJ262"/>
    <hyperlink r:id="rId253" ref="CL262"/>
    <hyperlink r:id="rId254" ref="CJ263"/>
    <hyperlink r:id="rId255" ref="CL263"/>
    <hyperlink r:id="rId256" ref="CJ264"/>
    <hyperlink r:id="rId257" ref="CL264"/>
    <hyperlink r:id="rId258" ref="CJ265"/>
    <hyperlink r:id="rId259" ref="CL265"/>
    <hyperlink r:id="rId260" ref="CJ266"/>
    <hyperlink r:id="rId261" ref="CL266"/>
    <hyperlink r:id="rId262" ref="CJ267"/>
    <hyperlink r:id="rId263" ref="CL267"/>
    <hyperlink r:id="rId264" ref="CJ268"/>
    <hyperlink r:id="rId265" ref="CL268"/>
    <hyperlink r:id="rId266" ref="CJ269"/>
    <hyperlink r:id="rId267" ref="CL269"/>
    <hyperlink r:id="rId268" ref="CJ270"/>
    <hyperlink r:id="rId269" ref="CL270"/>
    <hyperlink r:id="rId270" ref="CL271"/>
    <hyperlink r:id="rId271" ref="CJ272"/>
    <hyperlink r:id="rId272" ref="CL272"/>
    <hyperlink r:id="rId273" ref="CJ273"/>
    <hyperlink r:id="rId274" ref="CL273"/>
    <hyperlink r:id="rId275" ref="CJ274"/>
    <hyperlink r:id="rId276" ref="CL274"/>
    <hyperlink r:id="rId277" ref="CL275"/>
    <hyperlink r:id="rId278" ref="CL277"/>
    <hyperlink r:id="rId279" ref="CL278"/>
    <hyperlink r:id="rId280" ref="CL280"/>
    <hyperlink r:id="rId281" ref="CL281"/>
    <hyperlink r:id="rId282" ref="CL282"/>
    <hyperlink r:id="rId283" ref="CL283"/>
    <hyperlink r:id="rId284" ref="CL284"/>
    <hyperlink r:id="rId285" ref="CL285"/>
    <hyperlink r:id="rId286" ref="CL286"/>
    <hyperlink r:id="rId287" ref="CL287"/>
    <hyperlink r:id="rId288" ref="CL289"/>
    <hyperlink r:id="rId289" ref="CL290"/>
    <hyperlink r:id="rId290" ref="CL291"/>
    <hyperlink r:id="rId291" ref="CL292"/>
    <hyperlink r:id="rId292" ref="CL293"/>
  </hyperlinks>
  <drawing r:id="rId293"/>
  <tableParts count="1">
    <tablePart r:id="rId29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5"/>
    <col customWidth="1" min="4" max="4" width="27.63"/>
    <col customWidth="1" min="6" max="6" width="32.5"/>
    <col customWidth="1" min="7" max="7" width="41.88"/>
    <col customWidth="1" min="10" max="10" width="51.63"/>
  </cols>
  <sheetData>
    <row r="1" ht="39.0" customHeight="1">
      <c r="A1" s="43" t="s">
        <v>1258</v>
      </c>
      <c r="B1" s="44" t="str">
        <f>IFERROR(__xludf.DUMMYFUNCTION("QUERY('Form Responses 1'!A:AAC, ""SELECT CU, CV, CW, CX, CY, CZ, DA, DB, DC WHERE C = 'Campus Visit'"", 1)"),"Date")</f>
        <v>Date</v>
      </c>
      <c r="C1" s="44" t="str">
        <f>IFERROR(__xludf.DUMMYFUNCTION("""COMPUTED_VALUE"""),"Type")</f>
        <v>Type</v>
      </c>
      <c r="D1" s="45" t="str">
        <f>IFERROR(__xludf.DUMMYFUNCTION("""COMPUTED_VALUE"""),"Visitor's Name &amp; Details")</f>
        <v>Visitor's Name &amp; Details</v>
      </c>
      <c r="E1" s="45" t="str">
        <f>IFERROR(__xludf.DUMMYFUNCTION("""COMPUTED_VALUE"""),"Country ")</f>
        <v>Country </v>
      </c>
      <c r="F1" s="45" t="str">
        <f>IFERROR(__xludf.DUMMYFUNCTION("""COMPUTED_VALUE"""),"University Name")</f>
        <v>University Name</v>
      </c>
      <c r="G1" s="45" t="str">
        <f>IFERROR(__xludf.DUMMYFUNCTION("""COMPUTED_VALUE"""),"Summary")</f>
        <v>Summary</v>
      </c>
      <c r="H1" s="45" t="str">
        <f>IFERROR(__xludf.DUMMYFUNCTION("""COMPUTED_VALUE"""),"Department ")</f>
        <v>Department </v>
      </c>
      <c r="I1" s="45" t="str">
        <f>IFERROR(__xludf.DUMMYFUNCTION("""COMPUTED_VALUE"""),"Campus")</f>
        <v>Campus</v>
      </c>
      <c r="J1" s="45" t="str">
        <f>IFERROR(__xludf.DUMMYFUNCTION("""COMPUTED_VALUE"""),"Campus Visit-  Upload Zip FIle")</f>
        <v>Campus Visit-  Upload Zip FIle</v>
      </c>
      <c r="K1" s="46"/>
      <c r="L1" s="46"/>
      <c r="M1" s="46"/>
      <c r="N1" s="46"/>
      <c r="O1" s="46"/>
      <c r="P1" s="46"/>
      <c r="Q1" s="46"/>
      <c r="R1" s="46"/>
      <c r="S1" s="46"/>
      <c r="T1" s="46"/>
      <c r="U1" s="46"/>
      <c r="V1" s="46"/>
      <c r="W1" s="46"/>
      <c r="X1" s="46"/>
      <c r="Y1" s="46"/>
      <c r="Z1" s="46"/>
      <c r="AA1" s="46"/>
    </row>
    <row r="2">
      <c r="A2" s="47"/>
      <c r="B2" s="48">
        <f>IFERROR(__xludf.DUMMYFUNCTION("""COMPUTED_VALUE"""),45982.0)</f>
        <v>45982</v>
      </c>
      <c r="C2" s="47" t="str">
        <f>IFERROR(__xludf.DUMMYFUNCTION("""COMPUTED_VALUE"""),"University Visit")</f>
        <v>University Visit</v>
      </c>
      <c r="D2" s="49" t="str">
        <f>IFERROR(__xludf.DUMMYFUNCTION("""COMPUTED_VALUE"""),"Prof Dr. Alex Wilson, Prof Dr. Julie McCandless")</f>
        <v>Prof Dr. Alex Wilson, Prof Dr. Julie McCandless</v>
      </c>
      <c r="E2" s="49" t="str">
        <f>IFERROR(__xludf.DUMMYFUNCTION("""COMPUTED_VALUE"""),"UK")</f>
        <v>UK</v>
      </c>
      <c r="F2" s="49" t="str">
        <f>IFERROR(__xludf.DUMMYFUNCTION("""COMPUTED_VALUE"""),"Queen's University Belfast")</f>
        <v>Queen's University Belfast</v>
      </c>
      <c r="G2" s="49" t="str">
        <f>IFERROR(__xludf.DUMMYFUNCTION("""COMPUTED_VALUE"""),"On 21st November 2025, we had the pleasure of hosting Prof. Dr. Alex Wilson and Prof. Dr. Julie McCandless from Queen’s University Belfast, UK (#199 Qs Ranking) for a guest lecture at the School of Management Studies. The session focused on Global Careers"&amp;" for Business Graduates and offered valuable guidance on developing international career pathways. The professors also introduced their MBA program, sharing details on admission requirements, curriculum structure, career prospects, and student life at Que"&amp;"en’s University Belfast, which was highly informative for our students.
Following the lecture, the professors met with the Dean of the School of Management Studies for a focused discussion on strengthening academic ties between our institutions. The conv"&amp;"ersation covered several potential areas of collaboration, including student exchange programs, scholar-in-residence opportunities, and short-term immersion programs.")</f>
        <v>On 21st November 2025, we had the pleasure of hosting Prof. Dr. Alex Wilson and Prof. Dr. Julie McCandless from Queen’s University Belfast, UK (#199 Qs Ranking) for a guest lecture at the School of Management Studies. The session focused on Global Careers for Business Graduates and offered valuable guidance on developing international career pathways. The professors also introduced their MBA program, sharing details on admission requirements, curriculum structure, career prospects, and student life at Queen’s University Belfast, which was highly informative for our students.
Following the lecture, the professors met with the Dean of the School of Management Studies for a focused discussion on strengthening academic ties between our institutions. The conversation covered several potential areas of collaboration, including student exchange programs, scholar-in-residence opportunities, and short-term immersion programs.</v>
      </c>
      <c r="H2" s="49" t="str">
        <f>IFERROR(__xludf.DUMMYFUNCTION("""COMPUTED_VALUE"""),"School of Management Studies")</f>
        <v>School of Management Studies</v>
      </c>
      <c r="I2" s="49" t="str">
        <f>IFERROR(__xludf.DUMMYFUNCTION("""COMPUTED_VALUE"""),"Kudlu gate")</f>
        <v>Kudlu gate</v>
      </c>
      <c r="J2" s="50" t="str">
        <f>IFERROR(__xludf.DUMMYFUNCTION("""COMPUTED_VALUE"""),"https://drive.google.com/open?id=1fuzo5ZPatD3ZplYzKuQ0fevjg_BOK2i4")</f>
        <v>https://drive.google.com/open?id=1fuzo5ZPatD3ZplYzKuQ0fevjg_BOK2i4</v>
      </c>
    </row>
    <row r="3">
      <c r="A3" s="47"/>
      <c r="B3" s="48">
        <f>IFERROR(__xludf.DUMMYFUNCTION("""COMPUTED_VALUE"""),45566.0)</f>
        <v>45566</v>
      </c>
      <c r="C3" s="47" t="str">
        <f>IFERROR(__xludf.DUMMYFUNCTION("""COMPUTED_VALUE"""),"University Visit")</f>
        <v>University Visit</v>
      </c>
      <c r="D3" s="49" t="str">
        <f>IFERROR(__xludf.DUMMYFUNCTION("""COMPUTED_VALUE"""),"Dr. Manohar Singh, President, westernConnecticut state University, US
")</f>
        <v>Dr. Manohar Singh, President, westernConnecticut state University, US
</v>
      </c>
      <c r="E3" s="49" t="str">
        <f>IFERROR(__xludf.DUMMYFUNCTION("""COMPUTED_VALUE"""),"USA")</f>
        <v>USA</v>
      </c>
      <c r="F3" s="49" t="str">
        <f>IFERROR(__xludf.DUMMYFUNCTION("""COMPUTED_VALUE"""),"Western Connecticut State University, US")</f>
        <v>Western Connecticut State University, US</v>
      </c>
      <c r="G3" s="49" t="str">
        <f>IFERROR(__xludf.DUMMYFUNCTION("""COMPUTED_VALUE"""),"Collaboration discussion with Dr. Premachandra Sagar, Dr. Amit Bhatt, Ms. Supriya Mathew
")</f>
        <v>Collaboration discussion with Dr. Premachandra Sagar, Dr. Amit Bhatt, Ms. Supriya Mathew
</v>
      </c>
      <c r="H3" s="49" t="str">
        <f>IFERROR(__xludf.DUMMYFUNCTION("""COMPUTED_VALUE"""),"DSU")</f>
        <v>DSU</v>
      </c>
      <c r="I3" s="49" t="str">
        <f>IFERROR(__xludf.DUMMYFUNCTION("""COMPUTED_VALUE"""),"Harohalli")</f>
        <v>Harohalli</v>
      </c>
      <c r="J3" s="50" t="str">
        <f>IFERROR(__xludf.DUMMYFUNCTION("""COMPUTED_VALUE"""),"https://drive.google.com/open?id=18m0WXCwVkhNWUnHs_eqUMxNhpln-Qirl")</f>
        <v>https://drive.google.com/open?id=18m0WXCwVkhNWUnHs_eqUMxNhpln-Qirl</v>
      </c>
    </row>
    <row r="4">
      <c r="A4" s="47"/>
      <c r="B4" s="48">
        <f>IFERROR(__xludf.DUMMYFUNCTION("""COMPUTED_VALUE"""),45306.0)</f>
        <v>45306</v>
      </c>
      <c r="C4" s="47" t="str">
        <f>IFERROR(__xludf.DUMMYFUNCTION("""COMPUTED_VALUE"""),"University Visit")</f>
        <v>University Visit</v>
      </c>
      <c r="D4" s="49" t="str">
        <f>IFERROR(__xludf.DUMMYFUNCTION("""COMPUTED_VALUE"""),"Mr. Anuj Bhasin, Canadian Embassy
")</f>
        <v>Mr. Anuj Bhasin, Canadian Embassy
</v>
      </c>
      <c r="E4" s="49" t="str">
        <f>IFERROR(__xludf.DUMMYFUNCTION("""COMPUTED_VALUE"""),"Canada")</f>
        <v>Canada</v>
      </c>
      <c r="F4" s="49" t="str">
        <f>IFERROR(__xludf.DUMMYFUNCTION("""COMPUTED_VALUE"""),"Canadian Embassy")</f>
        <v>Canadian Embassy</v>
      </c>
      <c r="G4" s="49" t="str">
        <f>IFERROR(__xludf.DUMMYFUNCTION("""COMPUTED_VALUE"""),"Meeting with Ms. Supriya Mathew, Vice President, International Affairs")</f>
        <v>Meeting with Ms. Supriya Mathew, Vice President, International Affairs</v>
      </c>
      <c r="H4" s="49" t="str">
        <f>IFERROR(__xludf.DUMMYFUNCTION("""COMPUTED_VALUE"""),"DSU")</f>
        <v>DSU</v>
      </c>
      <c r="I4" s="49" t="str">
        <f>IFERROR(__xludf.DUMMYFUNCTION("""COMPUTED_VALUE"""),"Harohalli")</f>
        <v>Harohalli</v>
      </c>
      <c r="J4" s="50" t="str">
        <f>IFERROR(__xludf.DUMMYFUNCTION("""COMPUTED_VALUE"""),"https://drive.google.com/open?id=1K0gP0N9Z6FrUdyBzuYowEwQXEk6UFrrm")</f>
        <v>https://drive.google.com/open?id=1K0gP0N9Z6FrUdyBzuYowEwQXEk6UFrrm</v>
      </c>
    </row>
    <row r="5">
      <c r="A5" s="47"/>
      <c r="B5" s="48">
        <f>IFERROR(__xludf.DUMMYFUNCTION("""COMPUTED_VALUE"""),45313.0)</f>
        <v>45313</v>
      </c>
      <c r="C5" s="47" t="str">
        <f>IFERROR(__xludf.DUMMYFUNCTION("""COMPUTED_VALUE"""),"University Visit")</f>
        <v>University Visit</v>
      </c>
      <c r="D5" s="49" t="str">
        <f>IFERROR(__xludf.DUMMYFUNCTION("""COMPUTED_VALUE"""),"Dr. Matthias, Dr. Gerald ")</f>
        <v>Dr. Matthias, Dr. Gerald </v>
      </c>
      <c r="E5" s="49" t="str">
        <f>IFERROR(__xludf.DUMMYFUNCTION("""COMPUTED_VALUE"""),"Germany")</f>
        <v>Germany</v>
      </c>
      <c r="F5" s="49" t="str">
        <f>IFERROR(__xludf.DUMMYFUNCTION("""COMPUTED_VALUE"""),"Hoschule Hof, Germany")</f>
        <v>Hoschule Hof, Germany</v>
      </c>
      <c r="G5" s="49" t="str">
        <f>IFERROR(__xludf.DUMMYFUNCTION("""COMPUTED_VALUE"""),"Collaboration discussion with the school of Nursing")</f>
        <v>Collaboration discussion with the school of Nursing</v>
      </c>
      <c r="H5" s="49" t="str">
        <f>IFERROR(__xludf.DUMMYFUNCTION("""COMPUTED_VALUE"""),"School of Health Sciences")</f>
        <v>School of Health Sciences</v>
      </c>
      <c r="I5" s="49" t="str">
        <f>IFERROR(__xludf.DUMMYFUNCTION("""COMPUTED_VALUE"""),"Harohalli")</f>
        <v>Harohalli</v>
      </c>
      <c r="J5" s="49"/>
    </row>
    <row r="6">
      <c r="A6" s="47"/>
      <c r="B6" s="48">
        <f>IFERROR(__xludf.DUMMYFUNCTION("""COMPUTED_VALUE"""),45321.0)</f>
        <v>45321</v>
      </c>
      <c r="C6" s="47" t="str">
        <f>IFERROR(__xludf.DUMMYFUNCTION("""COMPUTED_VALUE"""),"University Visit")</f>
        <v>University Visit</v>
      </c>
      <c r="D6" s="49" t="str">
        <f>IFERROR(__xludf.DUMMYFUNCTION("""COMPUTED_VALUE"""),"Mr. Charles Cormack, Chairman
")</f>
        <v>Mr. Charles Cormack, Chairman
</v>
      </c>
      <c r="E6" s="49" t="str">
        <f>IFERROR(__xludf.DUMMYFUNCTION("""COMPUTED_VALUE"""),"UK")</f>
        <v>UK</v>
      </c>
      <c r="F6" s="49" t="str">
        <f>IFERROR(__xludf.DUMMYFUNCTION("""COMPUTED_VALUE""")," Cormack Consultancy, UK")</f>
        <v> Cormack Consultancy, UK</v>
      </c>
      <c r="G6" s="49" t="str">
        <f>IFERROR(__xludf.DUMMYFUNCTION("""COMPUTED_VALUE"""),"Collaboration discussion with Ms. Supriya Mathew, VP, International Affairs")</f>
        <v>Collaboration discussion with Ms. Supriya Mathew, VP, International Affairs</v>
      </c>
      <c r="H6" s="49" t="str">
        <f>IFERROR(__xludf.DUMMYFUNCTION("""COMPUTED_VALUE"""),"International Affairs")</f>
        <v>International Affairs</v>
      </c>
      <c r="I6" s="49" t="str">
        <f>IFERROR(__xludf.DUMMYFUNCTION("""COMPUTED_VALUE"""),"Harohalli")</f>
        <v>Harohalli</v>
      </c>
      <c r="J6" s="50" t="str">
        <f>IFERROR(__xludf.DUMMYFUNCTION("""COMPUTED_VALUE"""),"https://drive.google.com/open?id=1DJSK27q6bm7wVt42qjOH2OmYINEXc9Lu")</f>
        <v>https://drive.google.com/open?id=1DJSK27q6bm7wVt42qjOH2OmYINEXc9Lu</v>
      </c>
    </row>
    <row r="7">
      <c r="A7" s="47"/>
      <c r="B7" s="48">
        <f>IFERROR(__xludf.DUMMYFUNCTION("""COMPUTED_VALUE"""),45322.0)</f>
        <v>45322</v>
      </c>
      <c r="C7" s="47" t="str">
        <f>IFERROR(__xludf.DUMMYFUNCTION("""COMPUTED_VALUE"""),"University Visit")</f>
        <v>University Visit</v>
      </c>
      <c r="D7" s="49" t="str">
        <f>IFERROR(__xludf.DUMMYFUNCTION("""COMPUTED_VALUE"""),"Dr. Prof. Uta M Feaser, President and Dr. Klaus Lang  
")</f>
        <v>Dr. Prof. Uta M Feaser, President and Dr. Klaus Lang  
</v>
      </c>
      <c r="E7" s="49" t="str">
        <f>IFERROR(__xludf.DUMMYFUNCTION("""COMPUTED_VALUE""")," Germany")</f>
        <v> Germany</v>
      </c>
      <c r="F7" s="49" t="str">
        <f>IFERROR(__xludf.DUMMYFUNCTION("""COMPUTED_VALUE"""),"Neu - Ulm - University")</f>
        <v>Neu - Ulm - University</v>
      </c>
      <c r="G7" s="49" t="str">
        <f>IFERROR(__xludf.DUMMYFUNCTION("""COMPUTED_VALUE"""),"President visit, and collaboration discussion")</f>
        <v>President visit, and collaboration discussion</v>
      </c>
      <c r="H7" s="49" t="str">
        <f>IFERROR(__xludf.DUMMYFUNCTION("""COMPUTED_VALUE"""),"DSU International Affairs")</f>
        <v>DSU International Affairs</v>
      </c>
      <c r="I7" s="49" t="str">
        <f>IFERROR(__xludf.DUMMYFUNCTION("""COMPUTED_VALUE"""),"Harohalli")</f>
        <v>Harohalli</v>
      </c>
      <c r="J7" s="50" t="str">
        <f>IFERROR(__xludf.DUMMYFUNCTION("""COMPUTED_VALUE"""),"https://drive.google.com/open?id=1gpOPvP6jTZJWG7X5mMw-s_kiKzXr615q")</f>
        <v>https://drive.google.com/open?id=1gpOPvP6jTZJWG7X5mMw-s_kiKzXr615q</v>
      </c>
    </row>
    <row r="8">
      <c r="A8" s="47"/>
      <c r="B8" s="48">
        <f>IFERROR(__xludf.DUMMYFUNCTION("""COMPUTED_VALUE"""),45670.0)</f>
        <v>45670</v>
      </c>
      <c r="C8" s="47" t="str">
        <f>IFERROR(__xludf.DUMMYFUNCTION("""COMPUTED_VALUE"""),"University Visit")</f>
        <v>University Visit</v>
      </c>
      <c r="D8" s="49" t="str">
        <f>IFERROR(__xludf.DUMMYFUNCTION("""COMPUTED_VALUE"""),"University College london UCL")</f>
        <v>University College london UCL</v>
      </c>
      <c r="E8" s="49" t="str">
        <f>IFERROR(__xludf.DUMMYFUNCTION("""COMPUTED_VALUE"""),"UK")</f>
        <v>UK</v>
      </c>
      <c r="F8" s="49" t="str">
        <f>IFERROR(__xludf.DUMMYFUNCTION("""COMPUTED_VALUE"""),"UCL University College London")</f>
        <v>UCL University College London</v>
      </c>
      <c r="G8" s="49" t="str">
        <f>IFERROR(__xludf.DUMMYFUNCTION("""COMPUTED_VALUE"""),"Pre - Med Students visit to CDSIMER")</f>
        <v>Pre - Med Students visit to CDSIMER</v>
      </c>
      <c r="H8" s="49" t="str">
        <f>IFERROR(__xludf.DUMMYFUNCTION("""COMPUTED_VALUE"""),"CDSIMER")</f>
        <v>CDSIMER</v>
      </c>
      <c r="I8" s="49" t="str">
        <f>IFERROR(__xludf.DUMMYFUNCTION("""COMPUTED_VALUE"""),"Harohalli")</f>
        <v>Harohalli</v>
      </c>
      <c r="J8" s="49"/>
    </row>
    <row r="9">
      <c r="A9" s="47"/>
      <c r="B9" s="48">
        <f>IFERROR(__xludf.DUMMYFUNCTION("""COMPUTED_VALUE"""),45293.0)</f>
        <v>45293</v>
      </c>
      <c r="C9" s="47" t="str">
        <f>IFERROR(__xludf.DUMMYFUNCTION("""COMPUTED_VALUE"""),"University Visit")</f>
        <v>University Visit</v>
      </c>
      <c r="D9" s="49" t="str">
        <f>IFERROR(__xludf.DUMMYFUNCTION("""COMPUTED_VALUE"""),"Mr. Sudhirji from Catel contracts International, Education counsellors
")</f>
        <v>Mr. Sudhirji from Catel contracts International, Education counsellors
</v>
      </c>
      <c r="E9" s="49" t="str">
        <f>IFERROR(__xludf.DUMMYFUNCTION("""COMPUTED_VALUE"""),"USA")</f>
        <v>USA</v>
      </c>
      <c r="F9" s="49" t="str">
        <f>IFERROR(__xludf.DUMMYFUNCTION("""COMPUTED_VALUE"""),"Catel contracts International, Education counsellors")</f>
        <v>Catel contracts International, Education counsellors</v>
      </c>
      <c r="G9" s="49" t="str">
        <f>IFERROR(__xludf.DUMMYFUNCTION("""COMPUTED_VALUE"""),"Collaboration discussion")</f>
        <v>Collaboration discussion</v>
      </c>
      <c r="H9" s="49" t="str">
        <f>IFERROR(__xludf.DUMMYFUNCTION("""COMPUTED_VALUE"""),"International Affairs")</f>
        <v>International Affairs</v>
      </c>
      <c r="I9" s="49" t="str">
        <f>IFERROR(__xludf.DUMMYFUNCTION("""COMPUTED_VALUE"""),"Harohalli")</f>
        <v>Harohalli</v>
      </c>
      <c r="J9" s="49"/>
    </row>
    <row r="10">
      <c r="A10" s="47"/>
      <c r="B10" s="48">
        <f>IFERROR(__xludf.DUMMYFUNCTION("""COMPUTED_VALUE"""),45344.0)</f>
        <v>45344</v>
      </c>
      <c r="C10" s="47" t="str">
        <f>IFERROR(__xludf.DUMMYFUNCTION("""COMPUTED_VALUE"""),"University Visit")</f>
        <v>University Visit</v>
      </c>
      <c r="D10" s="49" t="str">
        <f>IFERROR(__xludf.DUMMYFUNCTION("""COMPUTED_VALUE"""),"Dr.Manivanan , Vice chancellor, Limkokwing University, Malaysia
")</f>
        <v>Dr.Manivanan , Vice chancellor, Limkokwing University, Malaysia
</v>
      </c>
      <c r="E10" s="49" t="str">
        <f>IFERROR(__xludf.DUMMYFUNCTION("""COMPUTED_VALUE""")," Malaysia")</f>
        <v> Malaysia</v>
      </c>
      <c r="F10" s="49" t="str">
        <f>IFERROR(__xludf.DUMMYFUNCTION("""COMPUTED_VALUE"""),"Limkokwing University, Malaysia")</f>
        <v>Limkokwing University, Malaysia</v>
      </c>
      <c r="G10" s="49" t="str">
        <f>IFERROR(__xludf.DUMMYFUNCTION("""COMPUTED_VALUE"""),"Collaboration discussion ")</f>
        <v>Collaboration discussion </v>
      </c>
      <c r="H10" s="49" t="str">
        <f>IFERROR(__xludf.DUMMYFUNCTION("""COMPUTED_VALUE"""),"International Affairs")</f>
        <v>International Affairs</v>
      </c>
      <c r="I10" s="49" t="str">
        <f>IFERROR(__xludf.DUMMYFUNCTION("""COMPUTED_VALUE"""),"Kudlu gate")</f>
        <v>Kudlu gate</v>
      </c>
      <c r="J10" s="49"/>
    </row>
    <row r="11">
      <c r="A11" s="47"/>
      <c r="B11" s="48">
        <f>IFERROR(__xludf.DUMMYFUNCTION("""COMPUTED_VALUE"""),45345.0)</f>
        <v>45345</v>
      </c>
      <c r="C11" s="47" t="str">
        <f>IFERROR(__xludf.DUMMYFUNCTION("""COMPUTED_VALUE"""),"University Visit")</f>
        <v>University Visit</v>
      </c>
      <c r="D11" s="49" t="str">
        <f>IFERROR(__xludf.DUMMYFUNCTION("""COMPUTED_VALUE"""),"Prof. Andreas Doleschel &amp; Prof. Peter Zentgraf")</f>
        <v>Prof. Andreas Doleschel &amp; Prof. Peter Zentgraf</v>
      </c>
      <c r="E11" s="49" t="str">
        <f>IFERROR(__xludf.DUMMYFUNCTION("""COMPUTED_VALUE""")," Germany")</f>
        <v> Germany</v>
      </c>
      <c r="F11" s="49" t="str">
        <f>IFERROR(__xludf.DUMMYFUNCTION("""COMPUTED_VALUE"""),"Rosenhiem University")</f>
        <v>Rosenhiem University</v>
      </c>
      <c r="G11" s="49" t="str">
        <f>IFERROR(__xludf.DUMMYFUNCTION("""COMPUTED_VALUE"""),"Collaboration Discussion")</f>
        <v>Collaboration Discussion</v>
      </c>
      <c r="H11" s="49" t="str">
        <f>IFERROR(__xludf.DUMMYFUNCTION("""COMPUTED_VALUE"""),"International Affairs")</f>
        <v>International Affairs</v>
      </c>
      <c r="I11" s="49" t="str">
        <f>IFERROR(__xludf.DUMMYFUNCTION("""COMPUTED_VALUE"""),"Harohalli")</f>
        <v>Harohalli</v>
      </c>
      <c r="J11" s="49"/>
    </row>
    <row r="12">
      <c r="A12" s="47"/>
      <c r="B12" s="48">
        <f>IFERROR(__xludf.DUMMYFUNCTION("""COMPUTED_VALUE"""),45681.0)</f>
        <v>45681</v>
      </c>
      <c r="C12" s="47" t="str">
        <f>IFERROR(__xludf.DUMMYFUNCTION("""COMPUTED_VALUE"""),"Seminar")</f>
        <v>Seminar</v>
      </c>
      <c r="D12" s="49" t="str">
        <f>IFERROR(__xludf.DUMMYFUNCTION("""COMPUTED_VALUE"""),"Dr. Maria, Prof. University of Reading")</f>
        <v>Dr. Maria, Prof. University of Reading</v>
      </c>
      <c r="E12" s="49" t="str">
        <f>IFERROR(__xludf.DUMMYFUNCTION("""COMPUTED_VALUE"""),"England")</f>
        <v>England</v>
      </c>
      <c r="F12" s="49" t="str">
        <f>IFERROR(__xludf.DUMMYFUNCTION("""COMPUTED_VALUE"""),"University of Reading")</f>
        <v>University of Reading</v>
      </c>
      <c r="G12" s="49" t="str">
        <f>IFERROR(__xludf.DUMMYFUNCTION("""COMPUTED_VALUE"""),"Guest lecture to SBAS Students")</f>
        <v>Guest lecture to SBAS Students</v>
      </c>
      <c r="H12" s="49" t="str">
        <f>IFERROR(__xludf.DUMMYFUNCTION("""COMPUTED_VALUE"""),"SBAS")</f>
        <v>SBAS</v>
      </c>
      <c r="I12" s="49" t="str">
        <f>IFERROR(__xludf.DUMMYFUNCTION("""COMPUTED_VALUE"""),"Kudlu gate")</f>
        <v>Kudlu gate</v>
      </c>
      <c r="J12" s="50" t="str">
        <f>IFERROR(__xludf.DUMMYFUNCTION("""COMPUTED_VALUE"""),"https://drive.google.com/open?id=1yMCWFo8vgAjyUa9B3qN7uAT_WGR94bYh")</f>
        <v>https://drive.google.com/open?id=1yMCWFo8vgAjyUa9B3qN7uAT_WGR94bYh</v>
      </c>
    </row>
    <row r="13">
      <c r="A13" s="47"/>
      <c r="B13" s="48">
        <f>IFERROR(__xludf.DUMMYFUNCTION("""COMPUTED_VALUE"""),45350.0)</f>
        <v>45350</v>
      </c>
      <c r="C13" s="47" t="str">
        <f>IFERROR(__xludf.DUMMYFUNCTION("""COMPUTED_VALUE"""),"University Visit")</f>
        <v>University Visit</v>
      </c>
      <c r="D13" s="49" t="str">
        <f>IFERROR(__xludf.DUMMYFUNCTION("""COMPUTED_VALUE"""),"Ms. Amy Parson, President Colorado State University, deleagtes from Colorado State University, USA
")</f>
        <v>Ms. Amy Parson, President Colorado State University, deleagtes from Colorado State University, USA
</v>
      </c>
      <c r="E13" s="49" t="str">
        <f>IFERROR(__xludf.DUMMYFUNCTION("""COMPUTED_VALUE"""),"USA")</f>
        <v>USA</v>
      </c>
      <c r="F13" s="49" t="str">
        <f>IFERROR(__xludf.DUMMYFUNCTION("""COMPUTED_VALUE"""),"Colorado State University, USA")</f>
        <v>Colorado State University, USA</v>
      </c>
      <c r="G13" s="49" t="str">
        <f>IFERROR(__xludf.DUMMYFUNCTION("""COMPUTED_VALUE"""),"President Visit and collaboration discussion")</f>
        <v>President Visit and collaboration discussion</v>
      </c>
      <c r="H13" s="49" t="str">
        <f>IFERROR(__xludf.DUMMYFUNCTION("""COMPUTED_VALUE"""),"International Affairs")</f>
        <v>International Affairs</v>
      </c>
      <c r="I13" s="49" t="str">
        <f>IFERROR(__xludf.DUMMYFUNCTION("""COMPUTED_VALUE"""),"Kudlu gate")</f>
        <v>Kudlu gate</v>
      </c>
      <c r="J13" s="50" t="str">
        <f>IFERROR(__xludf.DUMMYFUNCTION("""COMPUTED_VALUE"""),"https://drive.google.com/open?id=10WytXVD_ZS4R8ff-rqDxsTSs4Rudyz2K")</f>
        <v>https://drive.google.com/open?id=10WytXVD_ZS4R8ff-rqDxsTSs4Rudyz2K</v>
      </c>
    </row>
    <row r="14">
      <c r="A14" s="47"/>
      <c r="B14" s="48">
        <f>IFERROR(__xludf.DUMMYFUNCTION("""COMPUTED_VALUE"""),45352.0)</f>
        <v>45352</v>
      </c>
      <c r="C14" s="47" t="str">
        <f>IFERROR(__xludf.DUMMYFUNCTION("""COMPUTED_VALUE"""),"University Visit")</f>
        <v>University Visit</v>
      </c>
      <c r="D14" s="49" t="str">
        <f>IFERROR(__xludf.DUMMYFUNCTION("""COMPUTED_VALUE"""),"Prof. Clemens, HWR Berlin School of Economics &amp; Prof. Morvin, 
HWR Berlin School of Economics
")</f>
        <v>Prof. Clemens, HWR Berlin School of Economics &amp; Prof. Morvin, 
HWR Berlin School of Economics
</v>
      </c>
      <c r="E14" s="49" t="str">
        <f>IFERROR(__xludf.DUMMYFUNCTION("""COMPUTED_VALUE"""),"Germany")</f>
        <v>Germany</v>
      </c>
      <c r="F14" s="49" t="str">
        <f>IFERROR(__xludf.DUMMYFUNCTION("""COMPUTED_VALUE"""),"HWR Berlin School of Economics")</f>
        <v>HWR Berlin School of Economics</v>
      </c>
      <c r="G14" s="49" t="str">
        <f>IFERROR(__xludf.DUMMYFUNCTION("""COMPUTED_VALUE"""),"Collaboration Discussion")</f>
        <v>Collaboration Discussion</v>
      </c>
      <c r="H14" s="49" t="str">
        <f>IFERROR(__xludf.DUMMYFUNCTION("""COMPUTED_VALUE"""),"International Affairs")</f>
        <v>International Affairs</v>
      </c>
      <c r="I14" s="49" t="str">
        <f>IFERROR(__xludf.DUMMYFUNCTION("""COMPUTED_VALUE"""),"Kudlu gate")</f>
        <v>Kudlu gate</v>
      </c>
      <c r="J14" s="49"/>
    </row>
    <row r="15">
      <c r="A15" s="47"/>
      <c r="B15" s="48">
        <f>IFERROR(__xludf.DUMMYFUNCTION("""COMPUTED_VALUE"""),45372.0)</f>
        <v>45372</v>
      </c>
      <c r="C15" s="47" t="str">
        <f>IFERROR(__xludf.DUMMYFUNCTION("""COMPUTED_VALUE"""),"University Visit")</f>
        <v>University Visit</v>
      </c>
      <c r="D15" s="49" t="str">
        <f>IFERROR(__xludf.DUMMYFUNCTION("""COMPUTED_VALUE"""),"Mr. Dan Rolfe
")</f>
        <v>Mr. Dan Rolfe
</v>
      </c>
      <c r="E15" s="49" t="str">
        <f>IFERROR(__xludf.DUMMYFUNCTION("""COMPUTED_VALUE"""),"USA")</f>
        <v>USA</v>
      </c>
      <c r="F15" s="49" t="str">
        <f>IFERROR(__xludf.DUMMYFUNCTION("""COMPUTED_VALUE"""),"NorthEastern University")</f>
        <v>NorthEastern University</v>
      </c>
      <c r="G15" s="49" t="str">
        <f>IFERROR(__xludf.DUMMYFUNCTION("""COMPUTED_VALUE"""),"Collaboration discussion")</f>
        <v>Collaboration discussion</v>
      </c>
      <c r="H15" s="49" t="str">
        <f>IFERROR(__xludf.DUMMYFUNCTION("""COMPUTED_VALUE"""),"International Affairs")</f>
        <v>International Affairs</v>
      </c>
      <c r="I15" s="49" t="str">
        <f>IFERROR(__xludf.DUMMYFUNCTION("""COMPUTED_VALUE"""),"Harohalli")</f>
        <v>Harohalli</v>
      </c>
      <c r="J15" s="49"/>
    </row>
    <row r="16">
      <c r="A16" s="47"/>
      <c r="B16" s="48">
        <f>IFERROR(__xludf.DUMMYFUNCTION("""COMPUTED_VALUE"""),45684.0)</f>
        <v>45684</v>
      </c>
      <c r="C16" s="47" t="str">
        <f>IFERROR(__xludf.DUMMYFUNCTION("""COMPUTED_VALUE"""),"University Visit")</f>
        <v>University Visit</v>
      </c>
      <c r="D16" s="49" t="str">
        <f>IFERROR(__xludf.DUMMYFUNCTION("""COMPUTED_VALUE"""),"Dr. Clemens, Prof. Hannes, Prof at School of Law
")</f>
        <v>Dr. Clemens, Prof. Hannes, Prof at School of Law
</v>
      </c>
      <c r="E16" s="49" t="str">
        <f>IFERROR(__xludf.DUMMYFUNCTION("""COMPUTED_VALUE"""),"Germany")</f>
        <v>Germany</v>
      </c>
      <c r="F16" s="49" t="str">
        <f>IFERROR(__xludf.DUMMYFUNCTION("""COMPUTED_VALUE"""),"HWR Berlin University")</f>
        <v>HWR Berlin University</v>
      </c>
      <c r="G16" s="49" t="str">
        <f>IFERROR(__xludf.DUMMYFUNCTION("""COMPUTED_VALUE"""),"Collaboration discussion")</f>
        <v>Collaboration discussion</v>
      </c>
      <c r="H16" s="49" t="str">
        <f>IFERROR(__xludf.DUMMYFUNCTION("""COMPUTED_VALUE"""),"International Affairs")</f>
        <v>International Affairs</v>
      </c>
      <c r="I16" s="49" t="str">
        <f>IFERROR(__xludf.DUMMYFUNCTION("""COMPUTED_VALUE"""),"Kudlu gate")</f>
        <v>Kudlu gate</v>
      </c>
      <c r="J16" s="49"/>
    </row>
    <row r="17">
      <c r="A17" s="47"/>
      <c r="B17" s="48">
        <f>IFERROR(__xludf.DUMMYFUNCTION("""COMPUTED_VALUE"""),45686.0)</f>
        <v>45686</v>
      </c>
      <c r="C17" s="47" t="str">
        <f>IFERROR(__xludf.DUMMYFUNCTION("""COMPUTED_VALUE"""),"University Visit")</f>
        <v>University Visit</v>
      </c>
      <c r="D17" s="49" t="str">
        <f>IFERROR(__xludf.DUMMYFUNCTION("""COMPUTED_VALUE"""),"Ms. Samudra Kugel
")</f>
        <v>Ms. Samudra Kugel
</v>
      </c>
      <c r="E17" s="49" t="str">
        <f>IFERROR(__xludf.DUMMYFUNCTION("""COMPUTED_VALUE"""),"United States")</f>
        <v>United States</v>
      </c>
      <c r="F17" s="49" t="str">
        <f>IFERROR(__xludf.DUMMYFUNCTION("""COMPUTED_VALUE"""),"University of California Davis")</f>
        <v>University of California Davis</v>
      </c>
      <c r="G17" s="49" t="str">
        <f>IFERROR(__xludf.DUMMYFUNCTION("""COMPUTED_VALUE"""),"Collaboration Discussion")</f>
        <v>Collaboration Discussion</v>
      </c>
      <c r="H17" s="49" t="str">
        <f>IFERROR(__xludf.DUMMYFUNCTION("""COMPUTED_VALUE"""),"International Affairs")</f>
        <v>International Affairs</v>
      </c>
      <c r="I17" s="49" t="str">
        <f>IFERROR(__xludf.DUMMYFUNCTION("""COMPUTED_VALUE"""),"Harohalli")</f>
        <v>Harohalli</v>
      </c>
      <c r="J17" s="50" t="str">
        <f>IFERROR(__xludf.DUMMYFUNCTION("""COMPUTED_VALUE"""),"https://drive.google.com/open?id=1Z18clV_oc8vunHfVu4R35f19HOgAKaPC")</f>
        <v>https://drive.google.com/open?id=1Z18clV_oc8vunHfVu4R35f19HOgAKaPC</v>
      </c>
    </row>
    <row r="18">
      <c r="A18" s="47"/>
      <c r="B18" s="48">
        <f>IFERROR(__xludf.DUMMYFUNCTION("""COMPUTED_VALUE"""),45377.0)</f>
        <v>45377</v>
      </c>
      <c r="C18" s="47" t="str">
        <f>IFERROR(__xludf.DUMMYFUNCTION("""COMPUTED_VALUE"""),"University Visit")</f>
        <v>University Visit</v>
      </c>
      <c r="D18" s="49" t="str">
        <f>IFERROR(__xludf.DUMMYFUNCTION("""COMPUTED_VALUE"""),"Prof. Dr. Martin Göbl, Vice Dean, Kempten University, Germany
")</f>
        <v>Prof. Dr. Martin Göbl, Vice Dean, Kempten University, Germany
</v>
      </c>
      <c r="E18" s="49" t="str">
        <f>IFERROR(__xludf.DUMMYFUNCTION("""COMPUTED_VALUE"""),"Germany")</f>
        <v>Germany</v>
      </c>
      <c r="F18" s="49" t="str">
        <f>IFERROR(__xludf.DUMMYFUNCTION("""COMPUTED_VALUE""")," Kempten University, Germany")</f>
        <v> Kempten University, Germany</v>
      </c>
      <c r="G18" s="49" t="str">
        <f>IFERROR(__xludf.DUMMYFUNCTION("""COMPUTED_VALUE"""),"Collaboration")</f>
        <v>Collaboration</v>
      </c>
      <c r="H18" s="49" t="str">
        <f>IFERROR(__xludf.DUMMYFUNCTION("""COMPUTED_VALUE"""),"International Affairs")</f>
        <v>International Affairs</v>
      </c>
      <c r="I18" s="49" t="str">
        <f>IFERROR(__xludf.DUMMYFUNCTION("""COMPUTED_VALUE"""),"Harohalli")</f>
        <v>Harohalli</v>
      </c>
      <c r="J18" s="50" t="str">
        <f>IFERROR(__xludf.DUMMYFUNCTION("""COMPUTED_VALUE"""),"https://drive.google.com/open?id=1_Usjpd9LHw5kIWR2tU4GXO6C64u33FMl")</f>
        <v>https://drive.google.com/open?id=1_Usjpd9LHw5kIWR2tU4GXO6C64u33FMl</v>
      </c>
    </row>
    <row r="19">
      <c r="A19" s="47"/>
      <c r="B19" s="48">
        <f>IFERROR(__xludf.DUMMYFUNCTION("""COMPUTED_VALUE"""),45384.0)</f>
        <v>45384</v>
      </c>
      <c r="C19" s="47" t="str">
        <f>IFERROR(__xludf.DUMMYFUNCTION("""COMPUTED_VALUE"""),"Seminar")</f>
        <v>Seminar</v>
      </c>
      <c r="D19" s="49" t="str">
        <f>IFERROR(__xludf.DUMMYFUNCTION("""COMPUTED_VALUE"""),"Prof. Jonathan, Staffordshire University
")</f>
        <v>Prof. Jonathan, Staffordshire University
</v>
      </c>
      <c r="E19" s="49" t="str">
        <f>IFERROR(__xludf.DUMMYFUNCTION("""COMPUTED_VALUE"""),"UK")</f>
        <v>UK</v>
      </c>
      <c r="F19" s="49" t="str">
        <f>IFERROR(__xludf.DUMMYFUNCTION("""COMPUTED_VALUE"""),"Staffordshire University")</f>
        <v>Staffordshire University</v>
      </c>
      <c r="G19" s="49" t="str">
        <f>IFERROR(__xludf.DUMMYFUNCTION("""COMPUTED_VALUE"""),"University visit &amp; Seminar to SCMS Students")</f>
        <v>University visit &amp; Seminar to SCMS Students</v>
      </c>
      <c r="H19" s="49" t="str">
        <f>IFERROR(__xludf.DUMMYFUNCTION("""COMPUTED_VALUE"""),"International Affairs &amp; SCMS")</f>
        <v>International Affairs &amp; SCMS</v>
      </c>
      <c r="I19" s="49" t="str">
        <f>IFERROR(__xludf.DUMMYFUNCTION("""COMPUTED_VALUE"""),"Kudlu gate")</f>
        <v>Kudlu gate</v>
      </c>
      <c r="J19" s="50" t="str">
        <f>IFERROR(__xludf.DUMMYFUNCTION("""COMPUTED_VALUE"""),"https://drive.google.com/open?id=1aGGTZC0Twr8fzckMEvIaFAX-0bQo05gi")</f>
        <v>https://drive.google.com/open?id=1aGGTZC0Twr8fzckMEvIaFAX-0bQo05gi</v>
      </c>
    </row>
    <row r="20">
      <c r="A20" s="47"/>
      <c r="B20" s="48">
        <f>IFERROR(__xludf.DUMMYFUNCTION("""COMPUTED_VALUE"""),45395.0)</f>
        <v>45395</v>
      </c>
      <c r="C20" s="47" t="str">
        <f>IFERROR(__xludf.DUMMYFUNCTION("""COMPUTED_VALUE"""),"University Visit")</f>
        <v>University Visit</v>
      </c>
      <c r="D20" s="49" t="str">
        <f>IFERROR(__xludf.DUMMYFUNCTION("""COMPUTED_VALUE"""),"Prof. Boris Kramer, Maastricht University, Netherlands
")</f>
        <v>Prof. Boris Kramer, Maastricht University, Netherlands
</v>
      </c>
      <c r="E20" s="49" t="str">
        <f>IFERROR(__xludf.DUMMYFUNCTION("""COMPUTED_VALUE"""),"Netherlands")</f>
        <v>Netherlands</v>
      </c>
      <c r="F20" s="49" t="str">
        <f>IFERROR(__xludf.DUMMYFUNCTION("""COMPUTED_VALUE"""),"Maastricht University, Netherlands")</f>
        <v>Maastricht University, Netherlands</v>
      </c>
      <c r="G20" s="49" t="str">
        <f>IFERROR(__xludf.DUMMYFUNCTION("""COMPUTED_VALUE"""),"Collaboration discussion")</f>
        <v>Collaboration discussion</v>
      </c>
      <c r="H20" s="49" t="str">
        <f>IFERROR(__xludf.DUMMYFUNCTION("""COMPUTED_VALUE"""),"International Affairs")</f>
        <v>International Affairs</v>
      </c>
      <c r="I20" s="49" t="str">
        <f>IFERROR(__xludf.DUMMYFUNCTION("""COMPUTED_VALUE"""),"Harohalli")</f>
        <v>Harohalli</v>
      </c>
      <c r="J20" s="49"/>
    </row>
    <row r="21">
      <c r="A21" s="47"/>
      <c r="B21" s="48">
        <f>IFERROR(__xludf.DUMMYFUNCTION("""COMPUTED_VALUE"""),45396.0)</f>
        <v>45396</v>
      </c>
      <c r="C21" s="47" t="str">
        <f>IFERROR(__xludf.DUMMYFUNCTION("""COMPUTED_VALUE"""),"University Visit")</f>
        <v>University Visit</v>
      </c>
      <c r="D21" s="49" t="str">
        <f>IFERROR(__xludf.DUMMYFUNCTION("""COMPUTED_VALUE"""),"Dr. Alexandar and Ms. Natalya from MIET
")</f>
        <v>Dr. Alexandar and Ms. Natalya from MIET
</v>
      </c>
      <c r="E21" s="49" t="str">
        <f>IFERROR(__xludf.DUMMYFUNCTION("""COMPUTED_VALUE"""),"Russia")</f>
        <v>Russia</v>
      </c>
      <c r="F21" s="49" t="str">
        <f>IFERROR(__xludf.DUMMYFUNCTION("""COMPUTED_VALUE"""),"MIET")</f>
        <v>MIET</v>
      </c>
      <c r="G21" s="49" t="str">
        <f>IFERROR(__xludf.DUMMYFUNCTION("""COMPUTED_VALUE"""),"Campus visit")</f>
        <v>Campus visit</v>
      </c>
      <c r="H21" s="49" t="str">
        <f>IFERROR(__xludf.DUMMYFUNCTION("""COMPUTED_VALUE"""),"International Affairs")</f>
        <v>International Affairs</v>
      </c>
      <c r="I21" s="49" t="str">
        <f>IFERROR(__xludf.DUMMYFUNCTION("""COMPUTED_VALUE"""),"Harohalli")</f>
        <v>Harohalli</v>
      </c>
      <c r="J21" s="50" t="str">
        <f>IFERROR(__xludf.DUMMYFUNCTION("""COMPUTED_VALUE"""),"https://drive.google.com/open?id=1-G7jY_yc4Msa4wmmJb5L9qkYQCvxEvEM")</f>
        <v>https://drive.google.com/open?id=1-G7jY_yc4Msa4wmmJb5L9qkYQCvxEvEM</v>
      </c>
    </row>
    <row r="22">
      <c r="A22" s="47"/>
      <c r="B22" s="48">
        <f>IFERROR(__xludf.DUMMYFUNCTION("""COMPUTED_VALUE"""),45401.0)</f>
        <v>45401</v>
      </c>
      <c r="C22" s="47" t="str">
        <f>IFERROR(__xludf.DUMMYFUNCTION("""COMPUTED_VALUE"""),"Seminar")</f>
        <v>Seminar</v>
      </c>
      <c r="D22" s="49" t="str">
        <f>IFERROR(__xludf.DUMMYFUNCTION("""COMPUTED_VALUE"""),"Dr. Mohinder Duggal, Prof WCSU, USA
")</f>
        <v>Dr. Mohinder Duggal, Prof WCSU, USA
</v>
      </c>
      <c r="E22" s="49" t="str">
        <f>IFERROR(__xludf.DUMMYFUNCTION("""COMPUTED_VALUE"""),"USA")</f>
        <v>USA</v>
      </c>
      <c r="F22" s="49" t="str">
        <f>IFERROR(__xludf.DUMMYFUNCTION("""COMPUTED_VALUE"""),"WesternConnecticut State University")</f>
        <v>WesternConnecticut State University</v>
      </c>
      <c r="G22" s="49" t="str">
        <f>IFERROR(__xludf.DUMMYFUNCTION("""COMPUTED_VALUE"""),"Campus visit &amp; Seminar to SCMS students")</f>
        <v>Campus visit &amp; Seminar to SCMS students</v>
      </c>
      <c r="H22" s="49" t="str">
        <f>IFERROR(__xludf.DUMMYFUNCTION("""COMPUTED_VALUE"""),"SCMS - UG")</f>
        <v>SCMS - UG</v>
      </c>
      <c r="I22" s="49" t="str">
        <f>IFERROR(__xludf.DUMMYFUNCTION("""COMPUTED_VALUE"""),"Kudlu gate")</f>
        <v>Kudlu gate</v>
      </c>
      <c r="J22" s="50" t="str">
        <f>IFERROR(__xludf.DUMMYFUNCTION("""COMPUTED_VALUE"""),"https://drive.google.com/open?id=1c3MZNXOQBAnCPdTNn4NcNVrKHq5nMJma")</f>
        <v>https://drive.google.com/open?id=1c3MZNXOQBAnCPdTNn4NcNVrKHq5nMJma</v>
      </c>
    </row>
    <row r="23">
      <c r="A23" s="47"/>
      <c r="B23" s="48">
        <f>IFERROR(__xludf.DUMMYFUNCTION("""COMPUTED_VALUE"""),45401.0)</f>
        <v>45401</v>
      </c>
      <c r="C23" s="47" t="str">
        <f>IFERROR(__xludf.DUMMYFUNCTION("""COMPUTED_VALUE"""),"Seminar")</f>
        <v>Seminar</v>
      </c>
      <c r="D23" s="49" t="str">
        <f>IFERROR(__xludf.DUMMYFUNCTION("""COMPUTED_VALUE"""),"Ms. Shruthi Srinivasan, JCU
")</f>
        <v>Ms. Shruthi Srinivasan, JCU
</v>
      </c>
      <c r="E23" s="49" t="str">
        <f>IFERROR(__xludf.DUMMYFUNCTION("""COMPUTED_VALUE"""),"Australia")</f>
        <v>Australia</v>
      </c>
      <c r="F23" s="49" t="str">
        <f>IFERROR(__xludf.DUMMYFUNCTION("""COMPUTED_VALUE"""),"James Cook University")</f>
        <v>James Cook University</v>
      </c>
      <c r="G23" s="49" t="str">
        <f>IFERROR(__xludf.DUMMYFUNCTION("""COMPUTED_VALUE"""),"Seminar to BBA students")</f>
        <v>Seminar to BBA students</v>
      </c>
      <c r="H23" s="49" t="str">
        <f>IFERROR(__xludf.DUMMYFUNCTION("""COMPUTED_VALUE"""),"International Affairs")</f>
        <v>International Affairs</v>
      </c>
      <c r="I23" s="49" t="str">
        <f>IFERROR(__xludf.DUMMYFUNCTION("""COMPUTED_VALUE"""),"Kudlu gate")</f>
        <v>Kudlu gate</v>
      </c>
      <c r="J23" s="50" t="str">
        <f>IFERROR(__xludf.DUMMYFUNCTION("""COMPUTED_VALUE"""),"https://drive.google.com/open?id=1w_tbhtUl70yDUTIYMez8vJr_srfmc7NY")</f>
        <v>https://drive.google.com/open?id=1w_tbhtUl70yDUTIYMez8vJr_srfmc7NY</v>
      </c>
    </row>
    <row r="24">
      <c r="A24" s="47"/>
      <c r="B24" s="48">
        <f>IFERROR(__xludf.DUMMYFUNCTION("""COMPUTED_VALUE"""),45404.0)</f>
        <v>45404</v>
      </c>
      <c r="C24" s="47" t="str">
        <f>IFERROR(__xludf.DUMMYFUNCTION("""COMPUTED_VALUE"""),"Seminar")</f>
        <v>Seminar</v>
      </c>
      <c r="D24" s="49" t="str">
        <f>IFERROR(__xludf.DUMMYFUNCTION("""COMPUTED_VALUE"""),"Mr. Arvind Sivamani, Manager from Education USA Chennai
")</f>
        <v>Mr. Arvind Sivamani, Manager from Education USA Chennai
</v>
      </c>
      <c r="E24" s="49" t="str">
        <f>IFERROR(__xludf.DUMMYFUNCTION("""COMPUTED_VALUE"""),"Education USA Chennai")</f>
        <v>Education USA Chennai</v>
      </c>
      <c r="F24" s="49" t="str">
        <f>IFERROR(__xludf.DUMMYFUNCTION("""COMPUTED_VALUE"""),"Education USA Chennai")</f>
        <v>Education USA Chennai</v>
      </c>
      <c r="G24" s="49" t="str">
        <f>IFERROR(__xludf.DUMMYFUNCTION("""COMPUTED_VALUE"""),"Seminar to BBA Students")</f>
        <v>Seminar to BBA Students</v>
      </c>
      <c r="H24" s="49" t="str">
        <f>IFERROR(__xludf.DUMMYFUNCTION("""COMPUTED_VALUE"""),"SCMS")</f>
        <v>SCMS</v>
      </c>
      <c r="I24" s="49" t="str">
        <f>IFERROR(__xludf.DUMMYFUNCTION("""COMPUTED_VALUE"""),"Kudlu gate")</f>
        <v>Kudlu gate</v>
      </c>
      <c r="J24" s="50" t="str">
        <f>IFERROR(__xludf.DUMMYFUNCTION("""COMPUTED_VALUE"""),"https://drive.google.com/open?id=1zwL7WoFFv_iX65yVRfYY4YH91WfFkcF4")</f>
        <v>https://drive.google.com/open?id=1zwL7WoFFv_iX65yVRfYY4YH91WfFkcF4</v>
      </c>
    </row>
    <row r="25">
      <c r="A25" s="47"/>
      <c r="B25" s="48">
        <f>IFERROR(__xludf.DUMMYFUNCTION("""COMPUTED_VALUE"""),45434.0)</f>
        <v>45434</v>
      </c>
      <c r="C25" s="47" t="str">
        <f>IFERROR(__xludf.DUMMYFUNCTION("""COMPUTED_VALUE"""),"University Visit")</f>
        <v>University Visit</v>
      </c>
      <c r="D25" s="49" t="str">
        <f>IFERROR(__xludf.DUMMYFUNCTION("""COMPUTED_VALUE"""),"Mr. Stanislav Gnatkov, Regional Manager, South Asia, Centennial College
")</f>
        <v>Mr. Stanislav Gnatkov, Regional Manager, South Asia, Centennial College
</v>
      </c>
      <c r="E25" s="49" t="str">
        <f>IFERROR(__xludf.DUMMYFUNCTION("""COMPUTED_VALUE"""),"Canada")</f>
        <v>Canada</v>
      </c>
      <c r="F25" s="49" t="str">
        <f>IFERROR(__xludf.DUMMYFUNCTION("""COMPUTED_VALUE"""),"Centennial College")</f>
        <v>Centennial College</v>
      </c>
      <c r="G25" s="49" t="str">
        <f>IFERROR(__xludf.DUMMYFUNCTION("""COMPUTED_VALUE"""),"Collaboration discussion")</f>
        <v>Collaboration discussion</v>
      </c>
      <c r="H25" s="49" t="str">
        <f>IFERROR(__xludf.DUMMYFUNCTION("""COMPUTED_VALUE"""),"International Affairs")</f>
        <v>International Affairs</v>
      </c>
      <c r="I25" s="49" t="str">
        <f>IFERROR(__xludf.DUMMYFUNCTION("""COMPUTED_VALUE"""),"Harohalli")</f>
        <v>Harohalli</v>
      </c>
      <c r="J25" s="50" t="str">
        <f>IFERROR(__xludf.DUMMYFUNCTION("""COMPUTED_VALUE"""),"https://drive.google.com/open?id=1NAcK2O_7ITJ5wfzG1bubsz1IfibZAYBh")</f>
        <v>https://drive.google.com/open?id=1NAcK2O_7ITJ5wfzG1bubsz1IfibZAYBh</v>
      </c>
    </row>
    <row r="26">
      <c r="A26" s="47"/>
      <c r="B26" s="48">
        <f>IFERROR(__xludf.DUMMYFUNCTION("""COMPUTED_VALUE"""),45434.0)</f>
        <v>45434</v>
      </c>
      <c r="C26" s="47" t="str">
        <f>IFERROR(__xludf.DUMMYFUNCTION("""COMPUTED_VALUE"""),"Seminar")</f>
        <v>Seminar</v>
      </c>
      <c r="D26" s="49" t="str">
        <f>IFERROR(__xludf.DUMMYFUNCTION("""COMPUTED_VALUE"""),"Apurva Varma and Ms Aparajita Bhattacharya Seminar, ARMS
")</f>
        <v>Apurva Varma and Ms Aparajita Bhattacharya Seminar, ARMS
</v>
      </c>
      <c r="E26" s="49" t="str">
        <f>IFERROR(__xludf.DUMMYFUNCTION("""COMPUTED_VALUE"""),"India")</f>
        <v>India</v>
      </c>
      <c r="F26" s="49" t="str">
        <f>IFERROR(__xludf.DUMMYFUNCTION("""COMPUTED_VALUE"""),"ARMS")</f>
        <v>ARMS</v>
      </c>
      <c r="G26" s="49" t="str">
        <f>IFERROR(__xludf.DUMMYFUNCTION("""COMPUTED_VALUE"""),"Seminar to the Engineering students")</f>
        <v>Seminar to the Engineering students</v>
      </c>
      <c r="H26" s="49" t="str">
        <f>IFERROR(__xludf.DUMMYFUNCTION("""COMPUTED_VALUE"""),"SOE")</f>
        <v>SOE</v>
      </c>
      <c r="I26" s="49" t="str">
        <f>IFERROR(__xludf.DUMMYFUNCTION("""COMPUTED_VALUE"""),"Harohalli")</f>
        <v>Harohalli</v>
      </c>
      <c r="J26" s="50" t="str">
        <f>IFERROR(__xludf.DUMMYFUNCTION("""COMPUTED_VALUE"""),"https://drive.google.com/open?id=1N_lVuwH5Ci0yx8Ut4b4oKn23qJUjaQUt")</f>
        <v>https://drive.google.com/open?id=1N_lVuwH5Ci0yx8Ut4b4oKn23qJUjaQUt</v>
      </c>
    </row>
    <row r="27">
      <c r="A27" s="47"/>
      <c r="B27" s="48">
        <f>IFERROR(__xludf.DUMMYFUNCTION("""COMPUTED_VALUE"""),45488.0)</f>
        <v>45488</v>
      </c>
      <c r="C27" s="47" t="str">
        <f>IFERROR(__xludf.DUMMYFUNCTION("""COMPUTED_VALUE"""),"University Visit")</f>
        <v>University Visit</v>
      </c>
      <c r="D27" s="49" t="str">
        <f>IFERROR(__xludf.DUMMYFUNCTION("""COMPUTED_VALUE"""),"Dr. Prabhakar VenuGopal, Dr. Swapna, Southern Connecticut state University
")</f>
        <v>Dr. Prabhakar VenuGopal, Dr. Swapna, Southern Connecticut state University
</v>
      </c>
      <c r="E27" s="49" t="str">
        <f>IFERROR(__xludf.DUMMYFUNCTION("""COMPUTED_VALUE"""),"USA")</f>
        <v>USA</v>
      </c>
      <c r="F27" s="49" t="str">
        <f>IFERROR(__xludf.DUMMYFUNCTION("""COMPUTED_VALUE"""),"Southern Connecticut state University")</f>
        <v>Southern Connecticut state University</v>
      </c>
      <c r="G27" s="49" t="str">
        <f>IFERROR(__xludf.DUMMYFUNCTION("""COMPUTED_VALUE"""),"Collaboration discussion")</f>
        <v>Collaboration discussion</v>
      </c>
      <c r="H27" s="49" t="str">
        <f>IFERROR(__xludf.DUMMYFUNCTION("""COMPUTED_VALUE"""),"International Affairs")</f>
        <v>International Affairs</v>
      </c>
      <c r="I27" s="49" t="str">
        <f>IFERROR(__xludf.DUMMYFUNCTION("""COMPUTED_VALUE"""),"Harohalli")</f>
        <v>Harohalli</v>
      </c>
      <c r="J27" s="50" t="str">
        <f>IFERROR(__xludf.DUMMYFUNCTION("""COMPUTED_VALUE"""),"https://drive.google.com/open?id=1fFYelGyv6nfUBhI6zNML8U-_BfHg6nWU")</f>
        <v>https://drive.google.com/open?id=1fFYelGyv6nfUBhI6zNML8U-_BfHg6nWU</v>
      </c>
    </row>
    <row r="28">
      <c r="A28" s="47"/>
      <c r="B28" s="48">
        <f>IFERROR(__xludf.DUMMYFUNCTION("""COMPUTED_VALUE"""),45492.0)</f>
        <v>45492</v>
      </c>
      <c r="C28" s="47" t="str">
        <f>IFERROR(__xludf.DUMMYFUNCTION("""COMPUTED_VALUE"""),"Seminar")</f>
        <v>Seminar</v>
      </c>
      <c r="D28" s="49" t="str">
        <f>IFERROR(__xludf.DUMMYFUNCTION("""COMPUTED_VALUE"""),"Mr. Sugat Das, Manager &amp; Ms. Darshini, IED Istituto Europeo di Design S.p.A. Società Benefit")</f>
        <v>Mr. Sugat Das, Manager &amp; Ms. Darshini, IED Istituto Europeo di Design S.p.A. Società Benefit</v>
      </c>
      <c r="E28" s="49" t="str">
        <f>IFERROR(__xludf.DUMMYFUNCTION("""COMPUTED_VALUE"""),"Italy")</f>
        <v>Italy</v>
      </c>
      <c r="F28" s="49" t="str">
        <f>IFERROR(__xludf.DUMMYFUNCTION("""COMPUTED_VALUE"""),"IED Istituto Europeo di Design")</f>
        <v>IED Istituto Europeo di Design</v>
      </c>
      <c r="G28" s="49" t="str">
        <f>IFERROR(__xludf.DUMMYFUNCTION("""COMPUTED_VALUE"""),"Seminar to Design students")</f>
        <v>Seminar to Design students</v>
      </c>
      <c r="H28" s="49" t="str">
        <f>IFERROR(__xludf.DUMMYFUNCTION("""COMPUTED_VALUE"""),"International Affairs")</f>
        <v>International Affairs</v>
      </c>
      <c r="I28" s="49" t="str">
        <f>IFERROR(__xludf.DUMMYFUNCTION("""COMPUTED_VALUE"""),"Kudlu gate")</f>
        <v>Kudlu gate</v>
      </c>
      <c r="J28" s="49"/>
    </row>
    <row r="29">
      <c r="A29" s="47"/>
      <c r="B29" s="48">
        <f>IFERROR(__xludf.DUMMYFUNCTION("""COMPUTED_VALUE"""),45691.0)</f>
        <v>45691</v>
      </c>
      <c r="C29" s="47" t="str">
        <f>IFERROR(__xludf.DUMMYFUNCTION("""COMPUTED_VALUE"""),"University Visit")</f>
        <v>University Visit</v>
      </c>
      <c r="D29" s="49" t="str">
        <f>IFERROR(__xludf.DUMMYFUNCTION("""COMPUTED_VALUE"""),"Dr. Liam Doyle
")</f>
        <v>Dr. Liam Doyle
</v>
      </c>
      <c r="E29" s="49" t="str">
        <f>IFERROR(__xludf.DUMMYFUNCTION("""COMPUTED_VALUE"""),"Ireland")</f>
        <v>Ireland</v>
      </c>
      <c r="F29" s="49" t="str">
        <f>IFERROR(__xludf.DUMMYFUNCTION("""COMPUTED_VALUE"""),"South East Technological University")</f>
        <v>South East Technological University</v>
      </c>
      <c r="G29" s="49" t="str">
        <f>IFERROR(__xludf.DUMMYFUNCTION("""COMPUTED_VALUE"""),"Collaboration Discussion")</f>
        <v>Collaboration Discussion</v>
      </c>
      <c r="H29" s="49" t="str">
        <f>IFERROR(__xludf.DUMMYFUNCTION("""COMPUTED_VALUE"""),"International Affairs")</f>
        <v>International Affairs</v>
      </c>
      <c r="I29" s="49" t="str">
        <f>IFERROR(__xludf.DUMMYFUNCTION("""COMPUTED_VALUE"""),"Harohalli")</f>
        <v>Harohalli</v>
      </c>
      <c r="J29" s="50" t="str">
        <f>IFERROR(__xludf.DUMMYFUNCTION("""COMPUTED_VALUE"""),"https://drive.google.com/open?id=1nP-S9_5mrvkBJzu-sRL1mo7EAq1SNZx2")</f>
        <v>https://drive.google.com/open?id=1nP-S9_5mrvkBJzu-sRL1mo7EAq1SNZx2</v>
      </c>
    </row>
    <row r="30">
      <c r="A30" s="47"/>
      <c r="B30" s="48">
        <f>IFERROR(__xludf.DUMMYFUNCTION("""COMPUTED_VALUE"""),45691.0)</f>
        <v>45691</v>
      </c>
      <c r="C30" s="47" t="str">
        <f>IFERROR(__xludf.DUMMYFUNCTION("""COMPUTED_VALUE"""),"University Visit")</f>
        <v>University Visit</v>
      </c>
      <c r="D30" s="49" t="str">
        <f>IFERROR(__xludf.DUMMYFUNCTION("""COMPUTED_VALUE"""),"Ms. Cara Callaghan
")</f>
        <v>Ms. Cara Callaghan
</v>
      </c>
      <c r="E30" s="49" t="str">
        <f>IFERROR(__xludf.DUMMYFUNCTION("""COMPUTED_VALUE"""),"Ireland")</f>
        <v>Ireland</v>
      </c>
      <c r="F30" s="49" t="str">
        <f>IFERROR(__xludf.DUMMYFUNCTION("""COMPUTED_VALUE"""),"Technological University of the Shannon")</f>
        <v>Technological University of the Shannon</v>
      </c>
      <c r="G30" s="49" t="str">
        <f>IFERROR(__xludf.DUMMYFUNCTION("""COMPUTED_VALUE"""),"Collaboration Discussion")</f>
        <v>Collaboration Discussion</v>
      </c>
      <c r="H30" s="49" t="str">
        <f>IFERROR(__xludf.DUMMYFUNCTION("""COMPUTED_VALUE"""),"International Affairs")</f>
        <v>International Affairs</v>
      </c>
      <c r="I30" s="49" t="str">
        <f>IFERROR(__xludf.DUMMYFUNCTION("""COMPUTED_VALUE"""),"Harohalli")</f>
        <v>Harohalli</v>
      </c>
      <c r="J30" s="50" t="str">
        <f>IFERROR(__xludf.DUMMYFUNCTION("""COMPUTED_VALUE"""),"https://drive.google.com/open?id=1rJ7qAA3EmHPhwrqW4HSH-3Be_Stx59_4")</f>
        <v>https://drive.google.com/open?id=1rJ7qAA3EmHPhwrqW4HSH-3Be_Stx59_4</v>
      </c>
    </row>
    <row r="31">
      <c r="A31" s="47"/>
      <c r="B31" s="48">
        <f>IFERROR(__xludf.DUMMYFUNCTION("""COMPUTED_VALUE"""),45691.0)</f>
        <v>45691</v>
      </c>
      <c r="C31" s="47" t="str">
        <f>IFERROR(__xludf.DUMMYFUNCTION("""COMPUTED_VALUE"""),"University Visit")</f>
        <v>University Visit</v>
      </c>
      <c r="D31" s="49" t="str">
        <f>IFERROR(__xludf.DUMMYFUNCTION("""COMPUTED_VALUE"""),"Dr. Aaron Potito
")</f>
        <v>Dr. Aaron Potito
</v>
      </c>
      <c r="E31" s="49" t="str">
        <f>IFERROR(__xludf.DUMMYFUNCTION("""COMPUTED_VALUE"""),"Ireland")</f>
        <v>Ireland</v>
      </c>
      <c r="F31" s="49" t="str">
        <f>IFERROR(__xludf.DUMMYFUNCTION("""COMPUTED_VALUE"""),"University of Galway")</f>
        <v>University of Galway</v>
      </c>
      <c r="G31" s="49" t="str">
        <f>IFERROR(__xludf.DUMMYFUNCTION("""COMPUTED_VALUE"""),"Collaboration Discussion")</f>
        <v>Collaboration Discussion</v>
      </c>
      <c r="H31" s="49" t="str">
        <f>IFERROR(__xludf.DUMMYFUNCTION("""COMPUTED_VALUE"""),"International Affairs")</f>
        <v>International Affairs</v>
      </c>
      <c r="I31" s="49" t="str">
        <f>IFERROR(__xludf.DUMMYFUNCTION("""COMPUTED_VALUE"""),"Harohalli")</f>
        <v>Harohalli</v>
      </c>
      <c r="J31" s="50" t="str">
        <f>IFERROR(__xludf.DUMMYFUNCTION("""COMPUTED_VALUE"""),"https://drive.google.com/open?id=1g-Qe8hnlgPZ7m1IF0D7gY2llSJSPQUb3")</f>
        <v>https://drive.google.com/open?id=1g-Qe8hnlgPZ7m1IF0D7gY2llSJSPQUb3</v>
      </c>
    </row>
    <row r="32">
      <c r="A32" s="47"/>
      <c r="B32" s="48">
        <f>IFERROR(__xludf.DUMMYFUNCTION("""COMPUTED_VALUE"""),-619051.0)</f>
        <v>-619051</v>
      </c>
      <c r="C32" s="47" t="str">
        <f>IFERROR(__xludf.DUMMYFUNCTION("""COMPUTED_VALUE"""),"University Visit")</f>
        <v>University Visit</v>
      </c>
      <c r="D32" s="49" t="str">
        <f>IFERROR(__xludf.DUMMYFUNCTION("""COMPUTED_VALUE"""),"Dr. Ashish Vashishtha
")</f>
        <v>Dr. Ashish Vashishtha
</v>
      </c>
      <c r="E32" s="49" t="str">
        <f>IFERROR(__xludf.DUMMYFUNCTION("""COMPUTED_VALUE"""),"Ireland")</f>
        <v>Ireland</v>
      </c>
      <c r="F32" s="49" t="str">
        <f>IFERROR(__xludf.DUMMYFUNCTION("""COMPUTED_VALUE"""),"South East Technological University")</f>
        <v>South East Technological University</v>
      </c>
      <c r="G32" s="49" t="str">
        <f>IFERROR(__xludf.DUMMYFUNCTION("""COMPUTED_VALUE"""),"Collaboration Discussion")</f>
        <v>Collaboration Discussion</v>
      </c>
      <c r="H32" s="49" t="str">
        <f>IFERROR(__xludf.DUMMYFUNCTION("""COMPUTED_VALUE"""),"International Affairs")</f>
        <v>International Affairs</v>
      </c>
      <c r="I32" s="49" t="str">
        <f>IFERROR(__xludf.DUMMYFUNCTION("""COMPUTED_VALUE"""),"Harohalli")</f>
        <v>Harohalli</v>
      </c>
      <c r="J32" s="50" t="str">
        <f>IFERROR(__xludf.DUMMYFUNCTION("""COMPUTED_VALUE"""),"https://drive.google.com/open?id=1Pqny7H86JI-6aIh5HN2ik6BHSeKtfj0r")</f>
        <v>https://drive.google.com/open?id=1Pqny7H86JI-6aIh5HN2ik6BHSeKtfj0r</v>
      </c>
    </row>
    <row r="33">
      <c r="A33" s="47"/>
      <c r="B33" s="48">
        <f>IFERROR(__xludf.DUMMYFUNCTION("""COMPUTED_VALUE"""),45691.0)</f>
        <v>45691</v>
      </c>
      <c r="C33" s="47" t="str">
        <f>IFERROR(__xludf.DUMMYFUNCTION("""COMPUTED_VALUE"""),"University Visit")</f>
        <v>University Visit</v>
      </c>
      <c r="D33" s="49" t="str">
        <f>IFERROR(__xludf.DUMMYFUNCTION("""COMPUTED_VALUE"""),"Prof. Kevin Denny
")</f>
        <v>Prof. Kevin Denny
</v>
      </c>
      <c r="E33" s="49" t="str">
        <f>IFERROR(__xludf.DUMMYFUNCTION("""COMPUTED_VALUE"""),"Ireland")</f>
        <v>Ireland</v>
      </c>
      <c r="F33" s="49" t="str">
        <f>IFERROR(__xludf.DUMMYFUNCTION("""COMPUTED_VALUE"""),"University College Dublin")</f>
        <v>University College Dublin</v>
      </c>
      <c r="G33" s="49" t="str">
        <f>IFERROR(__xludf.DUMMYFUNCTION("""COMPUTED_VALUE"""),"Collaboration Discussion")</f>
        <v>Collaboration Discussion</v>
      </c>
      <c r="H33" s="49" t="str">
        <f>IFERROR(__xludf.DUMMYFUNCTION("""COMPUTED_VALUE"""),"International Affairs")</f>
        <v>International Affairs</v>
      </c>
      <c r="I33" s="49" t="str">
        <f>IFERROR(__xludf.DUMMYFUNCTION("""COMPUTED_VALUE"""),"Harohalli")</f>
        <v>Harohalli</v>
      </c>
      <c r="J33" s="50" t="str">
        <f>IFERROR(__xludf.DUMMYFUNCTION("""COMPUTED_VALUE"""),"https://drive.google.com/open?id=10TZuZjY7tEy2BVCMz8Qj_yR9bmAZJa_u")</f>
        <v>https://drive.google.com/open?id=10TZuZjY7tEy2BVCMz8Qj_yR9bmAZJa_u</v>
      </c>
    </row>
    <row r="34">
      <c r="A34" s="47"/>
      <c r="B34" s="48">
        <f>IFERROR(__xludf.DUMMYFUNCTION("""COMPUTED_VALUE"""),45692.0)</f>
        <v>45692</v>
      </c>
      <c r="C34" s="47" t="str">
        <f>IFERROR(__xludf.DUMMYFUNCTION("""COMPUTED_VALUE"""),"University Visit")</f>
        <v>University Visit</v>
      </c>
      <c r="D34" s="49" t="str">
        <f>IFERROR(__xludf.DUMMYFUNCTION("""COMPUTED_VALUE"""),"Tere Rodríguez
")</f>
        <v>Tere Rodríguez
</v>
      </c>
      <c r="E34" s="49" t="str">
        <f>IFERROR(__xludf.DUMMYFUNCTION("""COMPUTED_VALUE"""),"United States")</f>
        <v>United States</v>
      </c>
      <c r="F34" s="49" t="str">
        <f>IFERROR(__xludf.DUMMYFUNCTION("""COMPUTED_VALUE"""),"brandeis international business school")</f>
        <v>brandeis international business school</v>
      </c>
      <c r="G34" s="49" t="str">
        <f>IFERROR(__xludf.DUMMYFUNCTION("""COMPUTED_VALUE"""),"Collaboration Discussion")</f>
        <v>Collaboration Discussion</v>
      </c>
      <c r="H34" s="49" t="str">
        <f>IFERROR(__xludf.DUMMYFUNCTION("""COMPUTED_VALUE"""),"International Affairs")</f>
        <v>International Affairs</v>
      </c>
      <c r="I34" s="49" t="str">
        <f>IFERROR(__xludf.DUMMYFUNCTION("""COMPUTED_VALUE"""),"Kudlu gate")</f>
        <v>Kudlu gate</v>
      </c>
      <c r="J34" s="50" t="str">
        <f>IFERROR(__xludf.DUMMYFUNCTION("""COMPUTED_VALUE"""),"https://drive.google.com/open?id=1HXKcogbKJCCUstpJEywHrCMMGFNxTPRV")</f>
        <v>https://drive.google.com/open?id=1HXKcogbKJCCUstpJEywHrCMMGFNxTPRV</v>
      </c>
    </row>
    <row r="35">
      <c r="A35" s="47"/>
      <c r="B35" s="48">
        <f>IFERROR(__xludf.DUMMYFUNCTION("""COMPUTED_VALUE"""),45693.0)</f>
        <v>45693</v>
      </c>
      <c r="C35" s="47" t="str">
        <f>IFERROR(__xludf.DUMMYFUNCTION("""COMPUTED_VALUE"""),"Consultant Visit")</f>
        <v>Consultant Visit</v>
      </c>
      <c r="D35" s="49" t="str">
        <f>IFERROR(__xludf.DUMMYFUNCTION("""COMPUTED_VALUE"""),"Mr. Shyam, Ms. Nomita Singh , Mr. Tiru
")</f>
        <v>Mr. Shyam, Ms. Nomita Singh , Mr. Tiru
</v>
      </c>
      <c r="E35" s="49" t="str">
        <f>IFERROR(__xludf.DUMMYFUNCTION("""COMPUTED_VALUE"""),"India")</f>
        <v>India</v>
      </c>
      <c r="F35" s="49" t="str">
        <f>IFERROR(__xludf.DUMMYFUNCTION("""COMPUTED_VALUE"""),"IDP")</f>
        <v>IDP</v>
      </c>
      <c r="G35" s="49" t="str">
        <f>IFERROR(__xludf.DUMMYFUNCTION("""COMPUTED_VALUE"""),"Collaboration Discussion")</f>
        <v>Collaboration Discussion</v>
      </c>
      <c r="H35" s="49" t="str">
        <f>IFERROR(__xludf.DUMMYFUNCTION("""COMPUTED_VALUE"""),"International Affairs")</f>
        <v>International Affairs</v>
      </c>
      <c r="I35" s="49" t="str">
        <f>IFERROR(__xludf.DUMMYFUNCTION("""COMPUTED_VALUE"""),"Kudlu gate")</f>
        <v>Kudlu gate</v>
      </c>
      <c r="J35" s="50" t="str">
        <f>IFERROR(__xludf.DUMMYFUNCTION("""COMPUTED_VALUE"""),"https://drive.google.com/open?id=12ikCUcKgb91-LAhTW0mJzZwc9zX13pst")</f>
        <v>https://drive.google.com/open?id=12ikCUcKgb91-LAhTW0mJzZwc9zX13pst</v>
      </c>
    </row>
    <row r="36">
      <c r="A36" s="47"/>
      <c r="B36" s="48">
        <f>IFERROR(__xludf.DUMMYFUNCTION("""COMPUTED_VALUE"""),45694.0)</f>
        <v>45694</v>
      </c>
      <c r="C36" s="47" t="str">
        <f>IFERROR(__xludf.DUMMYFUNCTION("""COMPUTED_VALUE"""),"University Visit")</f>
        <v>University Visit</v>
      </c>
      <c r="D36" s="49" t="str">
        <f>IFERROR(__xludf.DUMMYFUNCTION("""COMPUTED_VALUE"""),"Ms. Blair Thomson, Senior International Officer, Director of Study Abroad
")</f>
        <v>Ms. Blair Thomson, Senior International Officer, Director of Study Abroad
</v>
      </c>
      <c r="E36" s="49" t="str">
        <f>IFERROR(__xludf.DUMMYFUNCTION("""COMPUTED_VALUE"""),"United States")</f>
        <v>United States</v>
      </c>
      <c r="F36" s="49" t="str">
        <f>IFERROR(__xludf.DUMMYFUNCTION("""COMPUTED_VALUE"""),"University of Mississippi")</f>
        <v>University of Mississippi</v>
      </c>
      <c r="G36" s="49" t="str">
        <f>IFERROR(__xludf.DUMMYFUNCTION("""COMPUTED_VALUE"""),"Collaboration Discussion")</f>
        <v>Collaboration Discussion</v>
      </c>
      <c r="H36" s="49" t="str">
        <f>IFERROR(__xludf.DUMMYFUNCTION("""COMPUTED_VALUE"""),"International Affairs")</f>
        <v>International Affairs</v>
      </c>
      <c r="I36" s="49" t="str">
        <f>IFERROR(__xludf.DUMMYFUNCTION("""COMPUTED_VALUE"""),"Kudlu gate")</f>
        <v>Kudlu gate</v>
      </c>
      <c r="J36" s="50" t="str">
        <f>IFERROR(__xludf.DUMMYFUNCTION("""COMPUTED_VALUE"""),"https://drive.google.com/open?id=1bvu2A7Di2Z2Kg_7YHaOHdg-ERkZSfsGU")</f>
        <v>https://drive.google.com/open?id=1bvu2A7Di2Z2Kg_7YHaOHdg-ERkZSfsGU</v>
      </c>
    </row>
    <row r="37">
      <c r="A37" s="47"/>
      <c r="B37" s="48">
        <f>IFERROR(__xludf.DUMMYFUNCTION("""COMPUTED_VALUE"""),45694.0)</f>
        <v>45694</v>
      </c>
      <c r="C37" s="47" t="str">
        <f>IFERROR(__xludf.DUMMYFUNCTION("""COMPUTED_VALUE"""),"University Visit")</f>
        <v>University Visit</v>
      </c>
      <c r="D37" s="49" t="str">
        <f>IFERROR(__xludf.DUMMYFUNCTION("""COMPUTED_VALUE"""),"Ms. Anne Faucett, Director of International Admission &amp; Center for International Programs
")</f>
        <v>Ms. Anne Faucett, Director of International Admission &amp; Center for International Programs
</v>
      </c>
      <c r="E37" s="49" t="str">
        <f>IFERROR(__xludf.DUMMYFUNCTION("""COMPUTED_VALUE"""),"United States")</f>
        <v>United States</v>
      </c>
      <c r="F37" s="49" t="str">
        <f>IFERROR(__xludf.DUMMYFUNCTION("""COMPUTED_VALUE"""),"St. Mary's University")</f>
        <v>St. Mary's University</v>
      </c>
      <c r="G37" s="49" t="str">
        <f>IFERROR(__xludf.DUMMYFUNCTION("""COMPUTED_VALUE"""),"Collaboration Discussion")</f>
        <v>Collaboration Discussion</v>
      </c>
      <c r="H37" s="49" t="str">
        <f>IFERROR(__xludf.DUMMYFUNCTION("""COMPUTED_VALUE"""),"International Affairs")</f>
        <v>International Affairs</v>
      </c>
      <c r="I37" s="49" t="str">
        <f>IFERROR(__xludf.DUMMYFUNCTION("""COMPUTED_VALUE"""),"Kudlu gate")</f>
        <v>Kudlu gate</v>
      </c>
      <c r="J37" s="50" t="str">
        <f>IFERROR(__xludf.DUMMYFUNCTION("""COMPUTED_VALUE"""),"https://drive.google.com/open?id=1h3ASSsXF7KZs0_nEJTaVvJZv2zO6zlFJ")</f>
        <v>https://drive.google.com/open?id=1h3ASSsXF7KZs0_nEJTaVvJZv2zO6zlFJ</v>
      </c>
    </row>
    <row r="38">
      <c r="A38" s="47"/>
      <c r="B38" s="48">
        <f>IFERROR(__xludf.DUMMYFUNCTION("""COMPUTED_VALUE"""),45694.0)</f>
        <v>45694</v>
      </c>
      <c r="C38" s="47" t="str">
        <f>IFERROR(__xludf.DUMMYFUNCTION("""COMPUTED_VALUE"""),"University Visit")</f>
        <v>University Visit</v>
      </c>
      <c r="D38" s="49" t="str">
        <f>IFERROR(__xludf.DUMMYFUNCTION("""COMPUTED_VALUE"""),"Ms. Dominique Bert")</f>
        <v>Ms. Dominique Bert</v>
      </c>
      <c r="E38" s="49" t="str">
        <f>IFERROR(__xludf.DUMMYFUNCTION("""COMPUTED_VALUE"""),"France")</f>
        <v>France</v>
      </c>
      <c r="F38" s="49" t="str">
        <f>IFERROR(__xludf.DUMMYFUNCTION("""COMPUTED_VALUE"""),"CEFAM International Business School")</f>
        <v>CEFAM International Business School</v>
      </c>
      <c r="G38" s="49" t="str">
        <f>IFERROR(__xludf.DUMMYFUNCTION("""COMPUTED_VALUE"""),"Collaboration Discussion")</f>
        <v>Collaboration Discussion</v>
      </c>
      <c r="H38" s="49" t="str">
        <f>IFERROR(__xludf.DUMMYFUNCTION("""COMPUTED_VALUE"""),"International Affairs")</f>
        <v>International Affairs</v>
      </c>
      <c r="I38" s="49" t="str">
        <f>IFERROR(__xludf.DUMMYFUNCTION("""COMPUTED_VALUE"""),"Kudlu gate")</f>
        <v>Kudlu gate</v>
      </c>
      <c r="J38" s="50" t="str">
        <f>IFERROR(__xludf.DUMMYFUNCTION("""COMPUTED_VALUE"""),"https://drive.google.com/open?id=120YcxqtFyLgqZPBT3glKoWSlBsVkcRWp")</f>
        <v>https://drive.google.com/open?id=120YcxqtFyLgqZPBT3glKoWSlBsVkcRWp</v>
      </c>
    </row>
    <row r="39">
      <c r="A39" s="47"/>
      <c r="B39" s="48">
        <f>IFERROR(__xludf.DUMMYFUNCTION("""COMPUTED_VALUE"""),45694.0)</f>
        <v>45694</v>
      </c>
      <c r="C39" s="47" t="str">
        <f>IFERROR(__xludf.DUMMYFUNCTION("""COMPUTED_VALUE"""),"University Visit")</f>
        <v>University Visit</v>
      </c>
      <c r="D39" s="49" t="str">
        <f>IFERROR(__xludf.DUMMYFUNCTION("""COMPUTED_VALUE"""),"Ms. Monika Babbar, Director of Recruitment - India
")</f>
        <v>Ms. Monika Babbar, Director of Recruitment - India
</v>
      </c>
      <c r="E39" s="49" t="str">
        <f>IFERROR(__xludf.DUMMYFUNCTION("""COMPUTED_VALUE"""),"United States")</f>
        <v>United States</v>
      </c>
      <c r="F39" s="49" t="str">
        <f>IFERROR(__xludf.DUMMYFUNCTION("""COMPUTED_VALUE"""),"Southern Utah University, U.S.")</f>
        <v>Southern Utah University, U.S.</v>
      </c>
      <c r="G39" s="49" t="str">
        <f>IFERROR(__xludf.DUMMYFUNCTION("""COMPUTED_VALUE"""),"Collaboration Discussion")</f>
        <v>Collaboration Discussion</v>
      </c>
      <c r="H39" s="49" t="str">
        <f>IFERROR(__xludf.DUMMYFUNCTION("""COMPUTED_VALUE"""),"International Affairs")</f>
        <v>International Affairs</v>
      </c>
      <c r="I39" s="49" t="str">
        <f>IFERROR(__xludf.DUMMYFUNCTION("""COMPUTED_VALUE"""),"Kudlu gate")</f>
        <v>Kudlu gate</v>
      </c>
      <c r="J39" s="50" t="str">
        <f>IFERROR(__xludf.DUMMYFUNCTION("""COMPUTED_VALUE"""),"https://drive.google.com/open?id=1PuQRxDltuyXdwHeZVv8QEMitRhgwZde0")</f>
        <v>https://drive.google.com/open?id=1PuQRxDltuyXdwHeZVv8QEMitRhgwZde0</v>
      </c>
    </row>
    <row r="40">
      <c r="A40" s="47"/>
      <c r="B40" s="48">
        <f>IFERROR(__xludf.DUMMYFUNCTION("""COMPUTED_VALUE"""),45694.0)</f>
        <v>45694</v>
      </c>
      <c r="C40" s="47" t="str">
        <f>IFERROR(__xludf.DUMMYFUNCTION("""COMPUTED_VALUE"""),"University Visit")</f>
        <v>University Visit</v>
      </c>
      <c r="D40" s="49" t="str">
        <f>IFERROR(__xludf.DUMMYFUNCTION("""COMPUTED_VALUE"""),"Ms. Florence Lebois, Founder
")</f>
        <v>Ms. Florence Lebois, Founder
</v>
      </c>
      <c r="E40" s="49" t="str">
        <f>IFERROR(__xludf.DUMMYFUNCTION("""COMPUTED_VALUE"""),"France")</f>
        <v>France</v>
      </c>
      <c r="F40" s="49" t="str">
        <f>IFERROR(__xludf.DUMMYFUNCTION("""COMPUTED_VALUE"""),"Campus Globers")</f>
        <v>Campus Globers</v>
      </c>
      <c r="G40" s="49" t="str">
        <f>IFERROR(__xludf.DUMMYFUNCTION("""COMPUTED_VALUE"""),"Collaboration Discussion")</f>
        <v>Collaboration Discussion</v>
      </c>
      <c r="H40" s="49" t="str">
        <f>IFERROR(__xludf.DUMMYFUNCTION("""COMPUTED_VALUE"""),"International Affairs")</f>
        <v>International Affairs</v>
      </c>
      <c r="I40" s="49" t="str">
        <f>IFERROR(__xludf.DUMMYFUNCTION("""COMPUTED_VALUE"""),"Kudlu gate")</f>
        <v>Kudlu gate</v>
      </c>
      <c r="J40" s="50" t="str">
        <f>IFERROR(__xludf.DUMMYFUNCTION("""COMPUTED_VALUE"""),"https://drive.google.com/open?id=1MJ4h7eCZ7MK1XS83OMWOh8-4JcOpCxVw")</f>
        <v>https://drive.google.com/open?id=1MJ4h7eCZ7MK1XS83OMWOh8-4JcOpCxVw</v>
      </c>
    </row>
    <row r="41">
      <c r="A41" s="47"/>
      <c r="B41" s="48">
        <f>IFERROR(__xludf.DUMMYFUNCTION("""COMPUTED_VALUE"""),45694.0)</f>
        <v>45694</v>
      </c>
      <c r="C41" s="47" t="str">
        <f>IFERROR(__xludf.DUMMYFUNCTION("""COMPUTED_VALUE"""),"University Visit")</f>
        <v>University Visit</v>
      </c>
      <c r="D41" s="49" t="str">
        <f>IFERROR(__xludf.DUMMYFUNCTION("""COMPUTED_VALUE"""),"Mr. Girish Balola, Founder, Ms. Preetika Sachar
")</f>
        <v>Mr. Girish Balola, Founder, Ms. Preetika Sachar
</v>
      </c>
      <c r="E41" s="49" t="str">
        <f>IFERROR(__xludf.DUMMYFUNCTION("""COMPUTED_VALUE"""),"India")</f>
        <v>India</v>
      </c>
      <c r="F41" s="49" t="str">
        <f>IFERROR(__xludf.DUMMYFUNCTION("""COMPUTED_VALUE"""),"Gennext")</f>
        <v>Gennext</v>
      </c>
      <c r="G41" s="49" t="str">
        <f>IFERROR(__xludf.DUMMYFUNCTION("""COMPUTED_VALUE"""),"Collaboration Discussion")</f>
        <v>Collaboration Discussion</v>
      </c>
      <c r="H41" s="49" t="str">
        <f>IFERROR(__xludf.DUMMYFUNCTION("""COMPUTED_VALUE"""),"International Affairs")</f>
        <v>International Affairs</v>
      </c>
      <c r="I41" s="49" t="str">
        <f>IFERROR(__xludf.DUMMYFUNCTION("""COMPUTED_VALUE"""),"Kudlu gate")</f>
        <v>Kudlu gate</v>
      </c>
      <c r="J41" s="50" t="str">
        <f>IFERROR(__xludf.DUMMYFUNCTION("""COMPUTED_VALUE"""),"https://drive.google.com/open?id=1591AkM0wZ_wK9JY-AcYId0j8fi1vZhDL")</f>
        <v>https://drive.google.com/open?id=1591AkM0wZ_wK9JY-AcYId0j8fi1vZhDL</v>
      </c>
    </row>
    <row r="42">
      <c r="A42" s="47"/>
      <c r="B42" s="48">
        <f>IFERROR(__xludf.DUMMYFUNCTION("""COMPUTED_VALUE"""),45695.0)</f>
        <v>45695</v>
      </c>
      <c r="C42" s="47" t="str">
        <f>IFERROR(__xludf.DUMMYFUNCTION("""COMPUTED_VALUE"""),"University Visit")</f>
        <v>University Visit</v>
      </c>
      <c r="D42" s="49" t="str">
        <f>IFERROR(__xludf.DUMMYFUNCTION("""COMPUTED_VALUE"""),"Dr. Truman, Dr Mark
")</f>
        <v>Dr. Truman, Dr Mark
</v>
      </c>
      <c r="E42" s="49" t="str">
        <f>IFERROR(__xludf.DUMMYFUNCTION("""COMPUTED_VALUE"""),"United States")</f>
        <v>United States</v>
      </c>
      <c r="F42" s="49" t="str">
        <f>IFERROR(__xludf.DUMMYFUNCTION("""COMPUTED_VALUE"""),"University of Missouri-Kansas City")</f>
        <v>University of Missouri-Kansas City</v>
      </c>
      <c r="G42" s="49" t="str">
        <f>IFERROR(__xludf.DUMMYFUNCTION("""COMPUTED_VALUE"""),"Collaboration Discussion")</f>
        <v>Collaboration Discussion</v>
      </c>
      <c r="H42" s="49" t="str">
        <f>IFERROR(__xludf.DUMMYFUNCTION("""COMPUTED_VALUE"""),"International Affairs")</f>
        <v>International Affairs</v>
      </c>
      <c r="I42" s="49" t="str">
        <f>IFERROR(__xludf.DUMMYFUNCTION("""COMPUTED_VALUE"""),"Kudlu gate")</f>
        <v>Kudlu gate</v>
      </c>
      <c r="J42" s="50" t="str">
        <f>IFERROR(__xludf.DUMMYFUNCTION("""COMPUTED_VALUE"""),"https://drive.google.com/open?id=1fuCyUZRD10ADXx54lwXTIqA07tkTnKL3")</f>
        <v>https://drive.google.com/open?id=1fuCyUZRD10ADXx54lwXTIqA07tkTnKL3</v>
      </c>
    </row>
    <row r="43">
      <c r="A43" s="47"/>
      <c r="B43" s="48">
        <f>IFERROR(__xludf.DUMMYFUNCTION("""COMPUTED_VALUE"""),45698.0)</f>
        <v>45698</v>
      </c>
      <c r="C43" s="47" t="str">
        <f>IFERROR(__xludf.DUMMYFUNCTION("""COMPUTED_VALUE"""),"University Visit")</f>
        <v>University Visit</v>
      </c>
      <c r="D43" s="49" t="str">
        <f>IFERROR(__xludf.DUMMYFUNCTION("""COMPUTED_VALUE"""),"Mr. Krutarth Hendre
")</f>
        <v>Mr. Krutarth Hendre
</v>
      </c>
      <c r="E43" s="49" t="str">
        <f>IFERROR(__xludf.DUMMYFUNCTION("""COMPUTED_VALUE"""),"Italy")</f>
        <v>Italy</v>
      </c>
      <c r="F43" s="49" t="str">
        <f>IFERROR(__xludf.DUMMYFUNCTION("""COMPUTED_VALUE"""),"Università Cattolica")</f>
        <v>Università Cattolica</v>
      </c>
      <c r="G43" s="49" t="str">
        <f>IFERROR(__xludf.DUMMYFUNCTION("""COMPUTED_VALUE"""),"Collaboration Discussion")</f>
        <v>Collaboration Discussion</v>
      </c>
      <c r="H43" s="49" t="str">
        <f>IFERROR(__xludf.DUMMYFUNCTION("""COMPUTED_VALUE"""),"International Affairs")</f>
        <v>International Affairs</v>
      </c>
      <c r="I43" s="49" t="str">
        <f>IFERROR(__xludf.DUMMYFUNCTION("""COMPUTED_VALUE"""),"Kudlu gate")</f>
        <v>Kudlu gate</v>
      </c>
      <c r="J43" s="49"/>
    </row>
    <row r="44">
      <c r="A44" s="47"/>
      <c r="B44" s="48">
        <f>IFERROR(__xludf.DUMMYFUNCTION("""COMPUTED_VALUE"""),45708.0)</f>
        <v>45708</v>
      </c>
      <c r="C44" s="47" t="str">
        <f>IFERROR(__xludf.DUMMYFUNCTION("""COMPUTED_VALUE"""),"University Visit")</f>
        <v>University Visit</v>
      </c>
      <c r="D44" s="49" t="str">
        <f>IFERROR(__xludf.DUMMYFUNCTION("""COMPUTED_VALUE"""),"Ms. Vasthy Mom
")</f>
        <v>Ms. Vasthy Mom
</v>
      </c>
      <c r="E44" s="49" t="str">
        <f>IFERROR(__xludf.DUMMYFUNCTION("""COMPUTED_VALUE"""),"United States")</f>
        <v>United States</v>
      </c>
      <c r="F44" s="49" t="str">
        <f>IFERROR(__xludf.DUMMYFUNCTION("""COMPUTED_VALUE"""),"AMDA College of Performing Arts- New York")</f>
        <v>AMDA College of Performing Arts- New York</v>
      </c>
      <c r="G44" s="49" t="str">
        <f>IFERROR(__xludf.DUMMYFUNCTION("""COMPUTED_VALUE"""),"Collaboration Discussion")</f>
        <v>Collaboration Discussion</v>
      </c>
      <c r="H44" s="49" t="str">
        <f>IFERROR(__xludf.DUMMYFUNCTION("""COMPUTED_VALUE"""),"International Affairs")</f>
        <v>International Affairs</v>
      </c>
      <c r="I44" s="49" t="str">
        <f>IFERROR(__xludf.DUMMYFUNCTION("""COMPUTED_VALUE"""),"Kudlu gate")</f>
        <v>Kudlu gate</v>
      </c>
      <c r="J44" s="49"/>
    </row>
    <row r="45">
      <c r="A45" s="47"/>
      <c r="B45" s="48">
        <f>IFERROR(__xludf.DUMMYFUNCTION("""COMPUTED_VALUE"""),45728.0)</f>
        <v>45728</v>
      </c>
      <c r="C45" s="47" t="str">
        <f>IFERROR(__xludf.DUMMYFUNCTION("""COMPUTED_VALUE"""),"University Visit")</f>
        <v>University Visit</v>
      </c>
      <c r="D45" s="49" t="str">
        <f>IFERROR(__xludf.DUMMYFUNCTION("""COMPUTED_VALUE"""),"President Winston Erevelles, Provost Jason Pierce
")</f>
        <v>President Winston Erevelles, Provost Jason Pierce
</v>
      </c>
      <c r="E45" s="49" t="str">
        <f>IFERROR(__xludf.DUMMYFUNCTION("""COMPUTED_VALUE"""),"United States")</f>
        <v>United States</v>
      </c>
      <c r="F45" s="49" t="str">
        <f>IFERROR(__xludf.DUMMYFUNCTION("""COMPUTED_VALUE"""),"St. Mary’s University, US")</f>
        <v>St. Mary’s University, US</v>
      </c>
      <c r="G45" s="49" t="str">
        <f>IFERROR(__xludf.DUMMYFUNCTION("""COMPUTED_VALUE"""),"Collaboration Discussion")</f>
        <v>Collaboration Discussion</v>
      </c>
      <c r="H45" s="49" t="str">
        <f>IFERROR(__xludf.DUMMYFUNCTION("""COMPUTED_VALUE"""),"International Affairs")</f>
        <v>International Affairs</v>
      </c>
      <c r="I45" s="49" t="str">
        <f>IFERROR(__xludf.DUMMYFUNCTION("""COMPUTED_VALUE"""),"Kudlu gate")</f>
        <v>Kudlu gate</v>
      </c>
      <c r="J45" s="50" t="str">
        <f>IFERROR(__xludf.DUMMYFUNCTION("""COMPUTED_VALUE"""),"https://drive.google.com/open?id=1U8IP_2xa_1QFSCY233Gqy657JTft8JzT")</f>
        <v>https://drive.google.com/open?id=1U8IP_2xa_1QFSCY233Gqy657JTft8JzT</v>
      </c>
    </row>
    <row r="46">
      <c r="A46" s="47"/>
      <c r="B46" s="48">
        <f>IFERROR(__xludf.DUMMYFUNCTION("""COMPUTED_VALUE"""),45734.0)</f>
        <v>45734</v>
      </c>
      <c r="C46" s="47" t="str">
        <f>IFERROR(__xludf.DUMMYFUNCTION("""COMPUTED_VALUE"""),"Seminar")</f>
        <v>Seminar</v>
      </c>
      <c r="D46" s="49" t="str">
        <f>IFERROR(__xludf.DUMMYFUNCTION("""COMPUTED_VALUE"""),"Professor Daniel Sutherland, Dean of Gray’s School of Art
")</f>
        <v>Professor Daniel Sutherland, Dean of Gray’s School of Art
</v>
      </c>
      <c r="E46" s="49" t="str">
        <f>IFERROR(__xludf.DUMMYFUNCTION("""COMPUTED_VALUE"""),"United Kingdom")</f>
        <v>United Kingdom</v>
      </c>
      <c r="F46" s="49" t="str">
        <f>IFERROR(__xludf.DUMMYFUNCTION("""COMPUTED_VALUE"""),"Robert Gordon University")</f>
        <v>Robert Gordon University</v>
      </c>
      <c r="G46" s="49" t="str">
        <f>IFERROR(__xludf.DUMMYFUNCTION("""COMPUTED_VALUE"""),"Workshop for B.Design Students")</f>
        <v>Workshop for B.Design Students</v>
      </c>
      <c r="H46" s="49" t="str">
        <f>IFERROR(__xludf.DUMMYFUNCTION("""COMPUTED_VALUE"""),"School of Design &amp; Digital Trans-Media")</f>
        <v>School of Design &amp; Digital Trans-Media</v>
      </c>
      <c r="I46" s="49" t="str">
        <f>IFERROR(__xludf.DUMMYFUNCTION("""COMPUTED_VALUE"""),"Kudlu gate")</f>
        <v>Kudlu gate</v>
      </c>
      <c r="J46" s="50" t="str">
        <f>IFERROR(__xludf.DUMMYFUNCTION("""COMPUTED_VALUE"""),"https://drive.google.com/open?id=1EH_lMUgFYzqB3rNHpXjOReT9mE_aq71h")</f>
        <v>https://drive.google.com/open?id=1EH_lMUgFYzqB3rNHpXjOReT9mE_aq71h</v>
      </c>
    </row>
    <row r="47">
      <c r="A47" s="47"/>
      <c r="B47" s="48">
        <f>IFERROR(__xludf.DUMMYFUNCTION("""COMPUTED_VALUE"""),45736.0)</f>
        <v>45736</v>
      </c>
      <c r="C47" s="47" t="str">
        <f>IFERROR(__xludf.DUMMYFUNCTION("""COMPUTED_VALUE"""),"University Visit")</f>
        <v>University Visit</v>
      </c>
      <c r="D47" s="49" t="str">
        <f>IFERROR(__xludf.DUMMYFUNCTION("""COMPUTED_VALUE"""),"Mr. Daryl Haggerty, Operation Lead &amp; Ms. Sayani, Country Manager
")</f>
        <v>Mr. Daryl Haggerty, Operation Lead &amp; Ms. Sayani, Country Manager
</v>
      </c>
      <c r="E47" s="49" t="str">
        <f>IFERROR(__xludf.DUMMYFUNCTION("""COMPUTED_VALUE"""),"New Zealand")</f>
        <v>New Zealand</v>
      </c>
      <c r="F47" s="49" t="str">
        <f>IFERROR(__xludf.DUMMYFUNCTION("""COMPUTED_VALUE"""),"Southern Institute of Technology")</f>
        <v>Southern Institute of Technology</v>
      </c>
      <c r="G47" s="49" t="str">
        <f>IFERROR(__xludf.DUMMYFUNCTION("""COMPUTED_VALUE"""),"Collaboration Discussion")</f>
        <v>Collaboration Discussion</v>
      </c>
      <c r="H47" s="49" t="str">
        <f>IFERROR(__xludf.DUMMYFUNCTION("""COMPUTED_VALUE"""),"International Affairs")</f>
        <v>International Affairs</v>
      </c>
      <c r="I47" s="49" t="str">
        <f>IFERROR(__xludf.DUMMYFUNCTION("""COMPUTED_VALUE"""),"Harohalli")</f>
        <v>Harohalli</v>
      </c>
      <c r="J47" s="50" t="str">
        <f>IFERROR(__xludf.DUMMYFUNCTION("""COMPUTED_VALUE"""),"https://drive.google.com/open?id=1_UI-NLv1kjI6WICfx3-t5CZaHQbQwuqa")</f>
        <v>https://drive.google.com/open?id=1_UI-NLv1kjI6WICfx3-t5CZaHQbQwuqa</v>
      </c>
    </row>
    <row r="48">
      <c r="A48" s="47"/>
      <c r="B48" s="48">
        <f>IFERROR(__xludf.DUMMYFUNCTION("""COMPUTED_VALUE"""),45740.0)</f>
        <v>45740</v>
      </c>
      <c r="C48" s="47" t="str">
        <f>IFERROR(__xludf.DUMMYFUNCTION("""COMPUTED_VALUE"""),"University Visit")</f>
        <v>University Visit</v>
      </c>
      <c r="D48" s="49" t="str">
        <f>IFERROR(__xludf.DUMMYFUNCTION("""COMPUTED_VALUE"""),"Prof. Mikhail 
")</f>
        <v>Prof. Mikhail 
</v>
      </c>
      <c r="E48" s="49" t="str">
        <f>IFERROR(__xludf.DUMMYFUNCTION("""COMPUTED_VALUE"""),"Russia")</f>
        <v>Russia</v>
      </c>
      <c r="F48" s="49" t="str">
        <f>IFERROR(__xludf.DUMMYFUNCTION("""COMPUTED_VALUE""")," MIET University, Moscow")</f>
        <v> MIET University, Moscow</v>
      </c>
      <c r="G48" s="49" t="str">
        <f>IFERROR(__xludf.DUMMYFUNCTION("""COMPUTED_VALUE"""),"Collaboration Discussion")</f>
        <v>Collaboration Discussion</v>
      </c>
      <c r="H48" s="49" t="str">
        <f>IFERROR(__xludf.DUMMYFUNCTION("""COMPUTED_VALUE"""),"International Affairs")</f>
        <v>International Affairs</v>
      </c>
      <c r="I48" s="49" t="str">
        <f>IFERROR(__xludf.DUMMYFUNCTION("""COMPUTED_VALUE"""),"Harohalli")</f>
        <v>Harohalli</v>
      </c>
      <c r="J48" s="50" t="str">
        <f>IFERROR(__xludf.DUMMYFUNCTION("""COMPUTED_VALUE"""),"https://drive.google.com/open?id=1hH6eM2p5T0ne29EdwWfb0LVJKrTvikT2")</f>
        <v>https://drive.google.com/open?id=1hH6eM2p5T0ne29EdwWfb0LVJKrTvikT2</v>
      </c>
    </row>
    <row r="49">
      <c r="A49" s="47"/>
      <c r="B49" s="48">
        <f>IFERROR(__xludf.DUMMYFUNCTION("""COMPUTED_VALUE"""),45740.0)</f>
        <v>45740</v>
      </c>
      <c r="C49" s="47" t="str">
        <f>IFERROR(__xludf.DUMMYFUNCTION("""COMPUTED_VALUE"""),"University Visit")</f>
        <v>University Visit</v>
      </c>
      <c r="D49" s="49" t="str">
        <f>IFERROR(__xludf.DUMMYFUNCTION("""COMPUTED_VALUE"""),"Dr. Will Tregidga, Head of International Affairs
")</f>
        <v>Dr. Will Tregidga, Head of International Affairs
</v>
      </c>
      <c r="E49" s="49" t="str">
        <f>IFERROR(__xludf.DUMMYFUNCTION("""COMPUTED_VALUE"""),"New Zealand")</f>
        <v>New Zealand</v>
      </c>
      <c r="F49" s="49" t="str">
        <f>IFERROR(__xludf.DUMMYFUNCTION("""COMPUTED_VALUE"""),"Nelson Marlborough Institute of Technology ")</f>
        <v>Nelson Marlborough Institute of Technology </v>
      </c>
      <c r="G49" s="49" t="str">
        <f>IFERROR(__xludf.DUMMYFUNCTION("""COMPUTED_VALUE"""),"Collaboration Discussion")</f>
        <v>Collaboration Discussion</v>
      </c>
      <c r="H49" s="49" t="str">
        <f>IFERROR(__xludf.DUMMYFUNCTION("""COMPUTED_VALUE"""),"International Affairs")</f>
        <v>International Affairs</v>
      </c>
      <c r="I49" s="49" t="str">
        <f>IFERROR(__xludf.DUMMYFUNCTION("""COMPUTED_VALUE"""),"Harohalli")</f>
        <v>Harohalli</v>
      </c>
      <c r="J49" s="49"/>
    </row>
    <row r="50">
      <c r="A50" s="47"/>
      <c r="B50" s="48">
        <f>IFERROR(__xludf.DUMMYFUNCTION("""COMPUTED_VALUE"""),45751.0)</f>
        <v>45751</v>
      </c>
      <c r="C50" s="47" t="str">
        <f>IFERROR(__xludf.DUMMYFUNCTION("""COMPUTED_VALUE"""),"University Visit")</f>
        <v>University Visit</v>
      </c>
      <c r="D50" s="49" t="str">
        <f>IFERROR(__xludf.DUMMYFUNCTION("""COMPUTED_VALUE"""),"Dr. Şafak Doğan
")</f>
        <v>Dr. Şafak Doğan
</v>
      </c>
      <c r="E50" s="49" t="str">
        <f>IFERROR(__xludf.DUMMYFUNCTION("""COMPUTED_VALUE"""),"England")</f>
        <v>England</v>
      </c>
      <c r="F50" s="49" t="str">
        <f>IFERROR(__xludf.DUMMYFUNCTION("""COMPUTED_VALUE"""),"Loughborough University")</f>
        <v>Loughborough University</v>
      </c>
      <c r="G50" s="49" t="str">
        <f>IFERROR(__xludf.DUMMYFUNCTION("""COMPUTED_VALUE"""),"Collaboration Discussion")</f>
        <v>Collaboration Discussion</v>
      </c>
      <c r="H50" s="49" t="str">
        <f>IFERROR(__xludf.DUMMYFUNCTION("""COMPUTED_VALUE"""),"International Affairs")</f>
        <v>International Affairs</v>
      </c>
      <c r="I50" s="49" t="str">
        <f>IFERROR(__xludf.DUMMYFUNCTION("""COMPUTED_VALUE"""),"Harohalli")</f>
        <v>Harohalli</v>
      </c>
      <c r="J50" s="50" t="str">
        <f>IFERROR(__xludf.DUMMYFUNCTION("""COMPUTED_VALUE"""),"https://drive.google.com/open?id=1PMLPCLzPty31sqlrRiBzL6TeL4r3LM8i")</f>
        <v>https://drive.google.com/open?id=1PMLPCLzPty31sqlrRiBzL6TeL4r3LM8i</v>
      </c>
    </row>
    <row r="51">
      <c r="A51" s="47"/>
      <c r="B51" s="48">
        <f>IFERROR(__xludf.DUMMYFUNCTION("""COMPUTED_VALUE"""),45755.0)</f>
        <v>45755</v>
      </c>
      <c r="C51" s="47" t="str">
        <f>IFERROR(__xludf.DUMMYFUNCTION("""COMPUTED_VALUE"""),"University Visit")</f>
        <v>University Visit</v>
      </c>
      <c r="D51" s="49" t="str">
        <f>IFERROR(__xludf.DUMMYFUNCTION("""COMPUTED_VALUE"""),"Ms. Golda Malhotra
")</f>
        <v>Ms. Golda Malhotra
</v>
      </c>
      <c r="E51" s="49" t="str">
        <f>IFERROR(__xludf.DUMMYFUNCTION("""COMPUTED_VALUE"""),"France")</f>
        <v>France</v>
      </c>
      <c r="F51" s="49" t="str">
        <f>IFERROR(__xludf.DUMMYFUNCTION("""COMPUTED_VALUE"""),"IESEG School of Management")</f>
        <v>IESEG School of Management</v>
      </c>
      <c r="G51" s="49" t="str">
        <f>IFERROR(__xludf.DUMMYFUNCTION("""COMPUTED_VALUE"""),"Collaboration Discussion")</f>
        <v>Collaboration Discussion</v>
      </c>
      <c r="H51" s="49" t="str">
        <f>IFERROR(__xludf.DUMMYFUNCTION("""COMPUTED_VALUE"""),"International Affairs")</f>
        <v>International Affairs</v>
      </c>
      <c r="I51" s="49" t="str">
        <f>IFERROR(__xludf.DUMMYFUNCTION("""COMPUTED_VALUE"""),"Harohalli")</f>
        <v>Harohalli</v>
      </c>
      <c r="J51" s="50" t="str">
        <f>IFERROR(__xludf.DUMMYFUNCTION("""COMPUTED_VALUE"""),"https://drive.google.com/open?id=1ww-0Jk4vaf9Qqx73Po9hzaFa0zubblBt")</f>
        <v>https://drive.google.com/open?id=1ww-0Jk4vaf9Qqx73Po9hzaFa0zubblBt</v>
      </c>
    </row>
    <row r="52">
      <c r="A52" s="47"/>
      <c r="B52" s="48">
        <f>IFERROR(__xludf.DUMMYFUNCTION("""COMPUTED_VALUE"""),45762.0)</f>
        <v>45762</v>
      </c>
      <c r="C52" s="47" t="str">
        <f>IFERROR(__xludf.DUMMYFUNCTION("""COMPUTED_VALUE"""),"University Visit")</f>
        <v>University Visit</v>
      </c>
      <c r="D52" s="49" t="str">
        <f>IFERROR(__xludf.DUMMYFUNCTION("""COMPUTED_VALUE""")," Mr. Brendan Tighe, Director of International Partnerships, Dr. Paul Dowling,  Dr. Mary Leen, Dr. Emmanuel Kypraios
")</f>
        <v> Mr. Brendan Tighe, Director of International Partnerships, Dr. Paul Dowling,  Dr. Mary Leen, Dr. Emmanuel Kypraios
</v>
      </c>
      <c r="E52" s="49" t="str">
        <f>IFERROR(__xludf.DUMMYFUNCTION("""COMPUTED_VALUE"""),"Ireland")</f>
        <v>Ireland</v>
      </c>
      <c r="F52" s="49" t="str">
        <f>IFERROR(__xludf.DUMMYFUNCTION("""COMPUTED_VALUE"""),"Maynooth University")</f>
        <v>Maynooth University</v>
      </c>
      <c r="G52" s="49" t="str">
        <f>IFERROR(__xludf.DUMMYFUNCTION("""COMPUTED_VALUE"""),"Collaboration Discussion")</f>
        <v>Collaboration Discussion</v>
      </c>
      <c r="H52" s="49" t="str">
        <f>IFERROR(__xludf.DUMMYFUNCTION("""COMPUTED_VALUE"""),"International Affairs")</f>
        <v>International Affairs</v>
      </c>
      <c r="I52" s="49" t="str">
        <f>IFERROR(__xludf.DUMMYFUNCTION("""COMPUTED_VALUE"""),"Kudlu gate")</f>
        <v>Kudlu gate</v>
      </c>
      <c r="J52" s="50" t="str">
        <f>IFERROR(__xludf.DUMMYFUNCTION("""COMPUTED_VALUE"""),"https://drive.google.com/open?id=1MixqHdqxXYgAbYsc5YyJtpzED8Fqidg9")</f>
        <v>https://drive.google.com/open?id=1MixqHdqxXYgAbYsc5YyJtpzED8Fqidg9</v>
      </c>
    </row>
    <row r="53">
      <c r="A53" s="47"/>
      <c r="B53" s="48">
        <f>IFERROR(__xludf.DUMMYFUNCTION("""COMPUTED_VALUE"""),45764.0)</f>
        <v>45764</v>
      </c>
      <c r="C53" s="47" t="str">
        <f>IFERROR(__xludf.DUMMYFUNCTION("""COMPUTED_VALUE"""),"University Visit")</f>
        <v>University Visit</v>
      </c>
      <c r="D53" s="49" t="str">
        <f>IFERROR(__xludf.DUMMYFUNCTION("""COMPUTED_VALUE"""),"Dr. Isadora Helfgott, Vice Provost for Global Engagement, Dr. Caroline McCracken, Mr. Jon Conrad, Mr. Warren Crawford, Dr. Brad Tyndall, Mr. Scott Quillinan, Dr. Kelly Crane, Dr. Reshmi Singh
")</f>
        <v>Dr. Isadora Helfgott, Vice Provost for Global Engagement, Dr. Caroline McCracken, Mr. Jon Conrad, Mr. Warren Crawford, Dr. Brad Tyndall, Mr. Scott Quillinan, Dr. Kelly Crane, Dr. Reshmi Singh
</v>
      </c>
      <c r="E53" s="49" t="str">
        <f>IFERROR(__xludf.DUMMYFUNCTION("""COMPUTED_VALUE"""),"United States")</f>
        <v>United States</v>
      </c>
      <c r="F53" s="49" t="str">
        <f>IFERROR(__xludf.DUMMYFUNCTION("""COMPUTED_VALUE"""),"University of Wyoming")</f>
        <v>University of Wyoming</v>
      </c>
      <c r="G53" s="49" t="str">
        <f>IFERROR(__xludf.DUMMYFUNCTION("""COMPUTED_VALUE"""),"Collaboration Discussion")</f>
        <v>Collaboration Discussion</v>
      </c>
      <c r="H53" s="49" t="str">
        <f>IFERROR(__xludf.DUMMYFUNCTION("""COMPUTED_VALUE"""),"International Affairs")</f>
        <v>International Affairs</v>
      </c>
      <c r="I53" s="49" t="str">
        <f>IFERROR(__xludf.DUMMYFUNCTION("""COMPUTED_VALUE"""),"Kudlu gate")</f>
        <v>Kudlu gate</v>
      </c>
      <c r="J53" s="50" t="str">
        <f>IFERROR(__xludf.DUMMYFUNCTION("""COMPUTED_VALUE"""),"https://drive.google.com/open?id=1vaH-e6nq85V_iTsvX4Cv8RxpwDU80Ixx")</f>
        <v>https://drive.google.com/open?id=1vaH-e6nq85V_iTsvX4Cv8RxpwDU80Ixx</v>
      </c>
    </row>
    <row r="54">
      <c r="A54" s="47"/>
      <c r="B54" s="48">
        <f>IFERROR(__xludf.DUMMYFUNCTION("""COMPUTED_VALUE"""),45769.0)</f>
        <v>45769</v>
      </c>
      <c r="C54" s="47" t="str">
        <f>IFERROR(__xludf.DUMMYFUNCTION("""COMPUTED_VALUE"""),"University Visit")</f>
        <v>University Visit</v>
      </c>
      <c r="D54" s="49" t="str">
        <f>IFERROR(__xludf.DUMMYFUNCTION("""COMPUTED_VALUE"""),"Dr. Suresh Immanuel
")</f>
        <v>Dr. Suresh Immanuel
</v>
      </c>
      <c r="E54" s="49" t="str">
        <f>IFERROR(__xludf.DUMMYFUNCTION("""COMPUTED_VALUE"""),"United States")</f>
        <v>United States</v>
      </c>
      <c r="F54" s="49" t="str">
        <f>IFERROR(__xludf.DUMMYFUNCTION("""COMPUTED_VALUE"""),"University of Evansville")</f>
        <v>University of Evansville</v>
      </c>
      <c r="G54" s="49" t="str">
        <f>IFERROR(__xludf.DUMMYFUNCTION("""COMPUTED_VALUE"""),"Collaboration Discussion")</f>
        <v>Collaboration Discussion</v>
      </c>
      <c r="H54" s="49" t="str">
        <f>IFERROR(__xludf.DUMMYFUNCTION("""COMPUTED_VALUE"""),"International Affairs")</f>
        <v>International Affairs</v>
      </c>
      <c r="I54" s="49" t="str">
        <f>IFERROR(__xludf.DUMMYFUNCTION("""COMPUTED_VALUE"""),"Kudlu gate")</f>
        <v>Kudlu gate</v>
      </c>
      <c r="J54" s="50" t="str">
        <f>IFERROR(__xludf.DUMMYFUNCTION("""COMPUTED_VALUE"""),"https://drive.google.com/open?id=12Bh6qY55Aj74Ow4uXJ6Vzzo9W-o8_yWi")</f>
        <v>https://drive.google.com/open?id=12Bh6qY55Aj74Ow4uXJ6Vzzo9W-o8_yWi</v>
      </c>
    </row>
    <row r="55">
      <c r="A55" s="47"/>
      <c r="B55" s="48">
        <f>IFERROR(__xludf.DUMMYFUNCTION("""COMPUTED_VALUE"""),45786.0)</f>
        <v>45786</v>
      </c>
      <c r="C55" s="47" t="str">
        <f>IFERROR(__xludf.DUMMYFUNCTION("""COMPUTED_VALUE"""),"University Visit")</f>
        <v>University Visit</v>
      </c>
      <c r="D55" s="49" t="str">
        <f>IFERROR(__xludf.DUMMYFUNCTION("""COMPUTED_VALUE"""),"Ms. Megha Malhotra
")</f>
        <v>Ms. Megha Malhotra
</v>
      </c>
      <c r="E55" s="49" t="str">
        <f>IFERROR(__xludf.DUMMYFUNCTION("""COMPUTED_VALUE"""),"United Kingdom")</f>
        <v>United Kingdom</v>
      </c>
      <c r="F55" s="49" t="str">
        <f>IFERROR(__xludf.DUMMYFUNCTION("""COMPUTED_VALUE"""),"Robert Gordon University, UK")</f>
        <v>Robert Gordon University, UK</v>
      </c>
      <c r="G55" s="49" t="str">
        <f>IFERROR(__xludf.DUMMYFUNCTION("""COMPUTED_VALUE"""),"Collaboration Discussion")</f>
        <v>Collaboration Discussion</v>
      </c>
      <c r="H55" s="49" t="str">
        <f>IFERROR(__xludf.DUMMYFUNCTION("""COMPUTED_VALUE"""),"International Affairs")</f>
        <v>International Affairs</v>
      </c>
      <c r="I55" s="49" t="str">
        <f>IFERROR(__xludf.DUMMYFUNCTION("""COMPUTED_VALUE"""),"Kudlu gate")</f>
        <v>Kudlu gate</v>
      </c>
      <c r="J55" s="50" t="str">
        <f>IFERROR(__xludf.DUMMYFUNCTION("""COMPUTED_VALUE"""),"https://drive.google.com/open?id=13j4gwOuDUphtgzguDmdAxpy5EFY4RJrB")</f>
        <v>https://drive.google.com/open?id=13j4gwOuDUphtgzguDmdAxpy5EFY4RJrB</v>
      </c>
    </row>
    <row r="56">
      <c r="A56" s="47"/>
      <c r="B56" s="48">
        <f>IFERROR(__xludf.DUMMYFUNCTION("""COMPUTED_VALUE"""),45797.0)</f>
        <v>45797</v>
      </c>
      <c r="C56" s="47" t="str">
        <f>IFERROR(__xludf.DUMMYFUNCTION("""COMPUTED_VALUE"""),"Consultant Visit")</f>
        <v>Consultant Visit</v>
      </c>
      <c r="D56" s="49" t="str">
        <f>IFERROR(__xludf.DUMMYFUNCTION("""COMPUTED_VALUE"""),"Dr. Manjula Mundakana
")</f>
        <v>Dr. Manjula Mundakana
</v>
      </c>
      <c r="E56" s="49" t="str">
        <f>IFERROR(__xludf.DUMMYFUNCTION("""COMPUTED_VALUE"""),"Germany")</f>
        <v>Germany</v>
      </c>
      <c r="F56" s="49" t="str">
        <f>IFERROR(__xludf.DUMMYFUNCTION("""COMPUTED_VALUE"""),"Senior Advisor – Science, Technology, and Political Affairs, Consulate of Germany")</f>
        <v>Senior Advisor – Science, Technology, and Political Affairs, Consulate of Germany</v>
      </c>
      <c r="G56" s="49" t="str">
        <f>IFERROR(__xludf.DUMMYFUNCTION("""COMPUTED_VALUE"""),"Lecture on Master's opportunities in Germany
")</f>
        <v>Lecture on Master's opportunities in Germany
</v>
      </c>
      <c r="H56" s="49" t="str">
        <f>IFERROR(__xludf.DUMMYFUNCTION("""COMPUTED_VALUE"""),"International Affairs")</f>
        <v>International Affairs</v>
      </c>
      <c r="I56" s="49" t="str">
        <f>IFERROR(__xludf.DUMMYFUNCTION("""COMPUTED_VALUE"""),"Harohalli")</f>
        <v>Harohalli</v>
      </c>
      <c r="J56" s="50" t="str">
        <f>IFERROR(__xludf.DUMMYFUNCTION("""COMPUTED_VALUE"""),"https://drive.google.com/open?id=169SPazsrCx_stbZFQ6VaUafeU0FmjpV5")</f>
        <v>https://drive.google.com/open?id=169SPazsrCx_stbZFQ6VaUafeU0FmjpV5</v>
      </c>
    </row>
    <row r="57">
      <c r="A57" s="47"/>
      <c r="B57" s="48">
        <f>IFERROR(__xludf.DUMMYFUNCTION("""COMPUTED_VALUE"""),45803.0)</f>
        <v>45803</v>
      </c>
      <c r="C57" s="47" t="str">
        <f>IFERROR(__xludf.DUMMYFUNCTION("""COMPUTED_VALUE"""),"University Visit")</f>
        <v>University Visit</v>
      </c>
      <c r="D57" s="49" t="str">
        <f>IFERROR(__xludf.DUMMYFUNCTION("""COMPUTED_VALUE"""),"Dr. Jürgen Lehmann, Prof. Wolff. Prof. Mathias, Prof. Gerald
")</f>
        <v>Dr. Jürgen Lehmann, Prof. Wolff. Prof. Mathias, Prof. Gerald
</v>
      </c>
      <c r="E57" s="49" t="str">
        <f>IFERROR(__xludf.DUMMYFUNCTION("""COMPUTED_VALUE"""),"Germany")</f>
        <v>Germany</v>
      </c>
      <c r="F57" s="49" t="str">
        <f>IFERROR(__xludf.DUMMYFUNCTION("""COMPUTED_VALUE"""),"Hof University, Germany")</f>
        <v>Hof University, Germany</v>
      </c>
      <c r="G57" s="49" t="str">
        <f>IFERROR(__xludf.DUMMYFUNCTION("""COMPUTED_VALUE"""),"Collaboration Discussion")</f>
        <v>Collaboration Discussion</v>
      </c>
      <c r="H57" s="49" t="str">
        <f>IFERROR(__xludf.DUMMYFUNCTION("""COMPUTED_VALUE"""),"International Affairs")</f>
        <v>International Affairs</v>
      </c>
      <c r="I57" s="49" t="str">
        <f>IFERROR(__xludf.DUMMYFUNCTION("""COMPUTED_VALUE"""),"Harohalli")</f>
        <v>Harohalli</v>
      </c>
      <c r="J57" s="49"/>
    </row>
    <row r="58">
      <c r="A58" s="47"/>
      <c r="B58" s="48">
        <f>IFERROR(__xludf.DUMMYFUNCTION("""COMPUTED_VALUE"""),45852.0)</f>
        <v>45852</v>
      </c>
      <c r="C58" s="47" t="str">
        <f>IFERROR(__xludf.DUMMYFUNCTION("""COMPUTED_VALUE"""),"University Visit")</f>
        <v>University Visit</v>
      </c>
      <c r="D58" s="49" t="str">
        <f>IFERROR(__xludf.DUMMYFUNCTION("""COMPUTED_VALUE"""),"Ms. Renata Sguario, CEO 
")</f>
        <v>Ms. Renata Sguario, CEO 
</v>
      </c>
      <c r="E58" s="49" t="str">
        <f>IFERROR(__xludf.DUMMYFUNCTION("""COMPUTED_VALUE"""),"Australia")</f>
        <v>Australia</v>
      </c>
      <c r="F58" s="49" t="str">
        <f>IFERROR(__xludf.DUMMYFUNCTION("""COMPUTED_VALUE"""),"Maxme (Training organisation)")</f>
        <v>Maxme (Training organisation)</v>
      </c>
      <c r="G58" s="49" t="str">
        <f>IFERROR(__xludf.DUMMYFUNCTION("""COMPUTED_VALUE"""),"Collaboration Discussion")</f>
        <v>Collaboration Discussion</v>
      </c>
      <c r="H58" s="49" t="str">
        <f>IFERROR(__xludf.DUMMYFUNCTION("""COMPUTED_VALUE"""),"International Affairs")</f>
        <v>International Affairs</v>
      </c>
      <c r="I58" s="49" t="str">
        <f>IFERROR(__xludf.DUMMYFUNCTION("""COMPUTED_VALUE"""),"Kudlu gate")</f>
        <v>Kudlu gate</v>
      </c>
      <c r="J58" s="49"/>
    </row>
    <row r="59">
      <c r="A59" s="47"/>
      <c r="B59" s="48">
        <f>IFERROR(__xludf.DUMMYFUNCTION("""COMPUTED_VALUE"""),45904.0)</f>
        <v>45904</v>
      </c>
      <c r="C59" s="47" t="str">
        <f>IFERROR(__xludf.DUMMYFUNCTION("""COMPUTED_VALUE"""),"University Visit")</f>
        <v>University Visit</v>
      </c>
      <c r="D59" s="49" t="str">
        <f>IFERROR(__xludf.DUMMYFUNCTION("""COMPUTED_VALUE"""),"Dr. Paaige Turner, Provost and EVP of Academic Affairs, USA, Kelsey Cozens, USA, Harish Ananthapadmanabhan, CEO
")</f>
        <v>Dr. Paaige Turner, Provost and EVP of Academic Affairs, USA, Kelsey Cozens, USA, Harish Ananthapadmanabhan, CEO
</v>
      </c>
      <c r="E59" s="49" t="str">
        <f>IFERROR(__xludf.DUMMYFUNCTION("""COMPUTED_VALUE"""),"United States")</f>
        <v>United States</v>
      </c>
      <c r="F59" s="49" t="str">
        <f>IFERROR(__xludf.DUMMYFUNCTION("""COMPUTED_VALUE"""),"Aurora University")</f>
        <v>Aurora University</v>
      </c>
      <c r="G59" s="49" t="str">
        <f>IFERROR(__xludf.DUMMYFUNCTION("""COMPUTED_VALUE"""),"Collaboration Discussion")</f>
        <v>Collaboration Discussion</v>
      </c>
      <c r="H59" s="49" t="str">
        <f>IFERROR(__xludf.DUMMYFUNCTION("""COMPUTED_VALUE"""),"International Affairs")</f>
        <v>International Affairs</v>
      </c>
      <c r="I59" s="49" t="str">
        <f>IFERROR(__xludf.DUMMYFUNCTION("""COMPUTED_VALUE"""),"Harohalli")</f>
        <v>Harohalli</v>
      </c>
      <c r="J59" s="50" t="str">
        <f>IFERROR(__xludf.DUMMYFUNCTION("""COMPUTED_VALUE"""),"https://drive.google.com/open?id=1PmmJihJlywBMzQ3rT0mnwP4vUDK0TSfF")</f>
        <v>https://drive.google.com/open?id=1PmmJihJlywBMzQ3rT0mnwP4vUDK0TSfF</v>
      </c>
    </row>
    <row r="60">
      <c r="A60" s="47"/>
      <c r="B60" s="48">
        <f>IFERROR(__xludf.DUMMYFUNCTION("""COMPUTED_VALUE"""),45967.0)</f>
        <v>45967</v>
      </c>
      <c r="C60" s="47" t="str">
        <f>IFERROR(__xludf.DUMMYFUNCTION("""COMPUTED_VALUE"""),"Seminar")</f>
        <v>Seminar</v>
      </c>
      <c r="D60" s="49" t="str">
        <f>IFERROR(__xludf.DUMMYFUNCTION("""COMPUTED_VALUE"""),"Mr. Nick Slade, Deputy VPC, International and External Affairs 
")</f>
        <v>Mr. Nick Slade, Deputy VPC, International and External Affairs 
</v>
      </c>
      <c r="E60" s="49" t="str">
        <f>IFERROR(__xludf.DUMMYFUNCTION("""COMPUTED_VALUE"""),"England")</f>
        <v>England</v>
      </c>
      <c r="F60" s="49" t="str">
        <f>IFERROR(__xludf.DUMMYFUNCTION("""COMPUTED_VALUE"""),"University of Worcester")</f>
        <v>University of Worcester</v>
      </c>
      <c r="G60" s="49" t="str">
        <f>IFERROR(__xludf.DUMMYFUNCTION("""COMPUTED_VALUE"""),"Seminar for School of Computer Application
")</f>
        <v>Seminar for School of Computer Application
</v>
      </c>
      <c r="H60" s="49" t="str">
        <f>IFERROR(__xludf.DUMMYFUNCTION("""COMPUTED_VALUE"""),"BCA")</f>
        <v>BCA</v>
      </c>
      <c r="I60" s="49" t="str">
        <f>IFERROR(__xludf.DUMMYFUNCTION("""COMPUTED_VALUE"""),"Kudlu gate")</f>
        <v>Kudlu gate</v>
      </c>
      <c r="J60" s="49"/>
    </row>
    <row r="61">
      <c r="A61" s="47"/>
      <c r="B61" s="48">
        <f>IFERROR(__xludf.DUMMYFUNCTION("""COMPUTED_VALUE"""),45496.0)</f>
        <v>45496</v>
      </c>
      <c r="C61" s="47" t="str">
        <f>IFERROR(__xludf.DUMMYFUNCTION("""COMPUTED_VALUE"""),"University Visit")</f>
        <v>University Visit</v>
      </c>
      <c r="D61" s="49" t="str">
        <f>IFERROR(__xludf.DUMMYFUNCTION("""COMPUTED_VALUE"""),"Dr. Viktor Prasana
")</f>
        <v>Dr. Viktor Prasana
</v>
      </c>
      <c r="E61" s="49" t="str">
        <f>IFERROR(__xludf.DUMMYFUNCTION("""COMPUTED_VALUE"""),"United States")</f>
        <v>United States</v>
      </c>
      <c r="F61" s="49" t="str">
        <f>IFERROR(__xludf.DUMMYFUNCTION("""COMPUTED_VALUE"""),"University of South California")</f>
        <v>University of South California</v>
      </c>
      <c r="G61" s="49" t="str">
        <f>IFERROR(__xludf.DUMMYFUNCTION("""COMPUTED_VALUE"""),"Collaboration Discussion")</f>
        <v>Collaboration Discussion</v>
      </c>
      <c r="H61" s="49" t="str">
        <f>IFERROR(__xludf.DUMMYFUNCTION("""COMPUTED_VALUE"""),"International Affairs")</f>
        <v>International Affairs</v>
      </c>
      <c r="I61" s="49" t="str">
        <f>IFERROR(__xludf.DUMMYFUNCTION("""COMPUTED_VALUE"""),"Harohalli")</f>
        <v>Harohalli</v>
      </c>
      <c r="J61" s="49"/>
    </row>
    <row r="62">
      <c r="A62" s="47"/>
      <c r="B62" s="48">
        <f>IFERROR(__xludf.DUMMYFUNCTION("""COMPUTED_VALUE"""),45502.0)</f>
        <v>45502</v>
      </c>
      <c r="C62" s="47" t="str">
        <f>IFERROR(__xludf.DUMMYFUNCTION("""COMPUTED_VALUE"""),"University Visit")</f>
        <v>University Visit</v>
      </c>
      <c r="D62" s="49" t="str">
        <f>IFERROR(__xludf.DUMMYFUNCTION("""COMPUTED_VALUE"""),"Dr. Rocchel, Mr Ashish Jaiswar
")</f>
        <v>Dr. Rocchel, Mr Ashish Jaiswar
</v>
      </c>
      <c r="E62" s="49" t="str">
        <f>IFERROR(__xludf.DUMMYFUNCTION("""COMPUTED_VALUE"""),"United Kingdom")</f>
        <v>United Kingdom</v>
      </c>
      <c r="F62" s="49" t="str">
        <f>IFERROR(__xludf.DUMMYFUNCTION("""COMPUTED_VALUE"""),"University of Reading")</f>
        <v>University of Reading</v>
      </c>
      <c r="G62" s="49" t="str">
        <f>IFERROR(__xludf.DUMMYFUNCTION("""COMPUTED_VALUE"""),"Collaboration Discussion")</f>
        <v>Collaboration Discussion</v>
      </c>
      <c r="H62" s="49" t="str">
        <f>IFERROR(__xludf.DUMMYFUNCTION("""COMPUTED_VALUE"""),"International Affairs")</f>
        <v>International Affairs</v>
      </c>
      <c r="I62" s="49" t="str">
        <f>IFERROR(__xludf.DUMMYFUNCTION("""COMPUTED_VALUE"""),"Harohalli")</f>
        <v>Harohalli</v>
      </c>
      <c r="J62" s="49"/>
    </row>
    <row r="63">
      <c r="A63" s="47"/>
      <c r="B63" s="48">
        <f>IFERROR(__xludf.DUMMYFUNCTION("""COMPUTED_VALUE"""),45510.0)</f>
        <v>45510</v>
      </c>
      <c r="C63" s="47" t="str">
        <f>IFERROR(__xludf.DUMMYFUNCTION("""COMPUTED_VALUE"""),"University Visit")</f>
        <v>University Visit</v>
      </c>
      <c r="D63" s="49" t="str">
        <f>IFERROR(__xludf.DUMMYFUNCTION("""COMPUTED_VALUE"""),"Students from Duke University
")</f>
        <v>Students from Duke University
</v>
      </c>
      <c r="E63" s="49" t="str">
        <f>IFERROR(__xludf.DUMMYFUNCTION("""COMPUTED_VALUE"""),"USA")</f>
        <v>USA</v>
      </c>
      <c r="F63" s="49" t="str">
        <f>IFERROR(__xludf.DUMMYFUNCTION("""COMPUTED_VALUE""")," Duke University")</f>
        <v> Duke University</v>
      </c>
      <c r="G63" s="49" t="str">
        <f>IFERROR(__xludf.DUMMYFUNCTION("""COMPUTED_VALUE"""),"Collaboration Discussion")</f>
        <v>Collaboration Discussion</v>
      </c>
      <c r="H63" s="49" t="str">
        <f>IFERROR(__xludf.DUMMYFUNCTION("""COMPUTED_VALUE"""),"International Affairs")</f>
        <v>International Affairs</v>
      </c>
      <c r="I63" s="49" t="str">
        <f>IFERROR(__xludf.DUMMYFUNCTION("""COMPUTED_VALUE"""),"Harohalli")</f>
        <v>Harohalli</v>
      </c>
      <c r="J63" s="50" t="str">
        <f>IFERROR(__xludf.DUMMYFUNCTION("""COMPUTED_VALUE"""),"https://drive.google.com/open?id=1IoXntJD-4ihwxa_yiRHUjeup5W1liM6h")</f>
        <v>https://drive.google.com/open?id=1IoXntJD-4ihwxa_yiRHUjeup5W1liM6h</v>
      </c>
    </row>
    <row r="64">
      <c r="A64" s="47"/>
      <c r="B64" s="48">
        <f>IFERROR(__xludf.DUMMYFUNCTION("""COMPUTED_VALUE"""),45525.0)</f>
        <v>45525</v>
      </c>
      <c r="C64" s="47" t="str">
        <f>IFERROR(__xludf.DUMMYFUNCTION("""COMPUTED_VALUE"""),"University Visit")</f>
        <v>University Visit</v>
      </c>
      <c r="D64" s="49" t="str">
        <f>IFERROR(__xludf.DUMMYFUNCTION("""COMPUTED_VALUE"""),"Dr. Suresh Renukkapa, Dr. Subhashini
")</f>
        <v>Dr. Suresh Renukkapa, Dr. Subhashini
</v>
      </c>
      <c r="E64" s="49" t="str">
        <f>IFERROR(__xludf.DUMMYFUNCTION("""COMPUTED_VALUE"""),"England")</f>
        <v>England</v>
      </c>
      <c r="F64" s="49" t="str">
        <f>IFERROR(__xludf.DUMMYFUNCTION("""COMPUTED_VALUE"""),"University of Wolverhampton")</f>
        <v>University of Wolverhampton</v>
      </c>
      <c r="G64" s="49" t="str">
        <f>IFERROR(__xludf.DUMMYFUNCTION("""COMPUTED_VALUE"""),"Collaboration Discussion")</f>
        <v>Collaboration Discussion</v>
      </c>
      <c r="H64" s="49" t="str">
        <f>IFERROR(__xludf.DUMMYFUNCTION("""COMPUTED_VALUE"""),"International Affairs")</f>
        <v>International Affairs</v>
      </c>
      <c r="I64" s="49" t="str">
        <f>IFERROR(__xludf.DUMMYFUNCTION("""COMPUTED_VALUE"""),"Harohalli")</f>
        <v>Harohalli</v>
      </c>
      <c r="J64" s="50" t="str">
        <f>IFERROR(__xludf.DUMMYFUNCTION("""COMPUTED_VALUE"""),"https://drive.google.com/open?id=1W_m63s8QCgvbVQtvo9vBdb_23omsdSvT")</f>
        <v>https://drive.google.com/open?id=1W_m63s8QCgvbVQtvo9vBdb_23omsdSvT</v>
      </c>
    </row>
    <row r="65">
      <c r="A65" s="47"/>
      <c r="B65" s="48">
        <f>IFERROR(__xludf.DUMMYFUNCTION("""COMPUTED_VALUE"""),45532.0)</f>
        <v>45532</v>
      </c>
      <c r="C65" s="47" t="str">
        <f>IFERROR(__xludf.DUMMYFUNCTION("""COMPUTED_VALUE"""),"University Visit")</f>
        <v>University Visit</v>
      </c>
      <c r="D65" s="49" t="str">
        <f>IFERROR(__xludf.DUMMYFUNCTION("""COMPUTED_VALUE"""),"Dr.Willa Huston, Steven Langford Prof. University of Sydney Australia
")</f>
        <v>Dr.Willa Huston, Steven Langford Prof. University of Sydney Australia
</v>
      </c>
      <c r="E65" s="49" t="str">
        <f>IFERROR(__xludf.DUMMYFUNCTION("""COMPUTED_VALUE"""),"Australia")</f>
        <v>Australia</v>
      </c>
      <c r="F65" s="49" t="str">
        <f>IFERROR(__xludf.DUMMYFUNCTION("""COMPUTED_VALUE"""),"University of Sydney Australia")</f>
        <v>University of Sydney Australia</v>
      </c>
      <c r="G65" s="49" t="str">
        <f>IFERROR(__xludf.DUMMYFUNCTION("""COMPUTED_VALUE"""),"Collaboration Discussion")</f>
        <v>Collaboration Discussion</v>
      </c>
      <c r="H65" s="49" t="str">
        <f>IFERROR(__xludf.DUMMYFUNCTION("""COMPUTED_VALUE"""),"International Affairs")</f>
        <v>International Affairs</v>
      </c>
      <c r="I65" s="49" t="str">
        <f>IFERROR(__xludf.DUMMYFUNCTION("""COMPUTED_VALUE"""),"Kudlu gate")</f>
        <v>Kudlu gate</v>
      </c>
      <c r="J65" s="50" t="str">
        <f>IFERROR(__xludf.DUMMYFUNCTION("""COMPUTED_VALUE"""),"https://drive.google.com/open?id=12MRXYiatDLLHG6PLfc5rtAaA56DBLKzd")</f>
        <v>https://drive.google.com/open?id=12MRXYiatDLLHG6PLfc5rtAaA56DBLKzd</v>
      </c>
    </row>
    <row r="66">
      <c r="A66" s="47"/>
      <c r="B66" s="48">
        <f>IFERROR(__xludf.DUMMYFUNCTION("""COMPUTED_VALUE"""),45547.0)</f>
        <v>45547</v>
      </c>
      <c r="C66" s="47" t="str">
        <f>IFERROR(__xludf.DUMMYFUNCTION("""COMPUTED_VALUE"""),"University Visit")</f>
        <v>University Visit</v>
      </c>
      <c r="D66" s="49" t="str">
        <f>IFERROR(__xludf.DUMMYFUNCTION("""COMPUTED_VALUE"""),"Prof. Amanda, Prof. Jonathan, &amp; Prof. Chris Howard 
")</f>
        <v>Prof. Amanda, Prof. Jonathan, &amp; Prof. Chris Howard 
</v>
      </c>
      <c r="E66" s="49" t="str">
        <f>IFERROR(__xludf.DUMMYFUNCTION("""COMPUTED_VALUE"""),"United Kingdom")</f>
        <v>United Kingdom</v>
      </c>
      <c r="F66" s="49" t="str">
        <f>IFERROR(__xludf.DUMMYFUNCTION("""COMPUTED_VALUE"""),"University of Staffordshire")</f>
        <v>University of Staffordshire</v>
      </c>
      <c r="G66" s="49" t="str">
        <f>IFERROR(__xludf.DUMMYFUNCTION("""COMPUTED_VALUE"""),"Collaboration Discussion")</f>
        <v>Collaboration Discussion</v>
      </c>
      <c r="H66" s="49" t="str">
        <f>IFERROR(__xludf.DUMMYFUNCTION("""COMPUTED_VALUE"""),"International Affairs")</f>
        <v>International Affairs</v>
      </c>
      <c r="I66" s="49" t="str">
        <f>IFERROR(__xludf.DUMMYFUNCTION("""COMPUTED_VALUE"""),"Kudlu gate")</f>
        <v>Kudlu gate</v>
      </c>
      <c r="J66" s="50" t="str">
        <f>IFERROR(__xludf.DUMMYFUNCTION("""COMPUTED_VALUE"""),"https://drive.google.com/open?id=13BJBM3kjUESNV_yjHjPCmdvjAhzE9_dA")</f>
        <v>https://drive.google.com/open?id=13BJBM3kjUESNV_yjHjPCmdvjAhzE9_dA</v>
      </c>
    </row>
    <row r="67">
      <c r="A67" s="47"/>
      <c r="B67" s="48">
        <f>IFERROR(__xludf.DUMMYFUNCTION("""COMPUTED_VALUE"""),45553.0)</f>
        <v>45553</v>
      </c>
      <c r="C67" s="47" t="str">
        <f>IFERROR(__xludf.DUMMYFUNCTION("""COMPUTED_VALUE"""),"Seminar")</f>
        <v>Seminar</v>
      </c>
      <c r="D67" s="49" t="str">
        <f>IFERROR(__xludf.DUMMYFUNCTION("""COMPUTED_VALUE"""),"Prof. Ginevra Franchi, Prof.  Instituto Europeo di Design (IED), Milan, Italy.
")</f>
        <v>Prof. Ginevra Franchi, Prof.  Instituto Europeo di Design (IED), Milan, Italy.
</v>
      </c>
      <c r="E67" s="49" t="str">
        <f>IFERROR(__xludf.DUMMYFUNCTION("""COMPUTED_VALUE"""),"Italy")</f>
        <v>Italy</v>
      </c>
      <c r="F67" s="49" t="str">
        <f>IFERROR(__xludf.DUMMYFUNCTION("""COMPUTED_VALUE"""),"Instituto Europeo di Design (IED), Milan, Italy.")</f>
        <v>Instituto Europeo di Design (IED), Milan, Italy.</v>
      </c>
      <c r="G67" s="49" t="str">
        <f>IFERROR(__xludf.DUMMYFUNCTION("""COMPUTED_VALUE"""),"Workshop on Design Thinking
")</f>
        <v>Workshop on Design Thinking
</v>
      </c>
      <c r="H67" s="49" t="str">
        <f>IFERROR(__xludf.DUMMYFUNCTION("""COMPUTED_VALUE"""),"B.Design")</f>
        <v>B.Design</v>
      </c>
      <c r="I67" s="49" t="str">
        <f>IFERROR(__xludf.DUMMYFUNCTION("""COMPUTED_VALUE"""),"Kudlu gate")</f>
        <v>Kudlu gate</v>
      </c>
      <c r="J67" s="50" t="str">
        <f>IFERROR(__xludf.DUMMYFUNCTION("""COMPUTED_VALUE"""),"https://drive.google.com/open?id=15dtX47eoBMpFuZImEIKzFEuO6EKuN6PH")</f>
        <v>https://drive.google.com/open?id=15dtX47eoBMpFuZImEIKzFEuO6EKuN6PH</v>
      </c>
    </row>
    <row r="68">
      <c r="A68" s="47"/>
      <c r="B68" s="48">
        <f>IFERROR(__xludf.DUMMYFUNCTION("""COMPUTED_VALUE"""),45986.0)</f>
        <v>45986</v>
      </c>
      <c r="C68" s="47" t="str">
        <f>IFERROR(__xludf.DUMMYFUNCTION("""COMPUTED_VALUE"""),"University Visit")</f>
        <v>University Visit</v>
      </c>
      <c r="D68" s="49" t="str">
        <f>IFERROR(__xludf.DUMMYFUNCTION("""COMPUTED_VALUE"""),"Prof. Dr. Radhakrishna Prabhu, Professor in Smart Sensors &amp; Instrumentation and Lead of the Robotics and Autonomous Systems Research Group at Robert Gordon University")</f>
        <v>Prof. Dr. Radhakrishna Prabhu, Professor in Smart Sensors &amp; Instrumentation and Lead of the Robotics and Autonomous Systems Research Group at Robert Gordon University</v>
      </c>
      <c r="E68" s="49" t="str">
        <f>IFERROR(__xludf.DUMMYFUNCTION("""COMPUTED_VALUE"""),"UK")</f>
        <v>UK</v>
      </c>
      <c r="F68" s="49" t="str">
        <f>IFERROR(__xludf.DUMMYFUNCTION("""COMPUTED_VALUE"""),"Robert Gordon")</f>
        <v>Robert Gordon</v>
      </c>
      <c r="G68" s="49" t="str">
        <f>IFERROR(__xludf.DUMMYFUNCTION("""COMPUTED_VALUE"""),"Prof. Dr. Radhakrishna Prabhu, Professor in Smart Sensors &amp; Instrumentation and Lead of the Robotics and Autonomous Systems Research Group at Robert Gordon University, delivered an insightful session titled “Smart Sensors for a Smarter Planet: How Robotic"&amp;"s, Healthcare &amp; Renewable Energy are Shaping the Future.” The talk was organized for the students of the Robotics and Artificial Intelligence Department and focused on emerging applications of intelligent sensing technologies in futuristic domains. Follow"&amp;"ing the session, Dr. Prabhu was felicitated by Dr. Pramod, Chairman of the Robotics &amp; AI Department, in recognition of his valuable contribution. During his interaction, Prof. Prabhu also expressed strong interest in exploring joint research opportunities"&amp;" and academic collaboration with DSU faculty, marking a promising step toward future international engagement.")</f>
        <v>Prof. Dr. Radhakrishna Prabhu, Professor in Smart Sensors &amp; Instrumentation and Lead of the Robotics and Autonomous Systems Research Group at Robert Gordon University, delivered an insightful session titled “Smart Sensors for a Smarter Planet: How Robotics, Healthcare &amp; Renewable Energy are Shaping the Future.” The talk was organized for the students of the Robotics and Artificial Intelligence Department and focused on emerging applications of intelligent sensing technologies in futuristic domains. Following the session, Dr. Prabhu was felicitated by Dr. Pramod, Chairman of the Robotics &amp; AI Department, in recognition of his valuable contribution. During his interaction, Prof. Prabhu also expressed strong interest in exploring joint research opportunities and academic collaboration with DSU faculty, marking a promising step toward future international engagement.</v>
      </c>
      <c r="H68" s="49" t="str">
        <f>IFERROR(__xludf.DUMMYFUNCTION("""COMPUTED_VALUE"""),"AI &amp; Robertics")</f>
        <v>AI &amp; Robertics</v>
      </c>
      <c r="I68" s="49" t="str">
        <f>IFERROR(__xludf.DUMMYFUNCTION("""COMPUTED_VALUE"""),"Harohalli")</f>
        <v>Harohalli</v>
      </c>
      <c r="J68" s="50" t="str">
        <f>IFERROR(__xludf.DUMMYFUNCTION("""COMPUTED_VALUE"""),"https://drive.google.com/open?id=1NIjIT58Ts4rOqHd-eqylnyS7AfoUcnsN")</f>
        <v>https://drive.google.com/open?id=1NIjIT58Ts4rOqHd-eqylnyS7AfoUcnsN</v>
      </c>
    </row>
    <row r="69">
      <c r="A69" s="47"/>
      <c r="B69" s="48">
        <f>IFERROR(__xludf.DUMMYFUNCTION("""COMPUTED_VALUE"""),45987.0)</f>
        <v>45987</v>
      </c>
      <c r="C69" s="47" t="str">
        <f>IFERROR(__xludf.DUMMYFUNCTION("""COMPUTED_VALUE"""),"University Visit")</f>
        <v>University Visit</v>
      </c>
      <c r="D69" s="49" t="str">
        <f>IFERROR(__xludf.DUMMYFUNCTION("""COMPUTED_VALUE"""),". Dr. Asokan, Director of International Relations at INTI International University, Malaysia")</f>
        <v>. Dr. Asokan, Director of International Relations at INTI International University, Malaysia</v>
      </c>
      <c r="E69" s="49" t="str">
        <f>IFERROR(__xludf.DUMMYFUNCTION("""COMPUTED_VALUE"""),"Malaysia")</f>
        <v>Malaysia</v>
      </c>
      <c r="F69" s="49" t="str">
        <f>IFERROR(__xludf.DUMMYFUNCTION("""COMPUTED_VALUE"""),"INTI International University")</f>
        <v>INTI International University</v>
      </c>
      <c r="G69" s="49" t="str">
        <f>IFERROR(__xludf.DUMMYFUNCTION("""COMPUTED_VALUE"""),"On 26/11/2025, we hosted Prof. Dr. Asokan, Director of International Relations at INTI International University, Malaysia. During the meeting, he highlighted that INTI holds an overall QS World Ranking of 509, reflecting its strong academic reputation. He"&amp;" met with the Dean of Engineering and the Chairman of AI &amp; ML to explore avenues for collaboration, including joint research initiatives between the engineering departments of both institutions, co-authoring and publishing research papers, conducting join"&amp;"t FDP/IFDP programmes, and exploring opportunities for student exchange.
")</f>
        <v>On 26/11/2025, we hosted Prof. Dr. Asokan, Director of International Relations at INTI International University, Malaysia. During the meeting, he highlighted that INTI holds an overall QS World Ranking of 509, reflecting its strong academic reputation. He met with the Dean of Engineering and the Chairman of AI &amp; ML to explore avenues for collaboration, including joint research initiatives between the engineering departments of both institutions, co-authoring and publishing research papers, conducting joint FDP/IFDP programmes, and exploring opportunities for student exchange.
</v>
      </c>
      <c r="H69" s="49" t="str">
        <f>IFERROR(__xludf.DUMMYFUNCTION("""COMPUTED_VALUE"""),"School of Engineering ")</f>
        <v>School of Engineering </v>
      </c>
      <c r="I69" s="49" t="str">
        <f>IFERROR(__xludf.DUMMYFUNCTION("""COMPUTED_VALUE"""),"Harohalli")</f>
        <v>Harohalli</v>
      </c>
      <c r="J69" s="50" t="str">
        <f>IFERROR(__xludf.DUMMYFUNCTION("""COMPUTED_VALUE"""),"https://drive.google.com/open?id=1zUM_jMu8XohooGCw3qrQIfK-OautlmGI")</f>
        <v>https://drive.google.com/open?id=1zUM_jMu8XohooGCw3qrQIfK-OautlmGI</v>
      </c>
    </row>
    <row r="70">
      <c r="A70" s="47"/>
      <c r="B70" s="48">
        <f>IFERROR(__xludf.DUMMYFUNCTION("""COMPUTED_VALUE"""),45561.0)</f>
        <v>45561</v>
      </c>
      <c r="C70" s="47" t="str">
        <f>IFERROR(__xludf.DUMMYFUNCTION("""COMPUTED_VALUE"""),"Seminar")</f>
        <v>Seminar</v>
      </c>
      <c r="D70" s="49" t="str">
        <f>IFERROR(__xludf.DUMMYFUNCTION("""COMPUTED_VALUE"""),"Prof. Dr. Milan Antonijevic, University of Surrey
")</f>
        <v>Prof. Dr. Milan Antonijevic, University of Surrey
</v>
      </c>
      <c r="E70" s="49" t="str">
        <f>IFERROR(__xludf.DUMMYFUNCTION("""COMPUTED_VALUE"""),"United Kingdom")</f>
        <v>United Kingdom</v>
      </c>
      <c r="F70" s="49" t="str">
        <f>IFERROR(__xludf.DUMMYFUNCTION("""COMPUTED_VALUE"""),"University of Surrey")</f>
        <v>University of Surrey</v>
      </c>
      <c r="G70" s="49" t="str">
        <f>IFERROR(__xludf.DUMMYFUNCTION("""COMPUTED_VALUE"""),"Seminar on Future in Pharmacy
")</f>
        <v>Seminar on Future in Pharmacy
</v>
      </c>
      <c r="H70" s="49" t="str">
        <f>IFERROR(__xludf.DUMMYFUNCTION("""COMPUTED_VALUE"""),"School of Pharmaceutical Sciences")</f>
        <v>School of Pharmaceutical Sciences</v>
      </c>
      <c r="I70" s="49" t="str">
        <f>IFERROR(__xludf.DUMMYFUNCTION("""COMPUTED_VALUE"""),"Harohalli")</f>
        <v>Harohalli</v>
      </c>
      <c r="J70" s="50" t="str">
        <f>IFERROR(__xludf.DUMMYFUNCTION("""COMPUTED_VALUE"""),"https://drive.google.com/open?id=13Ru90EeBHP2Y26nzMgkjyAvssTFsAdxg")</f>
        <v>https://drive.google.com/open?id=13Ru90EeBHP2Y26nzMgkjyAvssTFsAdxg</v>
      </c>
    </row>
    <row r="71">
      <c r="A71" s="47"/>
      <c r="B71" s="48">
        <f>IFERROR(__xludf.DUMMYFUNCTION("""COMPUTED_VALUE"""),45565.0)</f>
        <v>45565</v>
      </c>
      <c r="C71" s="47" t="str">
        <f>IFERROR(__xludf.DUMMYFUNCTION("""COMPUTED_VALUE"""),"University Visit")</f>
        <v>University Visit</v>
      </c>
      <c r="D71" s="49" t="str">
        <f>IFERROR(__xludf.DUMMYFUNCTION("""COMPUTED_VALUE"""),"Prof. Prashanth Pillai, Pro VC, UOW, Dr. Suresh Renukappa, Dr. Robin Carey, Prof. Subhashini
")</f>
        <v>Prof. Prashanth Pillai, Pro VC, UOW, Dr. Suresh Renukappa, Dr. Robin Carey, Prof. Subhashini
</v>
      </c>
      <c r="E71" s="49" t="str">
        <f>IFERROR(__xludf.DUMMYFUNCTION("""COMPUTED_VALUE"""),"England")</f>
        <v>England</v>
      </c>
      <c r="F71" s="49" t="str">
        <f>IFERROR(__xludf.DUMMYFUNCTION("""COMPUTED_VALUE"""),"University of Wolverhampton")</f>
        <v>University of Wolverhampton</v>
      </c>
      <c r="G71" s="49" t="str">
        <f>IFERROR(__xludf.DUMMYFUNCTION("""COMPUTED_VALUE"""),"Collaboration Discussion")</f>
        <v>Collaboration Discussion</v>
      </c>
      <c r="H71" s="49" t="str">
        <f>IFERROR(__xludf.DUMMYFUNCTION("""COMPUTED_VALUE"""),"International Affairs")</f>
        <v>International Affairs</v>
      </c>
      <c r="I71" s="49" t="str">
        <f>IFERROR(__xludf.DUMMYFUNCTION("""COMPUTED_VALUE"""),"Harohalli")</f>
        <v>Harohalli</v>
      </c>
      <c r="J71" s="50" t="str">
        <f>IFERROR(__xludf.DUMMYFUNCTION("""COMPUTED_VALUE"""),"https://drive.google.com/open?id=1GFacOqn1KcevcCVjYlIn8V9DJtBxTdNE")</f>
        <v>https://drive.google.com/open?id=1GFacOqn1KcevcCVjYlIn8V9DJtBxTdNE</v>
      </c>
    </row>
    <row r="72">
      <c r="A72" s="47"/>
      <c r="B72" s="48">
        <f>IFERROR(__xludf.DUMMYFUNCTION("""COMPUTED_VALUE"""),45575.0)</f>
        <v>45575</v>
      </c>
      <c r="C72" s="47" t="str">
        <f>IFERROR(__xludf.DUMMYFUNCTION("""COMPUTED_VALUE"""),"University Visit")</f>
        <v>University Visit</v>
      </c>
      <c r="D72" s="49" t="str">
        <f>IFERROR(__xludf.DUMMYFUNCTION("""COMPUTED_VALUE"""),"Dr Jorge Osario Public Health Program at Wisconsin University
")</f>
        <v>Dr Jorge Osario Public Health Program at Wisconsin University
</v>
      </c>
      <c r="E72" s="49" t="str">
        <f>IFERROR(__xludf.DUMMYFUNCTION("""COMPUTED_VALUE"""),"United States")</f>
        <v>United States</v>
      </c>
      <c r="F72" s="49" t="str">
        <f>IFERROR(__xludf.DUMMYFUNCTION("""COMPUTED_VALUE"""),"University of Wisconsin Madison")</f>
        <v>University of Wisconsin Madison</v>
      </c>
      <c r="G72" s="49" t="str">
        <f>IFERROR(__xludf.DUMMYFUNCTION("""COMPUTED_VALUE"""),"Collaboration Discussion")</f>
        <v>Collaboration Discussion</v>
      </c>
      <c r="H72" s="49" t="str">
        <f>IFERROR(__xludf.DUMMYFUNCTION("""COMPUTED_VALUE"""),"International Affairs")</f>
        <v>International Affairs</v>
      </c>
      <c r="I72" s="49" t="str">
        <f>IFERROR(__xludf.DUMMYFUNCTION("""COMPUTED_VALUE"""),"Harohalli")</f>
        <v>Harohalli</v>
      </c>
      <c r="J72" s="50" t="str">
        <f>IFERROR(__xludf.DUMMYFUNCTION("""COMPUTED_VALUE"""),"https://drive.google.com/open?id=1SluZvzdHiA1Q2SJkYPN28Iiw8d_W0SuB")</f>
        <v>https://drive.google.com/open?id=1SluZvzdHiA1Q2SJkYPN28Iiw8d_W0SuB</v>
      </c>
    </row>
    <row r="73">
      <c r="A73" s="47"/>
      <c r="B73" s="48">
        <f>IFERROR(__xludf.DUMMYFUNCTION("""COMPUTED_VALUE"""),45611.0)</f>
        <v>45611</v>
      </c>
      <c r="C73" s="47" t="str">
        <f>IFERROR(__xludf.DUMMYFUNCTION("""COMPUTED_VALUE"""),"University Visit")</f>
        <v>University Visit</v>
      </c>
      <c r="D73" s="49" t="str">
        <f>IFERROR(__xludf.DUMMYFUNCTION("""COMPUTED_VALUE"""),"Dr Eric Garfunkel, Vice President, Global Affairs, Dr Mohini Mukherjee, Executive Director, Student Services, Kim Pernice, Associate Director of Partnership, Dr. Smita Thakker- Varia, Associate Professor, Dr. Doreen Badheka, Assistant Professor, Rutgers u"&amp;"niversity
")</f>
        <v>Dr Eric Garfunkel, Vice President, Global Affairs, Dr Mohini Mukherjee, Executive Director, Student Services, Kim Pernice, Associate Director of Partnership, Dr. Smita Thakker- Varia, Associate Professor, Dr. Doreen Badheka, Assistant Professor, Rutgers university
</v>
      </c>
      <c r="E73" s="49" t="str">
        <f>IFERROR(__xludf.DUMMYFUNCTION("""COMPUTED_VALUE"""),"United States")</f>
        <v>United States</v>
      </c>
      <c r="F73" s="49" t="str">
        <f>IFERROR(__xludf.DUMMYFUNCTION("""COMPUTED_VALUE"""),"Rutgers University")</f>
        <v>Rutgers University</v>
      </c>
      <c r="G73" s="49" t="str">
        <f>IFERROR(__xludf.DUMMYFUNCTION("""COMPUTED_VALUE"""),"Collaboration Discussion")</f>
        <v>Collaboration Discussion</v>
      </c>
      <c r="H73" s="49" t="str">
        <f>IFERROR(__xludf.DUMMYFUNCTION("""COMPUTED_VALUE"""),"CDSIMER")</f>
        <v>CDSIMER</v>
      </c>
      <c r="I73" s="49" t="str">
        <f>IFERROR(__xludf.DUMMYFUNCTION("""COMPUTED_VALUE"""),"Harohalli")</f>
        <v>Harohalli</v>
      </c>
      <c r="J73" s="50" t="str">
        <f>IFERROR(__xludf.DUMMYFUNCTION("""COMPUTED_VALUE"""),"https://drive.google.com/open?id=1KUe7fcWACBaI5v4B4PbVuWAiTda6gZwO")</f>
        <v>https://drive.google.com/open?id=1KUe7fcWACBaI5v4B4PbVuWAiTda6gZwO</v>
      </c>
    </row>
    <row r="74">
      <c r="A74" s="47"/>
      <c r="B74" s="48">
        <f>IFERROR(__xludf.DUMMYFUNCTION("""COMPUTED_VALUE"""),45615.0)</f>
        <v>45615</v>
      </c>
      <c r="C74" s="47" t="str">
        <f>IFERROR(__xludf.DUMMYFUNCTION("""COMPUTED_VALUE"""),"University Visit")</f>
        <v>University Visit</v>
      </c>
      <c r="D74" s="49" t="str">
        <f>IFERROR(__xludf.DUMMYFUNCTION("""COMPUTED_VALUE"""),"Prof. Nigel Holt &amp; Prof. Nigel Copner
")</f>
        <v>Prof. Nigel Holt &amp; Prof. Nigel Copner
</v>
      </c>
      <c r="E74" s="49" t="str">
        <f>IFERROR(__xludf.DUMMYFUNCTION("""COMPUTED_VALUE""")," United Kingdom")</f>
        <v> United Kingdom</v>
      </c>
      <c r="F74" s="49" t="str">
        <f>IFERROR(__xludf.DUMMYFUNCTION("""COMPUTED_VALUE"""),"Aberystwyth University")</f>
        <v>Aberystwyth University</v>
      </c>
      <c r="G74" s="49" t="str">
        <f>IFERROR(__xludf.DUMMYFUNCTION("""COMPUTED_VALUE"""),"Collaboration Discussion")</f>
        <v>Collaboration Discussion</v>
      </c>
      <c r="H74" s="49" t="str">
        <f>IFERROR(__xludf.DUMMYFUNCTION("""COMPUTED_VALUE"""),"International Affairs")</f>
        <v>International Affairs</v>
      </c>
      <c r="I74" s="49" t="str">
        <f>IFERROR(__xludf.DUMMYFUNCTION("""COMPUTED_VALUE"""),"Kudlu gate")</f>
        <v>Kudlu gate</v>
      </c>
      <c r="J74" s="50" t="str">
        <f>IFERROR(__xludf.DUMMYFUNCTION("""COMPUTED_VALUE"""),"https://drive.google.com/open?id=19aT588lSKdpDlJ1NFjSIACmgiu6Pie3w")</f>
        <v>https://drive.google.com/open?id=19aT588lSKdpDlJ1NFjSIACmgiu6Pie3w</v>
      </c>
    </row>
    <row r="75">
      <c r="A75" s="47"/>
      <c r="B75" s="48">
        <f>IFERROR(__xludf.DUMMYFUNCTION("""COMPUTED_VALUE"""),45631.0)</f>
        <v>45631</v>
      </c>
      <c r="C75" s="47" t="str">
        <f>IFERROR(__xludf.DUMMYFUNCTION("""COMPUTED_VALUE"""),"University Visit")</f>
        <v>University Visit</v>
      </c>
      <c r="D75" s="49" t="str">
        <f>IFERROR(__xludf.DUMMYFUNCTION("""COMPUTED_VALUE"""),"Dr. Bogdan
")</f>
        <v>Dr. Bogdan
</v>
      </c>
      <c r="E75" s="49" t="str">
        <f>IFERROR(__xludf.DUMMYFUNCTION("""COMPUTED_VALUE"""),"England")</f>
        <v>England</v>
      </c>
      <c r="F75" s="49" t="str">
        <f>IFERROR(__xludf.DUMMYFUNCTION("""COMPUTED_VALUE"""),"University of Plymouth")</f>
        <v>University of Plymouth</v>
      </c>
      <c r="G75" s="49" t="str">
        <f>IFERROR(__xludf.DUMMYFUNCTION("""COMPUTED_VALUE"""),"Collaboration Discussion")</f>
        <v>Collaboration Discussion</v>
      </c>
      <c r="H75" s="49" t="str">
        <f>IFERROR(__xludf.DUMMYFUNCTION("""COMPUTED_VALUE"""),"International Affairs")</f>
        <v>International Affairs</v>
      </c>
      <c r="I75" s="49" t="str">
        <f>IFERROR(__xludf.DUMMYFUNCTION("""COMPUTED_VALUE"""),"Kudlu gate")</f>
        <v>Kudlu gate</v>
      </c>
      <c r="J75" s="50" t="str">
        <f>IFERROR(__xludf.DUMMYFUNCTION("""COMPUTED_VALUE"""),"https://drive.google.com/open?id=1DzOo7YXcZDm1O5EF6xt6mnPJsvx1EcyO")</f>
        <v>https://drive.google.com/open?id=1DzOo7YXcZDm1O5EF6xt6mnPJsvx1EcyO</v>
      </c>
    </row>
    <row r="76">
      <c r="A76" s="47"/>
      <c r="B76" s="48">
        <f>IFERROR(__xludf.DUMMYFUNCTION("""COMPUTED_VALUE"""),45635.0)</f>
        <v>45635</v>
      </c>
      <c r="C76" s="47" t="str">
        <f>IFERROR(__xludf.DUMMYFUNCTION("""COMPUTED_VALUE"""),"University Visit")</f>
        <v>University Visit</v>
      </c>
      <c r="D76" s="49" t="str">
        <f>IFERROR(__xludf.DUMMYFUNCTION("""COMPUTED_VALUE"""),"Dalailama Institute
")</f>
        <v>Dalailama Institute
</v>
      </c>
      <c r="E76" s="49" t="str">
        <f>IFERROR(__xludf.DUMMYFUNCTION("""COMPUTED_VALUE"""),"India")</f>
        <v>India</v>
      </c>
      <c r="F76" s="49" t="str">
        <f>IFERROR(__xludf.DUMMYFUNCTION("""COMPUTED_VALUE"""),"Dalailama Institute")</f>
        <v>Dalailama Institute</v>
      </c>
      <c r="G76" s="49" t="str">
        <f>IFERROR(__xludf.DUMMYFUNCTION("""COMPUTED_VALUE"""),"One-Day Photo Exhibition on India-Tibet Relations
")</f>
        <v>One-Day Photo Exhibition on India-Tibet Relations
</v>
      </c>
      <c r="H76" s="49" t="str">
        <f>IFERROR(__xludf.DUMMYFUNCTION("""COMPUTED_VALUE"""),"International Affairs")</f>
        <v>International Affairs</v>
      </c>
      <c r="I76" s="49" t="str">
        <f>IFERROR(__xludf.DUMMYFUNCTION("""COMPUTED_VALUE"""),"Harohalli")</f>
        <v>Harohalli</v>
      </c>
      <c r="J76" s="50" t="str">
        <f>IFERROR(__xludf.DUMMYFUNCTION("""COMPUTED_VALUE"""),"https://drive.google.com/open?id=1uCrUomoyQTO3G4fL2ksUllCD8WVaHMs-")</f>
        <v>https://drive.google.com/open?id=1uCrUomoyQTO3G4fL2ksUllCD8WVaHMs-</v>
      </c>
    </row>
    <row r="77">
      <c r="A77" s="47"/>
      <c r="B77" s="48">
        <f>IFERROR(__xludf.DUMMYFUNCTION("""COMPUTED_VALUE"""),45639.0)</f>
        <v>45639</v>
      </c>
      <c r="C77" s="47" t="str">
        <f>IFERROR(__xludf.DUMMYFUNCTION("""COMPUTED_VALUE"""),"University Visit")</f>
        <v>University Visit</v>
      </c>
      <c r="D77" s="49" t="str">
        <f>IFERROR(__xludf.DUMMYFUNCTION("""COMPUTED_VALUE"""),"President Lehmann, HOF University, Germany
")</f>
        <v>President Lehmann, HOF University, Germany
</v>
      </c>
      <c r="E77" s="49" t="str">
        <f>IFERROR(__xludf.DUMMYFUNCTION("""COMPUTED_VALUE"""),"Germany")</f>
        <v>Germany</v>
      </c>
      <c r="F77" s="49" t="str">
        <f>IFERROR(__xludf.DUMMYFUNCTION("""COMPUTED_VALUE"""),"HOF University Germany")</f>
        <v>HOF University Germany</v>
      </c>
      <c r="G77" s="49" t="str">
        <f>IFERROR(__xludf.DUMMYFUNCTION("""COMPUTED_VALUE"""),"Collaboration Discussion")</f>
        <v>Collaboration Discussion</v>
      </c>
      <c r="H77" s="49" t="str">
        <f>IFERROR(__xludf.DUMMYFUNCTION("""COMPUTED_VALUE"""),"International Affairs")</f>
        <v>International Affairs</v>
      </c>
      <c r="I77" s="49" t="str">
        <f>IFERROR(__xludf.DUMMYFUNCTION("""COMPUTED_VALUE"""),"Harohalli")</f>
        <v>Harohalli</v>
      </c>
      <c r="J77" s="50" t="str">
        <f>IFERROR(__xludf.DUMMYFUNCTION("""COMPUTED_VALUE"""),"https://drive.google.com/open?id=107LbDzhg7tx5jcOafFaN7VUKkdj19-QI")</f>
        <v>https://drive.google.com/open?id=107LbDzhg7tx5jcOafFaN7VUKkdj19-QI</v>
      </c>
    </row>
    <row r="78">
      <c r="A78" s="47"/>
      <c r="B78" s="48">
        <f>IFERROR(__xludf.DUMMYFUNCTION("""COMPUTED_VALUE"""),45639.0)</f>
        <v>45639</v>
      </c>
      <c r="C78" s="47" t="str">
        <f>IFERROR(__xludf.DUMMYFUNCTION("""COMPUTED_VALUE"""),"University Visit")</f>
        <v>University Visit</v>
      </c>
      <c r="D78" s="49" t="str">
        <f>IFERROR(__xludf.DUMMYFUNCTION("""COMPUTED_VALUE"""),"Rutgers ")</f>
        <v>Rutgers </v>
      </c>
      <c r="E78" s="49" t="str">
        <f>IFERROR(__xludf.DUMMYFUNCTION("""COMPUTED_VALUE"""),"United States")</f>
        <v>United States</v>
      </c>
      <c r="F78" s="49" t="str">
        <f>IFERROR(__xludf.DUMMYFUNCTION("""COMPUTED_VALUE"""),"Rutgers University")</f>
        <v>Rutgers University</v>
      </c>
      <c r="G78" s="49" t="str">
        <f>IFERROR(__xludf.DUMMYFUNCTION("""COMPUTED_VALUE"""),"Collaboration Discussion")</f>
        <v>Collaboration Discussion</v>
      </c>
      <c r="H78" s="49" t="str">
        <f>IFERROR(__xludf.DUMMYFUNCTION("""COMPUTED_VALUE"""),"International Affairs")</f>
        <v>International Affairs</v>
      </c>
      <c r="I78" s="49" t="str">
        <f>IFERROR(__xludf.DUMMYFUNCTION("""COMPUTED_VALUE"""),"Kudlu gate")</f>
        <v>Kudlu gate</v>
      </c>
      <c r="J78" s="50" t="str">
        <f>IFERROR(__xludf.DUMMYFUNCTION("""COMPUTED_VALUE"""),"https://drive.google.com/open?id=1oph5X-mSZqjwR3-0yeUWDMJdUV7yIz-r")</f>
        <v>https://drive.google.com/open?id=1oph5X-mSZqjwR3-0yeUWDMJdUV7yIz-r</v>
      </c>
    </row>
    <row r="79">
      <c r="A79" s="47"/>
      <c r="B79" s="48">
        <f>IFERROR(__xludf.DUMMYFUNCTION("""COMPUTED_VALUE"""),45642.0)</f>
        <v>45642</v>
      </c>
      <c r="C79" s="47" t="str">
        <f>IFERROR(__xludf.DUMMYFUNCTION("""COMPUTED_VALUE"""),"University Visit")</f>
        <v>University Visit</v>
      </c>
      <c r="D79" s="49" t="str">
        <f>IFERROR(__xludf.DUMMYFUNCTION("""COMPUTED_VALUE"""),"Ms. Suma Jayakar
")</f>
        <v>Ms. Suma Jayakar
</v>
      </c>
      <c r="E79" s="49" t="str">
        <f>IFERROR(__xludf.DUMMYFUNCTION("""COMPUTED_VALUE"""),"United States")</f>
        <v>United States</v>
      </c>
      <c r="F79" s="49" t="str">
        <f>IFERROR(__xludf.DUMMYFUNCTION("""COMPUTED_VALUE"""),"LeTourneau University, Texas")</f>
        <v>LeTourneau University, Texas</v>
      </c>
      <c r="G79" s="49" t="str">
        <f>IFERROR(__xludf.DUMMYFUNCTION("""COMPUTED_VALUE"""),"Collaboration Discussion")</f>
        <v>Collaboration Discussion</v>
      </c>
      <c r="H79" s="49" t="str">
        <f>IFERROR(__xludf.DUMMYFUNCTION("""COMPUTED_VALUE"""),"International Affairs")</f>
        <v>International Affairs</v>
      </c>
      <c r="I79" s="49" t="str">
        <f>IFERROR(__xludf.DUMMYFUNCTION("""COMPUTED_VALUE"""),"Harohalli")</f>
        <v>Harohalli</v>
      </c>
      <c r="J79" s="49"/>
    </row>
    <row r="80">
      <c r="A80" s="47"/>
      <c r="B80" s="48">
        <f>IFERROR(__xludf.DUMMYFUNCTION("""COMPUTED_VALUE"""),44944.0)</f>
        <v>44944</v>
      </c>
      <c r="C80" s="47" t="str">
        <f>IFERROR(__xludf.DUMMYFUNCTION("""COMPUTED_VALUE"""),"University Visit")</f>
        <v>University Visit</v>
      </c>
      <c r="D80" s="49" t="str">
        <f>IFERROR(__xludf.DUMMYFUNCTION("""COMPUTED_VALUE"""),"Mr. Ankit Soni, International Relations &amp; Admission Officer 
")</f>
        <v>Mr. Ankit Soni, International Relations &amp; Admission Officer 
</v>
      </c>
      <c r="E80" s="49" t="str">
        <f>IFERROR(__xludf.DUMMYFUNCTION("""COMPUTED_VALUE"""),"France")</f>
        <v>France</v>
      </c>
      <c r="F80" s="49" t="str">
        <f>IFERROR(__xludf.DUMMYFUNCTION("""COMPUTED_VALUE"""),"MBWay school France")</f>
        <v>MBWay school France</v>
      </c>
      <c r="G80" s="49" t="str">
        <f>IFERROR(__xludf.DUMMYFUNCTION("""COMPUTED_VALUE"""),"Collaboration Discussion")</f>
        <v>Collaboration Discussion</v>
      </c>
      <c r="H80" s="49" t="str">
        <f>IFERROR(__xludf.DUMMYFUNCTION("""COMPUTED_VALUE"""),"International Affairs")</f>
        <v>International Affairs</v>
      </c>
      <c r="I80" s="49" t="str">
        <f>IFERROR(__xludf.DUMMYFUNCTION("""COMPUTED_VALUE"""),"Harohalli")</f>
        <v>Harohalli</v>
      </c>
      <c r="J80" s="49"/>
    </row>
    <row r="81">
      <c r="A81" s="47"/>
      <c r="B81" s="48">
        <f>IFERROR(__xludf.DUMMYFUNCTION("""COMPUTED_VALUE"""),45009.0)</f>
        <v>45009</v>
      </c>
      <c r="C81" s="47" t="str">
        <f>IFERROR(__xludf.DUMMYFUNCTION("""COMPUTED_VALUE"""),"University Visit")</f>
        <v>University Visit</v>
      </c>
      <c r="D81" s="49" t="str">
        <f>IFERROR(__xludf.DUMMYFUNCTION("""COMPUTED_VALUE"""),"Dr. Radhika Seshan, Dean
")</f>
        <v>Dr. Radhika Seshan, Dean
</v>
      </c>
      <c r="E81" s="49" t="str">
        <f>IFERROR(__xludf.DUMMYFUNCTION("""COMPUTED_VALUE"""),"United States")</f>
        <v>United States</v>
      </c>
      <c r="F81" s="49" t="str">
        <f>IFERROR(__xludf.DUMMYFUNCTION("""COMPUTED_VALUE"""),"New York University")</f>
        <v>New York University</v>
      </c>
      <c r="G81" s="49" t="str">
        <f>IFERROR(__xludf.DUMMYFUNCTION("""COMPUTED_VALUE"""),"Collaboration Discussion")</f>
        <v>Collaboration Discussion</v>
      </c>
      <c r="H81" s="49" t="str">
        <f>IFERROR(__xludf.DUMMYFUNCTION("""COMPUTED_VALUE"""),"International Affairs")</f>
        <v>International Affairs</v>
      </c>
      <c r="I81" s="49" t="str">
        <f>IFERROR(__xludf.DUMMYFUNCTION("""COMPUTED_VALUE"""),"Kudlu gate")</f>
        <v>Kudlu gate</v>
      </c>
      <c r="J81" s="50" t="str">
        <f>IFERROR(__xludf.DUMMYFUNCTION("""COMPUTED_VALUE"""),"https://drive.google.com/open?id=13B61qPgrXY6JBsc33YN5C_xHNfcTQh73")</f>
        <v>https://drive.google.com/open?id=13B61qPgrXY6JBsc33YN5C_xHNfcTQh73</v>
      </c>
    </row>
    <row r="82">
      <c r="A82" s="47"/>
      <c r="B82" s="48">
        <f>IFERROR(__xludf.DUMMYFUNCTION("""COMPUTED_VALUE"""),44980.0)</f>
        <v>44980</v>
      </c>
      <c r="C82" s="47" t="str">
        <f>IFERROR(__xludf.DUMMYFUNCTION("""COMPUTED_VALUE"""),"University Visit")</f>
        <v>University Visit</v>
      </c>
      <c r="D82" s="49" t="str">
        <f>IFERROR(__xludf.DUMMYFUNCTION("""COMPUTED_VALUE"""),"Mr. Bryan Read, Professor
")</f>
        <v>Mr. Bryan Read, Professor
</v>
      </c>
      <c r="E82" s="49" t="str">
        <f>IFERROR(__xludf.DUMMYFUNCTION("""COMPUTED_VALUE"""),"New Zealand")</f>
        <v>New Zealand</v>
      </c>
      <c r="F82" s="49" t="str">
        <f>IFERROR(__xludf.DUMMYFUNCTION("""COMPUTED_VALUE"""),"Te Pūkenga trading as Whitireia and WelTec")</f>
        <v>Te Pūkenga trading as Whitireia and WelTec</v>
      </c>
      <c r="G82" s="49" t="str">
        <f>IFERROR(__xludf.DUMMYFUNCTION("""COMPUTED_VALUE"""),"Collaboration Discussion")</f>
        <v>Collaboration Discussion</v>
      </c>
      <c r="H82" s="49" t="str">
        <f>IFERROR(__xludf.DUMMYFUNCTION("""COMPUTED_VALUE"""),"International Affairs")</f>
        <v>International Affairs</v>
      </c>
      <c r="I82" s="49" t="str">
        <f>IFERROR(__xludf.DUMMYFUNCTION("""COMPUTED_VALUE"""),"Kudlu gate")</f>
        <v>Kudlu gate</v>
      </c>
      <c r="J82" s="50" t="str">
        <f>IFERROR(__xludf.DUMMYFUNCTION("""COMPUTED_VALUE"""),"https://drive.google.com/open?id=1FwFTyc-b8y2gV-NpF-j6zLJySbCOL3yH")</f>
        <v>https://drive.google.com/open?id=1FwFTyc-b8y2gV-NpF-j6zLJySbCOL3yH</v>
      </c>
    </row>
    <row r="83">
      <c r="A83" s="47"/>
      <c r="B83" s="48">
        <f>IFERROR(__xludf.DUMMYFUNCTION("""COMPUTED_VALUE"""),45010.0)</f>
        <v>45010</v>
      </c>
      <c r="C83" s="47" t="str">
        <f>IFERROR(__xludf.DUMMYFUNCTION("""COMPUTED_VALUE"""),"University Visit")</f>
        <v>University Visit</v>
      </c>
      <c r="D83" s="49" t="str">
        <f>IFERROR(__xludf.DUMMYFUNCTION("""COMPUTED_VALUE"""),"Mr. Raj Vangapandu,President / MD, Indo-Euro Synchronization
")</f>
        <v>Mr. Raj Vangapandu,President / MD, Indo-Euro Synchronization
</v>
      </c>
      <c r="E83" s="49" t="str">
        <f>IFERROR(__xludf.DUMMYFUNCTION("""COMPUTED_VALUE"""),"Germany")</f>
        <v>Germany</v>
      </c>
      <c r="F83" s="49" t="str">
        <f>IFERROR(__xludf.DUMMYFUNCTION("""COMPUTED_VALUE"""),"Autosol German Tech Immersion - Germany")</f>
        <v>Autosol German Tech Immersion - Germany</v>
      </c>
      <c r="G83" s="49" t="str">
        <f>IFERROR(__xludf.DUMMYFUNCTION("""COMPUTED_VALUE"""),"Collaboration Discussion")</f>
        <v>Collaboration Discussion</v>
      </c>
      <c r="H83" s="49" t="str">
        <f>IFERROR(__xludf.DUMMYFUNCTION("""COMPUTED_VALUE"""),"International Affairs")</f>
        <v>International Affairs</v>
      </c>
      <c r="I83" s="49" t="str">
        <f>IFERROR(__xludf.DUMMYFUNCTION("""COMPUTED_VALUE"""),"Kudlu gate")</f>
        <v>Kudlu gate</v>
      </c>
      <c r="J83" s="49"/>
    </row>
    <row r="84">
      <c r="A84" s="47"/>
      <c r="B84" s="48">
        <f>IFERROR(__xludf.DUMMYFUNCTION("""COMPUTED_VALUE"""),45029.0)</f>
        <v>45029</v>
      </c>
      <c r="C84" s="47" t="str">
        <f>IFERROR(__xludf.DUMMYFUNCTION("""COMPUTED_VALUE"""),"University Visit")</f>
        <v>University Visit</v>
      </c>
      <c r="D84" s="49" t="str">
        <f>IFERROR(__xludf.DUMMYFUNCTION("""COMPUTED_VALUE"""),"Dr. Steve McKenna, Associate Professor
")</f>
        <v>Dr. Steve McKenna, Associate Professor
</v>
      </c>
      <c r="E84" s="49" t="str">
        <f>IFERROR(__xludf.DUMMYFUNCTION("""COMPUTED_VALUE"""),"Australia")</f>
        <v>Australia</v>
      </c>
      <c r="F84" s="49" t="str">
        <f>IFERROR(__xludf.DUMMYFUNCTION("""COMPUTED_VALUE"""),"Curtin University ")</f>
        <v>Curtin University </v>
      </c>
      <c r="G84" s="49" t="str">
        <f>IFERROR(__xludf.DUMMYFUNCTION("""COMPUTED_VALUE"""),"Collaboration Discussion")</f>
        <v>Collaboration Discussion</v>
      </c>
      <c r="H84" s="49" t="str">
        <f>IFERROR(__xludf.DUMMYFUNCTION("""COMPUTED_VALUE"""),"International Affairs")</f>
        <v>International Affairs</v>
      </c>
      <c r="I84" s="49" t="str">
        <f>IFERROR(__xludf.DUMMYFUNCTION("""COMPUTED_VALUE"""),"Harohalli")</f>
        <v>Harohalli</v>
      </c>
      <c r="J84" s="49"/>
    </row>
    <row r="85">
      <c r="A85" s="47"/>
      <c r="B85" s="48">
        <f>IFERROR(__xludf.DUMMYFUNCTION("""COMPUTED_VALUE"""),45035.0)</f>
        <v>45035</v>
      </c>
      <c r="C85" s="47" t="str">
        <f>IFERROR(__xludf.DUMMYFUNCTION("""COMPUTED_VALUE"""),"University Visit")</f>
        <v>University Visit</v>
      </c>
      <c r="D85" s="49" t="str">
        <f>IFERROR(__xludf.DUMMYFUNCTION("""COMPUTED_VALUE"""),"Mr. John Bunter, Director, India / Cormack Consultancy Group
")</f>
        <v>Mr. John Bunter, Director, India / Cormack Consultancy Group
</v>
      </c>
      <c r="E85" s="49" t="str">
        <f>IFERROR(__xludf.DUMMYFUNCTION("""COMPUTED_VALUE"""),"United Kingdom")</f>
        <v>United Kingdom</v>
      </c>
      <c r="F85" s="49" t="str">
        <f>IFERROR(__xludf.DUMMYFUNCTION("""COMPUTED_VALUE"""),"Glasglow Caledonian University,Birmingham City University, Edhinburg Napier University,Glyndwr University")</f>
        <v>Glasglow Caledonian University,Birmingham City University, Edhinburg Napier University,Glyndwr University</v>
      </c>
      <c r="G85" s="49" t="str">
        <f>IFERROR(__xludf.DUMMYFUNCTION("""COMPUTED_VALUE"""),"Collaboration Discussion")</f>
        <v>Collaboration Discussion</v>
      </c>
      <c r="H85" s="49" t="str">
        <f>IFERROR(__xludf.DUMMYFUNCTION("""COMPUTED_VALUE"""),"International Affairs")</f>
        <v>International Affairs</v>
      </c>
      <c r="I85" s="49" t="str">
        <f>IFERROR(__xludf.DUMMYFUNCTION("""COMPUTED_VALUE"""),"Harohalli")</f>
        <v>Harohalli</v>
      </c>
      <c r="J85" s="50" t="str">
        <f>IFERROR(__xludf.DUMMYFUNCTION("""COMPUTED_VALUE"""),"https://drive.google.com/open?id=1JKK6XfI62NKXZAWgHk3qfWv59YLP6ssF")</f>
        <v>https://drive.google.com/open?id=1JKK6XfI62NKXZAWgHk3qfWv59YLP6ssF</v>
      </c>
    </row>
    <row r="86">
      <c r="A86" s="47"/>
      <c r="B86" s="48">
        <f>IFERROR(__xludf.DUMMYFUNCTION("""COMPUTED_VALUE"""),45036.0)</f>
        <v>45036</v>
      </c>
      <c r="C86" s="47" t="str">
        <f>IFERROR(__xludf.DUMMYFUNCTION("""COMPUTED_VALUE"""),"University Visit")</f>
        <v>University Visit</v>
      </c>
      <c r="D86" s="49" t="str">
        <f>IFERROR(__xludf.DUMMYFUNCTION("""COMPUTED_VALUE"""),"Mr. Mahesh,Asst Manager, Mr. Sai Abhishek, manager
")</f>
        <v>Mr. Mahesh,Asst Manager, Mr. Sai Abhishek, manager
</v>
      </c>
      <c r="E86" s="49" t="str">
        <f>IFERROR(__xludf.DUMMYFUNCTION("""COMPUTED_VALUE"""),"Canada")</f>
        <v>Canada</v>
      </c>
      <c r="F86" s="49" t="str">
        <f>IFERROR(__xludf.DUMMYFUNCTION("""COMPUTED_VALUE"""),"NAB college , Canada")</f>
        <v>NAB college , Canada</v>
      </c>
      <c r="G86" s="49" t="str">
        <f>IFERROR(__xludf.DUMMYFUNCTION("""COMPUTED_VALUE"""),"Collaboration Discussion")</f>
        <v>Collaboration Discussion</v>
      </c>
      <c r="H86" s="49" t="str">
        <f>IFERROR(__xludf.DUMMYFUNCTION("""COMPUTED_VALUE"""),"International Affairs")</f>
        <v>International Affairs</v>
      </c>
      <c r="I86" s="49" t="str">
        <f>IFERROR(__xludf.DUMMYFUNCTION("""COMPUTED_VALUE"""),"Harohalli")</f>
        <v>Harohalli</v>
      </c>
      <c r="J86" s="50" t="str">
        <f>IFERROR(__xludf.DUMMYFUNCTION("""COMPUTED_VALUE"""),"https://drive.google.com/open?id=1lawHW7qWsMm6W3NC96Gz5wOUmCuBdixb")</f>
        <v>https://drive.google.com/open?id=1lawHW7qWsMm6W3NC96Gz5wOUmCuBdixb</v>
      </c>
    </row>
    <row r="87">
      <c r="A87" s="47"/>
      <c r="B87" s="48">
        <f>IFERROR(__xludf.DUMMYFUNCTION("""COMPUTED_VALUE"""),45037.0)</f>
        <v>45037</v>
      </c>
      <c r="C87" s="47" t="str">
        <f>IFERROR(__xludf.DUMMYFUNCTION("""COMPUTED_VALUE"""),"University Visit")</f>
        <v>University Visit</v>
      </c>
      <c r="D87" s="49" t="str">
        <f>IFERROR(__xludf.DUMMYFUNCTION("""COMPUTED_VALUE"""),"Ms. Anita Bose Natarajan,manager
")</f>
        <v>Ms. Anita Bose Natarajan,manager
</v>
      </c>
      <c r="E87" s="49" t="str">
        <f>IFERROR(__xludf.DUMMYFUNCTION("""COMPUTED_VALUE"""),"India")</f>
        <v>India</v>
      </c>
      <c r="F87" s="49" t="str">
        <f>IFERROR(__xludf.DUMMYFUNCTION("""COMPUTED_VALUE"""),"Education USA Bangalore")</f>
        <v>Education USA Bangalore</v>
      </c>
      <c r="G87" s="49" t="str">
        <f>IFERROR(__xludf.DUMMYFUNCTION("""COMPUTED_VALUE"""),"Collaboration Discussion")</f>
        <v>Collaboration Discussion</v>
      </c>
      <c r="H87" s="49" t="str">
        <f>IFERROR(__xludf.DUMMYFUNCTION("""COMPUTED_VALUE"""),"International Affairs")</f>
        <v>International Affairs</v>
      </c>
      <c r="I87" s="49" t="str">
        <f>IFERROR(__xludf.DUMMYFUNCTION("""COMPUTED_VALUE"""),"Kudlu gate")</f>
        <v>Kudlu gate</v>
      </c>
      <c r="J87" s="49"/>
    </row>
    <row r="88">
      <c r="A88" s="47"/>
      <c r="B88" s="48">
        <f>IFERROR(__xludf.DUMMYFUNCTION("""COMPUTED_VALUE"""),45044.0)</f>
        <v>45044</v>
      </c>
      <c r="C88" s="47" t="str">
        <f>IFERROR(__xludf.DUMMYFUNCTION("""COMPUTED_VALUE"""),"University Visit")</f>
        <v>University Visit</v>
      </c>
      <c r="D88" s="49" t="str">
        <f>IFERROR(__xludf.DUMMYFUNCTION("""COMPUTED_VALUE"""),"Michael Johnson, Head of Business Development 
")</f>
        <v>Michael Johnson, Head of Business Development 
</v>
      </c>
      <c r="E88" s="49" t="str">
        <f>IFERROR(__xludf.DUMMYFUNCTION("""COMPUTED_VALUE"""),"United States")</f>
        <v>United States</v>
      </c>
      <c r="F88" s="49" t="str">
        <f>IFERROR(__xludf.DUMMYFUNCTION("""COMPUTED_VALUE"""),"Steinbeis university ,USA")</f>
        <v>Steinbeis university ,USA</v>
      </c>
      <c r="G88" s="49" t="str">
        <f>IFERROR(__xludf.DUMMYFUNCTION("""COMPUTED_VALUE"""),"Collaboration Discussion")</f>
        <v>Collaboration Discussion</v>
      </c>
      <c r="H88" s="49" t="str">
        <f>IFERROR(__xludf.DUMMYFUNCTION("""COMPUTED_VALUE"""),"International Affairs")</f>
        <v>International Affairs</v>
      </c>
      <c r="I88" s="49" t="str">
        <f>IFERROR(__xludf.DUMMYFUNCTION("""COMPUTED_VALUE"""),"Kudlu gate")</f>
        <v>Kudlu gate</v>
      </c>
      <c r="J88" s="49"/>
    </row>
    <row r="89">
      <c r="A89" s="47"/>
      <c r="B89" s="48">
        <f>IFERROR(__xludf.DUMMYFUNCTION("""COMPUTED_VALUE"""),45068.0)</f>
        <v>45068</v>
      </c>
      <c r="C89" s="47" t="str">
        <f>IFERROR(__xludf.DUMMYFUNCTION("""COMPUTED_VALUE"""),"University Visit")</f>
        <v>University Visit</v>
      </c>
      <c r="D89" s="49" t="str">
        <f>IFERROR(__xludf.DUMMYFUNCTION("""COMPUTED_VALUE"""),"Ms. Sivani
")</f>
        <v>Ms. Sivani
</v>
      </c>
      <c r="E89" s="49" t="str">
        <f>IFERROR(__xludf.DUMMYFUNCTION("""COMPUTED_VALUE"""),"Bangladesh")</f>
        <v>Bangladesh</v>
      </c>
      <c r="F89" s="49" t="str">
        <f>IFERROR(__xludf.DUMMYFUNCTION("""COMPUTED_VALUE"""),"Bangladesh")</f>
        <v>Bangladesh</v>
      </c>
      <c r="G89" s="49" t="str">
        <f>IFERROR(__xludf.DUMMYFUNCTION("""COMPUTED_VALUE"""),"Collaboration Discussion")</f>
        <v>Collaboration Discussion</v>
      </c>
      <c r="H89" s="49" t="str">
        <f>IFERROR(__xludf.DUMMYFUNCTION("""COMPUTED_VALUE"""),"International Affairs")</f>
        <v>International Affairs</v>
      </c>
      <c r="I89" s="49" t="str">
        <f>IFERROR(__xludf.DUMMYFUNCTION("""COMPUTED_VALUE"""),"Harohalli")</f>
        <v>Harohalli</v>
      </c>
      <c r="J89" s="49"/>
    </row>
    <row r="90">
      <c r="A90" s="47"/>
      <c r="B90" s="48">
        <f>IFERROR(__xludf.DUMMYFUNCTION("""COMPUTED_VALUE"""),45135.0)</f>
        <v>45135</v>
      </c>
      <c r="C90" s="47" t="str">
        <f>IFERROR(__xludf.DUMMYFUNCTION("""COMPUTED_VALUE"""),"University Visit")</f>
        <v>University Visit</v>
      </c>
      <c r="D90" s="49" t="str">
        <f>IFERROR(__xludf.DUMMYFUNCTION("""COMPUTED_VALUE"""),"Dr. Agnieszka , Head of Law Department,Staffordshire University
")</f>
        <v>Dr. Agnieszka , Head of Law Department,Staffordshire University
</v>
      </c>
      <c r="E90" s="49" t="str">
        <f>IFERROR(__xludf.DUMMYFUNCTION("""COMPUTED_VALUE""")," England")</f>
        <v> England</v>
      </c>
      <c r="F90" s="49" t="str">
        <f>IFERROR(__xludf.DUMMYFUNCTION("""COMPUTED_VALUE"""),"Staffordshire University")</f>
        <v>Staffordshire University</v>
      </c>
      <c r="G90" s="49" t="str">
        <f>IFERROR(__xludf.DUMMYFUNCTION("""COMPUTED_VALUE"""),"Collaboration Discussion")</f>
        <v>Collaboration Discussion</v>
      </c>
      <c r="H90" s="49" t="str">
        <f>IFERROR(__xludf.DUMMYFUNCTION("""COMPUTED_VALUE"""),"International Affairs")</f>
        <v>International Affairs</v>
      </c>
      <c r="I90" s="49" t="str">
        <f>IFERROR(__xludf.DUMMYFUNCTION("""COMPUTED_VALUE"""),"Kudlu gate")</f>
        <v>Kudlu gate</v>
      </c>
      <c r="J90" s="50" t="str">
        <f>IFERROR(__xludf.DUMMYFUNCTION("""COMPUTED_VALUE"""),"https://drive.google.com/open?id=1j3YPswQVTLNvbJVpJfiTe3wdCP5jVhbl")</f>
        <v>https://drive.google.com/open?id=1j3YPswQVTLNvbJVpJfiTe3wdCP5jVhbl</v>
      </c>
    </row>
    <row r="91">
      <c r="A91" s="47"/>
      <c r="B91" s="48">
        <f>IFERROR(__xludf.DUMMYFUNCTION("""COMPUTED_VALUE"""),45170.0)</f>
        <v>45170</v>
      </c>
      <c r="C91" s="47" t="str">
        <f>IFERROR(__xludf.DUMMYFUNCTION("""COMPUTED_VALUE"""),"University Visit")</f>
        <v>University Visit</v>
      </c>
      <c r="D91" s="49" t="str">
        <f>IFERROR(__xludf.DUMMYFUNCTION("""COMPUTED_VALUE"""),"Dr.Sandeep, Professor
")</f>
        <v>Dr.Sandeep, Professor
</v>
      </c>
      <c r="E91" s="49" t="str">
        <f>IFERROR(__xludf.DUMMYFUNCTION("""COMPUTED_VALUE"""),"United States")</f>
        <v>United States</v>
      </c>
      <c r="F91" s="49" t="str">
        <f>IFERROR(__xludf.DUMMYFUNCTION("""COMPUTED_VALUE"""),"Southern Methodist University")</f>
        <v>Southern Methodist University</v>
      </c>
      <c r="G91" s="49" t="str">
        <f>IFERROR(__xludf.DUMMYFUNCTION("""COMPUTED_VALUE"""),"Collaboration Discussion")</f>
        <v>Collaboration Discussion</v>
      </c>
      <c r="H91" s="49" t="str">
        <f>IFERROR(__xludf.DUMMYFUNCTION("""COMPUTED_VALUE"""),"International Affairs")</f>
        <v>International Affairs</v>
      </c>
      <c r="I91" s="49" t="str">
        <f>IFERROR(__xludf.DUMMYFUNCTION("""COMPUTED_VALUE"""),"Harohalli")</f>
        <v>Harohalli</v>
      </c>
      <c r="J91" s="49"/>
    </row>
    <row r="92">
      <c r="A92" s="47"/>
      <c r="B92" s="48">
        <f>IFERROR(__xludf.DUMMYFUNCTION("""COMPUTED_VALUE"""),45215.0)</f>
        <v>45215</v>
      </c>
      <c r="C92" s="47" t="str">
        <f>IFERROR(__xludf.DUMMYFUNCTION("""COMPUTED_VALUE"""),"University Visit")</f>
        <v>University Visit</v>
      </c>
      <c r="D92" s="49" t="str">
        <f>IFERROR(__xludf.DUMMYFUNCTION("""COMPUTED_VALUE"""),"Ms. Ikita Pokharna, Regional Engagement Representative 
")</f>
        <v>Ms. Ikita Pokharna, Regional Engagement Representative 
</v>
      </c>
      <c r="E92" s="49" t="str">
        <f>IFERROR(__xludf.DUMMYFUNCTION("""COMPUTED_VALUE"""),"Asia")</f>
        <v>Asia</v>
      </c>
      <c r="F92" s="49" t="str">
        <f>IFERROR(__xludf.DUMMYFUNCTION("""COMPUTED_VALUE""")," ACU, Aisa")</f>
        <v> ACU, Aisa</v>
      </c>
      <c r="G92" s="49" t="str">
        <f>IFERROR(__xludf.DUMMYFUNCTION("""COMPUTED_VALUE"""),"Collaboration Discussion")</f>
        <v>Collaboration Discussion</v>
      </c>
      <c r="H92" s="49" t="str">
        <f>IFERROR(__xludf.DUMMYFUNCTION("""COMPUTED_VALUE"""),"International Affairs")</f>
        <v>International Affairs</v>
      </c>
      <c r="I92" s="49" t="str">
        <f>IFERROR(__xludf.DUMMYFUNCTION("""COMPUTED_VALUE"""),"Harohalli")</f>
        <v>Harohalli</v>
      </c>
      <c r="J92" s="50" t="str">
        <f>IFERROR(__xludf.DUMMYFUNCTION("""COMPUTED_VALUE"""),"https://drive.google.com/open?id=1_sdO8h7Mbi8UoUnelGZeiEHkwTiHIhoD")</f>
        <v>https://drive.google.com/open?id=1_sdO8h7Mbi8UoUnelGZeiEHkwTiHIhoD</v>
      </c>
    </row>
    <row r="93">
      <c r="A93" s="47"/>
      <c r="B93" s="48">
        <f>IFERROR(__xludf.DUMMYFUNCTION("""COMPUTED_VALUE"""),45218.0)</f>
        <v>45218</v>
      </c>
      <c r="C93" s="47" t="str">
        <f>IFERROR(__xludf.DUMMYFUNCTION("""COMPUTED_VALUE"""),"University Visit")</f>
        <v>University Visit</v>
      </c>
      <c r="D93" s="49" t="str">
        <f>IFERROR(__xludf.DUMMYFUNCTION("""COMPUTED_VALUE"""),"Mr. Michael Bruke, Director of International Student Services, Center of Global Engagement,Mr. Anoop – Director, International partnership &amp; Collaborations, Dr. Shivanand Utlasar, President Unidemy Global
")</f>
        <v>Mr. Michael Bruke, Director of International Student Services, Center of Global Engagement,Mr. Anoop – Director, International partnership &amp; Collaborations, Dr. Shivanand Utlasar, President Unidemy Global
</v>
      </c>
      <c r="E93" s="49" t="str">
        <f>IFERROR(__xludf.DUMMYFUNCTION("""COMPUTED_VALUE"""),"United States")</f>
        <v>United States</v>
      </c>
      <c r="F93" s="49" t="str">
        <f>IFERROR(__xludf.DUMMYFUNCTION("""COMPUTED_VALUE"""),"Duquesne University")</f>
        <v>Duquesne University</v>
      </c>
      <c r="G93" s="49" t="str">
        <f>IFERROR(__xludf.DUMMYFUNCTION("""COMPUTED_VALUE"""),"Collaboration Discussion")</f>
        <v>Collaboration Discussion</v>
      </c>
      <c r="H93" s="49" t="str">
        <f>IFERROR(__xludf.DUMMYFUNCTION("""COMPUTED_VALUE"""),"International Affairs")</f>
        <v>International Affairs</v>
      </c>
      <c r="I93" s="49" t="str">
        <f>IFERROR(__xludf.DUMMYFUNCTION("""COMPUTED_VALUE"""),"Harohalli")</f>
        <v>Harohalli</v>
      </c>
      <c r="J93" s="50" t="str">
        <f>IFERROR(__xludf.DUMMYFUNCTION("""COMPUTED_VALUE"""),"https://drive.google.com/open?id=1vNTyQ-dSLN3Zvkdnh3_akExWq88BsF-N")</f>
        <v>https://drive.google.com/open?id=1vNTyQ-dSLN3Zvkdnh3_akExWq88BsF-N</v>
      </c>
    </row>
    <row r="94">
      <c r="A94" s="47"/>
      <c r="B94" s="48">
        <f>IFERROR(__xludf.DUMMYFUNCTION("""COMPUTED_VALUE"""),45227.0)</f>
        <v>45227</v>
      </c>
      <c r="C94" s="47" t="str">
        <f>IFERROR(__xludf.DUMMYFUNCTION("""COMPUTED_VALUE"""),"University Visit")</f>
        <v>University Visit</v>
      </c>
      <c r="D94" s="49" t="str">
        <f>IFERROR(__xludf.DUMMYFUNCTION("""COMPUTED_VALUE"""),"Ms Gabija Skucaite, Chancellor, SMK university of Applied science, Dr. Jitka Lidarikova, Vice-rector, ,Dr. Roman Spacil, Director, Moravska business school, Czech Republic
")</f>
        <v>Ms Gabija Skucaite, Chancellor, SMK university of Applied science, Dr. Jitka Lidarikova, Vice-rector, ,Dr. Roman Spacil, Director, Moravska business school, Czech Republic
</v>
      </c>
      <c r="E94" s="49" t="str">
        <f>IFERROR(__xludf.DUMMYFUNCTION("""COMPUTED_VALUE"""),"Czech Republic")</f>
        <v>Czech Republic</v>
      </c>
      <c r="F94" s="49" t="str">
        <f>IFERROR(__xludf.DUMMYFUNCTION("""COMPUTED_VALUE"""),"SMK university of Applied science, Kazimieras Simonavicius University,Lithuania, Moravska business school, Czech Republic")</f>
        <v>SMK university of Applied science, Kazimieras Simonavicius University,Lithuania, Moravska business school, Czech Republic</v>
      </c>
      <c r="G94" s="49" t="str">
        <f>IFERROR(__xludf.DUMMYFUNCTION("""COMPUTED_VALUE"""),"Collaboration Discussion")</f>
        <v>Collaboration Discussion</v>
      </c>
      <c r="H94" s="49" t="str">
        <f>IFERROR(__xludf.DUMMYFUNCTION("""COMPUTED_VALUE"""),"International Affairs")</f>
        <v>International Affairs</v>
      </c>
      <c r="I94" s="49" t="str">
        <f>IFERROR(__xludf.DUMMYFUNCTION("""COMPUTED_VALUE"""),"Harohalli")</f>
        <v>Harohalli</v>
      </c>
      <c r="J94" s="50" t="str">
        <f>IFERROR(__xludf.DUMMYFUNCTION("""COMPUTED_VALUE"""),"https://drive.google.com/open?id=1DSXAzk3rtN64v3WDkcKJ1mZP5t4gbi7R")</f>
        <v>https://drive.google.com/open?id=1DSXAzk3rtN64v3WDkcKJ1mZP5t4gbi7R</v>
      </c>
    </row>
    <row r="95">
      <c r="A95" s="47"/>
      <c r="B95" s="48">
        <f>IFERROR(__xludf.DUMMYFUNCTION("""COMPUTED_VALUE"""),45275.0)</f>
        <v>45275</v>
      </c>
      <c r="C95" s="47" t="str">
        <f>IFERROR(__xludf.DUMMYFUNCTION("""COMPUTED_VALUE"""),"University Visit")</f>
        <v>University Visit</v>
      </c>
      <c r="D95" s="49" t="str">
        <f>IFERROR(__xludf.DUMMYFUNCTION("""COMPUTED_VALUE"""),"Ms. Judith  &amp; Mr. marcus, project manager international recruitment
")</f>
        <v>Ms. Judith  &amp; Mr. marcus, project manager international recruitment
</v>
      </c>
      <c r="E95" s="49" t="str">
        <f>IFERROR(__xludf.DUMMYFUNCTION("""COMPUTED_VALUE"""),"Germany ")</f>
        <v>Germany </v>
      </c>
      <c r="F95" s="49" t="str">
        <f>IFERROR(__xludf.DUMMYFUNCTION("""COMPUTED_VALUE"""),"Recruiters from Germany ")</f>
        <v>Recruiters from Germany </v>
      </c>
      <c r="G95" s="49" t="str">
        <f>IFERROR(__xludf.DUMMYFUNCTION("""COMPUTED_VALUE"""),"Collaboration Discussion")</f>
        <v>Collaboration Discussion</v>
      </c>
      <c r="H95" s="49" t="str">
        <f>IFERROR(__xludf.DUMMYFUNCTION("""COMPUTED_VALUE"""),"International Affairs")</f>
        <v>International Affairs</v>
      </c>
      <c r="I95" s="49" t="str">
        <f>IFERROR(__xludf.DUMMYFUNCTION("""COMPUTED_VALUE"""),"Harohalli")</f>
        <v>Harohalli</v>
      </c>
      <c r="J95" s="49"/>
    </row>
    <row r="96">
      <c r="A96" s="47"/>
      <c r="B96" s="48">
        <f>IFERROR(__xludf.DUMMYFUNCTION("""COMPUTED_VALUE"""),45988.0)</f>
        <v>45988</v>
      </c>
      <c r="C96" s="47" t="str">
        <f>IFERROR(__xludf.DUMMYFUNCTION("""COMPUTED_VALUE"""),"Seminar")</f>
        <v>Seminar</v>
      </c>
      <c r="D96" s="49" t="str">
        <f>IFERROR(__xludf.DUMMYFUNCTION("""COMPUTED_VALUE"""),"Dr. Paul &amp; Ms. Christina, Professor at Birmingham Business School.
")</f>
        <v>Dr. Paul &amp; Ms. Christina, Professor at Birmingham Business School.
</v>
      </c>
      <c r="E96" s="49" t="str">
        <f>IFERROR(__xludf.DUMMYFUNCTION("""COMPUTED_VALUE"""),"UK")</f>
        <v>UK</v>
      </c>
      <c r="F96" s="49" t="str">
        <f>IFERROR(__xludf.DUMMYFUNCTION("""COMPUTED_VALUE"""),"Birmingham University")</f>
        <v>Birmingham University</v>
      </c>
      <c r="G96" s="49" t="str">
        <f>IFERROR(__xludf.DUMMYFUNCTION("""COMPUTED_VALUE"""),"Guest lecture to Law students")</f>
        <v>Guest lecture to Law students</v>
      </c>
      <c r="H96" s="49" t="str">
        <f>IFERROR(__xludf.DUMMYFUNCTION("""COMPUTED_VALUE"""),"School of Law")</f>
        <v>School of Law</v>
      </c>
      <c r="I96" s="49" t="str">
        <f>IFERROR(__xludf.DUMMYFUNCTION("""COMPUTED_VALUE"""),"Kudlu gate")</f>
        <v>Kudlu gate</v>
      </c>
      <c r="J96" s="50" t="str">
        <f>IFERROR(__xludf.DUMMYFUNCTION("""COMPUTED_VALUE"""),"https://drive.google.com/open?id=1iTePISlv9XWhdJ-ak8S_WPRajY0iJiGa")</f>
        <v>https://drive.google.com/open?id=1iTePISlv9XWhdJ-ak8S_WPRajY0iJiGa</v>
      </c>
    </row>
    <row r="97">
      <c r="A97" s="47"/>
      <c r="B97" s="48">
        <f>IFERROR(__xludf.DUMMYFUNCTION("""COMPUTED_VALUE"""),45989.0)</f>
        <v>45989</v>
      </c>
      <c r="C97" s="47" t="str">
        <f>IFERROR(__xludf.DUMMYFUNCTION("""COMPUTED_VALUE"""),"Seminar")</f>
        <v>Seminar</v>
      </c>
      <c r="D97" s="49" t="str">
        <f>IFERROR(__xludf.DUMMYFUNCTION("""COMPUTED_VALUE"""),"Dr. Ilaria, Prof. University of Leeds, UK")</f>
        <v>Dr. Ilaria, Prof. University of Leeds, UK</v>
      </c>
      <c r="E97" s="49" t="str">
        <f>IFERROR(__xludf.DUMMYFUNCTION("""COMPUTED_VALUE"""),"UK")</f>
        <v>UK</v>
      </c>
      <c r="F97" s="49" t="str">
        <f>IFERROR(__xludf.DUMMYFUNCTION("""COMPUTED_VALUE"""),"University of Leeds, UK")</f>
        <v>University of Leeds, UK</v>
      </c>
      <c r="G97" s="49" t="str">
        <f>IFERROR(__xludf.DUMMYFUNCTION("""COMPUTED_VALUE"""),"Guest lecture to students of School of Law")</f>
        <v>Guest lecture to students of School of Law</v>
      </c>
      <c r="H97" s="49" t="str">
        <f>IFERROR(__xludf.DUMMYFUNCTION("""COMPUTED_VALUE"""),"School of Law")</f>
        <v>School of Law</v>
      </c>
      <c r="I97" s="49" t="str">
        <f>IFERROR(__xludf.DUMMYFUNCTION("""COMPUTED_VALUE"""),"Kudlu gate")</f>
        <v>Kudlu gate</v>
      </c>
      <c r="J97" s="50" t="str">
        <f>IFERROR(__xludf.DUMMYFUNCTION("""COMPUTED_VALUE"""),"https://drive.google.com/open?id=1vC2vD2XulpVbprjvDlC33iNxEpg2Y54D")</f>
        <v>https://drive.google.com/open?id=1vC2vD2XulpVbprjvDlC33iNxEpg2Y54D</v>
      </c>
    </row>
    <row r="98">
      <c r="A98" s="47"/>
      <c r="B98" s="48">
        <f>IFERROR(__xludf.DUMMYFUNCTION("""COMPUTED_VALUE"""),46000.0)</f>
        <v>46000</v>
      </c>
      <c r="C98" s="47" t="str">
        <f>IFERROR(__xludf.DUMMYFUNCTION("""COMPUTED_VALUE"""),"Seminar")</f>
        <v>Seminar</v>
      </c>
      <c r="D98" s="49" t="str">
        <f>IFERROR(__xludf.DUMMYFUNCTION("""COMPUTED_VALUE"""),"Dr. Mukund Janardhan, Head of sustainable engineering and manufacturing")</f>
        <v>Dr. Mukund Janardhan, Head of sustainable engineering and manufacturing</v>
      </c>
      <c r="E98" s="49" t="str">
        <f>IFERROR(__xludf.DUMMYFUNCTION("""COMPUTED_VALUE"""),"UK")</f>
        <v>UK</v>
      </c>
      <c r="F98" s="49" t="str">
        <f>IFERROR(__xludf.DUMMYFUNCTION("""COMPUTED_VALUE"""),"University of Warwick")</f>
        <v>University of Warwick</v>
      </c>
      <c r="G98" s="49" t="str">
        <f>IFERROR(__xludf.DUMMYFUNCTION("""COMPUTED_VALUE"""),"
On 9th December 2025, we hosted Dr. Mukund Janardhan, Head of Sustainable Engineering and Manufacturing at the University of Warwick, UK. He delivered an engaging session for the School of Computer Applications students on the topic “Human–Robot Collabor"&amp;"ative Manufacturing Systems.” The session was highly interactive, and he explained to the students the importance of data, as well as the distinction between tasks performed by humans and robots.
Following the session, we had a meeting with him along wit"&amp;"h the Dean, School of Computer Applications. During this discussion, we briefed him on the ongoing initiatives at our university and shared the areas in which we seek his support for upcoming AI-related projects. He also expressed his willingness to deliv"&amp;"er an online lecture in January on a topic related to Artificial Intelligence.")</f>
        <v>
On 9th December 2025, we hosted Dr. Mukund Janardhan, Head of Sustainable Engineering and Manufacturing at the University of Warwick, UK. He delivered an engaging session for the School of Computer Applications students on the topic “Human–Robot Collaborative Manufacturing Systems.” The session was highly interactive, and he explained to the students the importance of data, as well as the distinction between tasks performed by humans and robots.
Following the session, we had a meeting with him along with the Dean, School of Computer Applications. During this discussion, we briefed him on the ongoing initiatives at our university and shared the areas in which we seek his support for upcoming AI-related projects. He also expressed his willingness to deliver an online lecture in January on a topic related to Artificial Intelligence.</v>
      </c>
      <c r="H98" s="49" t="str">
        <f>IFERROR(__xludf.DUMMYFUNCTION("""COMPUTED_VALUE"""),"School of Computer Application")</f>
        <v>School of Computer Application</v>
      </c>
      <c r="I98" s="49" t="str">
        <f>IFERROR(__xludf.DUMMYFUNCTION("""COMPUTED_VALUE"""),"Kudlu gate")</f>
        <v>Kudlu gate</v>
      </c>
      <c r="J98" s="50" t="str">
        <f>IFERROR(__xludf.DUMMYFUNCTION("""COMPUTED_VALUE"""),"https://drive.google.com/open?id=1SG8fFAjC4pyV3KMda3RktsP9brgsfvtN")</f>
        <v>https://drive.google.com/open?id=1SG8fFAjC4pyV3KMda3RktsP9brgsfvtN</v>
      </c>
    </row>
    <row r="99">
      <c r="A99" s="47"/>
      <c r="B99" s="48">
        <f>IFERROR(__xludf.DUMMYFUNCTION("""COMPUTED_VALUE"""),46003.0)</f>
        <v>46003</v>
      </c>
      <c r="C99" s="47" t="str">
        <f>IFERROR(__xludf.DUMMYFUNCTION("""COMPUTED_VALUE"""),"Seminar")</f>
        <v>Seminar</v>
      </c>
      <c r="D99" s="49" t="str">
        <f>IFERROR(__xludf.DUMMYFUNCTION("""COMPUTED_VALUE"""),"Dr. Sanobar Siddiqui, Assistant Professor")</f>
        <v>Dr. Sanobar Siddiqui, Assistant Professor</v>
      </c>
      <c r="E99" s="49" t="str">
        <f>IFERROR(__xludf.DUMMYFUNCTION("""COMPUTED_VALUE"""),"Canada")</f>
        <v>Canada</v>
      </c>
      <c r="F99" s="49" t="str">
        <f>IFERROR(__xludf.DUMMYFUNCTION("""COMPUTED_VALUE"""),"University of Regina")</f>
        <v>University of Regina</v>
      </c>
      <c r="G99" s="49" t="str">
        <f>IFERROR(__xludf.DUMMYFUNCTION("""COMPUTED_VALUE"""),"Today, we hosted Dr. Sanobar Siddiqui from the University of Regina, Canada, who conducted an insightful session for our research scholars on Accounting Education and Sustainability Measurement. She shared valuable insights into her research process, incl"&amp;"uding paper writing techniques, research tools, and publication methods.
The session was highly interactive, with scholars actively clarifying doubts about their ongoing research.
Post the session Dr. Siddiqui met with the Dean of Research to discuss po"&amp;"tential research collaborations, including joint projects and publications.")</f>
        <v>Today, we hosted Dr. Sanobar Siddiqui from the University of Regina, Canada, who conducted an insightful session for our research scholars on Accounting Education and Sustainability Measurement. She shared valuable insights into her research process, including paper writing techniques, research tools, and publication methods.
The session was highly interactive, with scholars actively clarifying doubts about their ongoing research.
Post the session Dr. Siddiqui met with the Dean of Research to discuss potential research collaborations, including joint projects and publications.</v>
      </c>
      <c r="H99" s="49" t="str">
        <f>IFERROR(__xludf.DUMMYFUNCTION("""COMPUTED_VALUE"""),"School of Management Studies- Scholars")</f>
        <v>School of Management Studies- Scholars</v>
      </c>
      <c r="I99" s="49" t="str">
        <f>IFERROR(__xludf.DUMMYFUNCTION("""COMPUTED_VALUE"""),"Kudlu gate")</f>
        <v>Kudlu gate</v>
      </c>
      <c r="J99" s="50" t="str">
        <f>IFERROR(__xludf.DUMMYFUNCTION("""COMPUTED_VALUE"""),"https://drive.google.com/open?id=17JTAeArzjWvVql6Bx4WfTwZfXzbsIA_0")</f>
        <v>https://drive.google.com/open?id=17JTAeArzjWvVql6Bx4WfTwZfXzbsIA_0</v>
      </c>
    </row>
    <row r="100">
      <c r="A100" s="47"/>
      <c r="B100" s="48">
        <f>IFERROR(__xludf.DUMMYFUNCTION("""COMPUTED_VALUE"""),46008.0)</f>
        <v>46008</v>
      </c>
      <c r="C100" s="47" t="str">
        <f>IFERROR(__xludf.DUMMYFUNCTION("""COMPUTED_VALUE"""),"University Visit")</f>
        <v>University Visit</v>
      </c>
      <c r="D100" s="49" t="str">
        <f>IFERROR(__xludf.DUMMYFUNCTION("""COMPUTED_VALUE"""),"Test")</f>
        <v>Test</v>
      </c>
      <c r="E100" s="49" t="str">
        <f>IFERROR(__xludf.DUMMYFUNCTION("""COMPUTED_VALUE"""),"Test")</f>
        <v>Test</v>
      </c>
      <c r="F100" s="49" t="str">
        <f>IFERROR(__xludf.DUMMYFUNCTION("""COMPUTED_VALUE"""),"Test")</f>
        <v>Test</v>
      </c>
      <c r="G100" s="49" t="str">
        <f>IFERROR(__xludf.DUMMYFUNCTION("""COMPUTED_VALUE"""),"Test")</f>
        <v>Test</v>
      </c>
      <c r="H100" s="49" t="str">
        <f>IFERROR(__xludf.DUMMYFUNCTION("""COMPUTED_VALUE"""),"Test")</f>
        <v>Test</v>
      </c>
      <c r="I100" s="49" t="str">
        <f>IFERROR(__xludf.DUMMYFUNCTION("""COMPUTED_VALUE"""),"Kudlu gate")</f>
        <v>Kudlu gate</v>
      </c>
      <c r="J100" s="49"/>
    </row>
    <row r="101">
      <c r="A101" s="47"/>
      <c r="B101" s="48">
        <f>IFERROR(__xludf.DUMMYFUNCTION("""COMPUTED_VALUE"""),46011.0)</f>
        <v>46011</v>
      </c>
      <c r="C101" s="47" t="str">
        <f>IFERROR(__xludf.DUMMYFUNCTION("""COMPUTED_VALUE"""),"University Visit")</f>
        <v>University Visit</v>
      </c>
      <c r="D101" s="49" t="str">
        <f>IFERROR(__xludf.DUMMYFUNCTION("""COMPUTED_VALUE"""),"Test")</f>
        <v>Test</v>
      </c>
      <c r="E101" s="49" t="str">
        <f>IFERROR(__xludf.DUMMYFUNCTION("""COMPUTED_VALUE"""),"Test")</f>
        <v>Test</v>
      </c>
      <c r="F101" s="49" t="str">
        <f>IFERROR(__xludf.DUMMYFUNCTION("""COMPUTED_VALUE"""),"Test")</f>
        <v>Test</v>
      </c>
      <c r="G101" s="49" t="str">
        <f>IFERROR(__xludf.DUMMYFUNCTION("""COMPUTED_VALUE"""),"Test")</f>
        <v>Test</v>
      </c>
      <c r="H101" s="49" t="str">
        <f>IFERROR(__xludf.DUMMYFUNCTION("""COMPUTED_VALUE"""),"Test")</f>
        <v>Test</v>
      </c>
      <c r="I101" s="49" t="str">
        <f>IFERROR(__xludf.DUMMYFUNCTION("""COMPUTED_VALUE"""),"Kudlu gate")</f>
        <v>Kudlu gate</v>
      </c>
      <c r="J101" s="49"/>
    </row>
    <row r="102">
      <c r="A102" s="47"/>
      <c r="B102" s="47"/>
      <c r="C102" s="47"/>
      <c r="D102" s="49"/>
      <c r="E102" s="49"/>
      <c r="F102" s="49"/>
      <c r="G102" s="49"/>
      <c r="H102" s="49"/>
      <c r="I102" s="49"/>
      <c r="J102" s="49"/>
    </row>
    <row r="103">
      <c r="A103" s="47"/>
      <c r="B103" s="47"/>
      <c r="C103" s="47"/>
      <c r="D103" s="49"/>
      <c r="E103" s="49"/>
      <c r="F103" s="49"/>
      <c r="G103" s="49"/>
      <c r="H103" s="49"/>
      <c r="I103" s="49"/>
      <c r="J103" s="49"/>
    </row>
    <row r="104">
      <c r="A104" s="47"/>
      <c r="B104" s="47"/>
      <c r="C104" s="47"/>
      <c r="D104" s="49"/>
      <c r="E104" s="49"/>
      <c r="F104" s="49"/>
      <c r="G104" s="49"/>
      <c r="H104" s="49"/>
      <c r="I104" s="49"/>
      <c r="J104" s="49"/>
    </row>
    <row r="105">
      <c r="A105" s="47"/>
      <c r="B105" s="47"/>
      <c r="C105" s="47"/>
      <c r="D105" s="49"/>
      <c r="E105" s="49"/>
      <c r="F105" s="49"/>
      <c r="G105" s="49"/>
      <c r="H105" s="49"/>
      <c r="I105" s="49"/>
      <c r="J105" s="49"/>
    </row>
    <row r="106">
      <c r="A106" s="47"/>
      <c r="B106" s="47"/>
      <c r="C106" s="47"/>
      <c r="D106" s="49"/>
      <c r="E106" s="49"/>
      <c r="F106" s="49"/>
      <c r="G106" s="49"/>
      <c r="H106" s="49"/>
      <c r="I106" s="49"/>
      <c r="J106" s="49"/>
    </row>
    <row r="107">
      <c r="A107" s="47"/>
      <c r="B107" s="47"/>
      <c r="C107" s="47"/>
      <c r="D107" s="49"/>
      <c r="E107" s="49"/>
      <c r="F107" s="49"/>
      <c r="G107" s="49"/>
      <c r="H107" s="49"/>
      <c r="I107" s="49"/>
      <c r="J107" s="49"/>
    </row>
    <row r="108">
      <c r="A108" s="47"/>
      <c r="B108" s="47"/>
      <c r="C108" s="47"/>
      <c r="D108" s="49"/>
      <c r="E108" s="49"/>
      <c r="F108" s="49"/>
      <c r="G108" s="49"/>
      <c r="H108" s="49"/>
      <c r="I108" s="49"/>
      <c r="J108" s="49"/>
    </row>
    <row r="109">
      <c r="A109" s="47"/>
      <c r="B109" s="47"/>
      <c r="C109" s="47"/>
      <c r="D109" s="49"/>
      <c r="E109" s="49"/>
      <c r="F109" s="49"/>
      <c r="G109" s="49"/>
      <c r="H109" s="49"/>
      <c r="I109" s="49"/>
      <c r="J109" s="49"/>
    </row>
    <row r="110">
      <c r="A110" s="47"/>
      <c r="B110" s="47"/>
      <c r="C110" s="47"/>
      <c r="D110" s="49"/>
      <c r="E110" s="49"/>
      <c r="F110" s="49"/>
      <c r="G110" s="49"/>
      <c r="H110" s="49"/>
      <c r="I110" s="49"/>
      <c r="J110" s="49"/>
    </row>
    <row r="111">
      <c r="A111" s="47"/>
      <c r="B111" s="47"/>
      <c r="C111" s="47"/>
      <c r="D111" s="49"/>
      <c r="E111" s="49"/>
      <c r="F111" s="49"/>
      <c r="G111" s="49"/>
      <c r="H111" s="49"/>
      <c r="I111" s="49"/>
      <c r="J111" s="49"/>
    </row>
    <row r="112">
      <c r="A112" s="47"/>
      <c r="B112" s="47"/>
      <c r="C112" s="47"/>
      <c r="D112" s="49"/>
      <c r="E112" s="49"/>
      <c r="F112" s="49"/>
      <c r="G112" s="49"/>
      <c r="H112" s="49"/>
      <c r="I112" s="49"/>
      <c r="J112" s="49"/>
    </row>
    <row r="113">
      <c r="A113" s="47"/>
      <c r="B113" s="47"/>
      <c r="C113" s="47"/>
      <c r="D113" s="49"/>
      <c r="E113" s="49"/>
      <c r="F113" s="49"/>
      <c r="G113" s="49"/>
      <c r="H113" s="49"/>
      <c r="I113" s="49"/>
      <c r="J113" s="49"/>
    </row>
    <row r="114">
      <c r="A114" s="47"/>
      <c r="B114" s="47"/>
      <c r="C114" s="47"/>
      <c r="D114" s="49"/>
      <c r="E114" s="49"/>
      <c r="F114" s="49"/>
      <c r="G114" s="49"/>
      <c r="H114" s="49"/>
      <c r="I114" s="49"/>
      <c r="J114" s="49"/>
    </row>
    <row r="115">
      <c r="A115" s="47"/>
      <c r="B115" s="47"/>
      <c r="C115" s="47"/>
      <c r="D115" s="49"/>
      <c r="E115" s="49"/>
      <c r="F115" s="49"/>
      <c r="G115" s="49"/>
      <c r="H115" s="49"/>
      <c r="I115" s="49"/>
      <c r="J115" s="49"/>
    </row>
    <row r="116">
      <c r="A116" s="47"/>
      <c r="B116" s="47"/>
      <c r="C116" s="47"/>
      <c r="D116" s="49"/>
      <c r="E116" s="49"/>
      <c r="F116" s="49"/>
      <c r="G116" s="49"/>
      <c r="H116" s="49"/>
      <c r="I116" s="49"/>
      <c r="J116" s="49"/>
    </row>
    <row r="117">
      <c r="A117" s="47"/>
      <c r="B117" s="47"/>
      <c r="C117" s="47"/>
      <c r="D117" s="49"/>
      <c r="E117" s="49"/>
      <c r="F117" s="49"/>
      <c r="G117" s="49"/>
      <c r="H117" s="49"/>
      <c r="I117" s="49"/>
      <c r="J117" s="49"/>
    </row>
    <row r="118">
      <c r="A118" s="47"/>
      <c r="B118" s="47"/>
      <c r="C118" s="47"/>
      <c r="D118" s="49"/>
      <c r="E118" s="49"/>
      <c r="F118" s="49"/>
      <c r="G118" s="49"/>
      <c r="H118" s="49"/>
      <c r="I118" s="49"/>
      <c r="J118" s="49"/>
    </row>
    <row r="119">
      <c r="A119" s="47"/>
      <c r="B119" s="47"/>
      <c r="C119" s="47"/>
      <c r="D119" s="49"/>
      <c r="E119" s="49"/>
      <c r="F119" s="49"/>
      <c r="G119" s="49"/>
      <c r="H119" s="49"/>
      <c r="I119" s="49"/>
      <c r="J119" s="49"/>
    </row>
    <row r="120">
      <c r="A120" s="47"/>
      <c r="B120" s="47"/>
      <c r="C120" s="47"/>
      <c r="D120" s="49"/>
      <c r="E120" s="49"/>
      <c r="F120" s="49"/>
      <c r="G120" s="49"/>
      <c r="H120" s="49"/>
      <c r="I120" s="49"/>
      <c r="J120" s="49"/>
    </row>
    <row r="121">
      <c r="A121" s="47"/>
      <c r="B121" s="47"/>
      <c r="C121" s="47"/>
      <c r="D121" s="49"/>
      <c r="E121" s="49"/>
      <c r="F121" s="49"/>
      <c r="G121" s="49"/>
      <c r="H121" s="49"/>
      <c r="I121" s="49"/>
      <c r="J121" s="49"/>
    </row>
    <row r="122">
      <c r="A122" s="47"/>
      <c r="B122" s="47"/>
      <c r="C122" s="47"/>
      <c r="D122" s="49"/>
      <c r="E122" s="49"/>
      <c r="F122" s="49"/>
      <c r="G122" s="49"/>
      <c r="H122" s="49"/>
      <c r="I122" s="49"/>
      <c r="J122" s="49"/>
    </row>
    <row r="123">
      <c r="A123" s="47"/>
      <c r="B123" s="47"/>
      <c r="C123" s="47"/>
      <c r="D123" s="49"/>
      <c r="E123" s="49"/>
      <c r="F123" s="49"/>
      <c r="G123" s="49"/>
      <c r="H123" s="49"/>
      <c r="I123" s="49"/>
      <c r="J123" s="49"/>
    </row>
    <row r="124">
      <c r="A124" s="47"/>
      <c r="B124" s="47"/>
      <c r="C124" s="47"/>
      <c r="D124" s="49"/>
      <c r="E124" s="49"/>
      <c r="F124" s="49"/>
      <c r="G124" s="49"/>
      <c r="H124" s="49"/>
      <c r="I124" s="49"/>
      <c r="J124" s="49"/>
    </row>
    <row r="125">
      <c r="A125" s="47"/>
      <c r="B125" s="47"/>
      <c r="C125" s="47"/>
      <c r="D125" s="49"/>
      <c r="E125" s="49"/>
      <c r="F125" s="49"/>
      <c r="G125" s="49"/>
      <c r="H125" s="49"/>
      <c r="I125" s="49"/>
      <c r="J125" s="49"/>
    </row>
    <row r="126">
      <c r="A126" s="47"/>
      <c r="B126" s="47"/>
      <c r="C126" s="47"/>
      <c r="D126" s="49"/>
      <c r="E126" s="49"/>
      <c r="F126" s="49"/>
      <c r="G126" s="49"/>
      <c r="H126" s="49"/>
      <c r="I126" s="49"/>
      <c r="J126" s="49"/>
    </row>
    <row r="127">
      <c r="A127" s="47"/>
      <c r="B127" s="47"/>
      <c r="C127" s="47"/>
      <c r="D127" s="49"/>
      <c r="E127" s="49"/>
      <c r="F127" s="49"/>
      <c r="G127" s="49"/>
      <c r="H127" s="49"/>
      <c r="I127" s="49"/>
      <c r="J127" s="49"/>
    </row>
    <row r="128">
      <c r="A128" s="47"/>
      <c r="B128" s="47"/>
      <c r="C128" s="47"/>
      <c r="D128" s="49"/>
      <c r="E128" s="49"/>
      <c r="F128" s="49"/>
      <c r="G128" s="49"/>
      <c r="H128" s="49"/>
      <c r="I128" s="49"/>
      <c r="J128" s="49"/>
    </row>
    <row r="129">
      <c r="A129" s="47"/>
      <c r="B129" s="47"/>
      <c r="C129" s="47"/>
      <c r="D129" s="49"/>
      <c r="E129" s="49"/>
      <c r="F129" s="49"/>
      <c r="G129" s="49"/>
      <c r="H129" s="49"/>
      <c r="I129" s="49"/>
      <c r="J129" s="49"/>
    </row>
    <row r="130">
      <c r="A130" s="47"/>
      <c r="B130" s="47"/>
      <c r="C130" s="47"/>
      <c r="D130" s="49"/>
      <c r="E130" s="49"/>
      <c r="F130" s="49"/>
      <c r="G130" s="49"/>
      <c r="H130" s="49"/>
      <c r="I130" s="49"/>
      <c r="J130" s="49"/>
    </row>
    <row r="131">
      <c r="A131" s="47"/>
      <c r="B131" s="47"/>
      <c r="C131" s="47"/>
      <c r="D131" s="49"/>
      <c r="E131" s="49"/>
      <c r="F131" s="49"/>
      <c r="G131" s="49"/>
      <c r="H131" s="49"/>
      <c r="I131" s="49"/>
      <c r="J131" s="49"/>
    </row>
    <row r="132">
      <c r="A132" s="47"/>
      <c r="B132" s="47"/>
      <c r="C132" s="47"/>
      <c r="D132" s="49"/>
      <c r="E132" s="49"/>
      <c r="F132" s="49"/>
      <c r="G132" s="49"/>
      <c r="H132" s="49"/>
      <c r="I132" s="49"/>
      <c r="J132" s="49"/>
    </row>
    <row r="133">
      <c r="A133" s="47"/>
      <c r="B133" s="47"/>
      <c r="C133" s="47"/>
      <c r="D133" s="49"/>
      <c r="E133" s="49"/>
      <c r="F133" s="49"/>
      <c r="G133" s="49"/>
      <c r="H133" s="49"/>
      <c r="I133" s="49"/>
      <c r="J133" s="49"/>
    </row>
    <row r="134">
      <c r="A134" s="47"/>
      <c r="B134" s="47"/>
      <c r="C134" s="47"/>
      <c r="D134" s="49"/>
      <c r="E134" s="49"/>
      <c r="F134" s="49"/>
      <c r="G134" s="49"/>
      <c r="H134" s="49"/>
      <c r="I134" s="49"/>
      <c r="J134" s="49"/>
    </row>
    <row r="135">
      <c r="A135" s="47"/>
      <c r="B135" s="47"/>
      <c r="C135" s="47"/>
      <c r="D135" s="49"/>
      <c r="E135" s="49"/>
      <c r="F135" s="49"/>
      <c r="G135" s="49"/>
      <c r="H135" s="49"/>
      <c r="I135" s="49"/>
      <c r="J135" s="49"/>
    </row>
    <row r="136">
      <c r="A136" s="47"/>
      <c r="B136" s="47"/>
      <c r="C136" s="47"/>
      <c r="D136" s="49"/>
      <c r="E136" s="49"/>
      <c r="F136" s="49"/>
      <c r="G136" s="49"/>
      <c r="H136" s="49"/>
      <c r="I136" s="49"/>
      <c r="J136" s="49"/>
    </row>
    <row r="137">
      <c r="A137" s="47"/>
      <c r="B137" s="47"/>
      <c r="C137" s="47"/>
      <c r="D137" s="49"/>
      <c r="E137" s="49"/>
      <c r="F137" s="49"/>
      <c r="G137" s="49"/>
      <c r="H137" s="49"/>
      <c r="I137" s="49"/>
      <c r="J137" s="49"/>
    </row>
    <row r="138">
      <c r="A138" s="47"/>
      <c r="B138" s="47"/>
      <c r="C138" s="47"/>
      <c r="D138" s="49"/>
      <c r="E138" s="49"/>
      <c r="F138" s="49"/>
      <c r="G138" s="49"/>
      <c r="H138" s="49"/>
      <c r="I138" s="49"/>
      <c r="J138" s="49"/>
    </row>
    <row r="139">
      <c r="A139" s="47"/>
      <c r="B139" s="47"/>
      <c r="C139" s="47"/>
      <c r="D139" s="49"/>
      <c r="E139" s="49"/>
      <c r="F139" s="49"/>
      <c r="G139" s="49"/>
      <c r="H139" s="49"/>
      <c r="I139" s="49"/>
      <c r="J139" s="49"/>
    </row>
    <row r="140">
      <c r="A140" s="47"/>
      <c r="B140" s="47"/>
      <c r="C140" s="47"/>
      <c r="D140" s="49"/>
      <c r="E140" s="49"/>
      <c r="F140" s="49"/>
      <c r="G140" s="49"/>
      <c r="H140" s="49"/>
      <c r="I140" s="49"/>
      <c r="J140" s="49"/>
    </row>
    <row r="141">
      <c r="A141" s="47"/>
      <c r="B141" s="47"/>
      <c r="C141" s="47"/>
      <c r="D141" s="49"/>
      <c r="E141" s="49"/>
      <c r="F141" s="49"/>
      <c r="G141" s="49"/>
      <c r="H141" s="49"/>
      <c r="I141" s="49"/>
      <c r="J141" s="49"/>
    </row>
    <row r="142">
      <c r="A142" s="47"/>
      <c r="B142" s="47"/>
      <c r="C142" s="47"/>
      <c r="D142" s="49"/>
      <c r="E142" s="49"/>
      <c r="F142" s="49"/>
      <c r="G142" s="49"/>
      <c r="H142" s="49"/>
      <c r="I142" s="49"/>
      <c r="J142" s="49"/>
    </row>
    <row r="143">
      <c r="A143" s="47"/>
      <c r="B143" s="47"/>
      <c r="C143" s="47"/>
      <c r="D143" s="49"/>
      <c r="E143" s="49"/>
      <c r="F143" s="49"/>
      <c r="G143" s="49"/>
      <c r="H143" s="49"/>
      <c r="I143" s="49"/>
      <c r="J143" s="49"/>
    </row>
    <row r="144">
      <c r="A144" s="47"/>
      <c r="B144" s="47"/>
      <c r="C144" s="47"/>
      <c r="D144" s="49"/>
      <c r="E144" s="49"/>
      <c r="F144" s="49"/>
      <c r="G144" s="49"/>
      <c r="H144" s="49"/>
      <c r="I144" s="49"/>
      <c r="J144" s="49"/>
    </row>
    <row r="145">
      <c r="A145" s="47"/>
      <c r="B145" s="47"/>
      <c r="C145" s="47"/>
      <c r="D145" s="49"/>
      <c r="E145" s="49"/>
      <c r="F145" s="49"/>
      <c r="G145" s="49"/>
      <c r="H145" s="49"/>
      <c r="I145" s="49"/>
      <c r="J145" s="49"/>
    </row>
    <row r="146">
      <c r="A146" s="47"/>
      <c r="B146" s="47"/>
      <c r="C146" s="47"/>
      <c r="D146" s="49"/>
      <c r="E146" s="49"/>
      <c r="F146" s="49"/>
      <c r="G146" s="49"/>
      <c r="H146" s="49"/>
      <c r="I146" s="49"/>
      <c r="J146" s="49"/>
    </row>
    <row r="147">
      <c r="A147" s="47"/>
      <c r="B147" s="47"/>
      <c r="C147" s="47"/>
      <c r="D147" s="49"/>
      <c r="E147" s="49"/>
      <c r="F147" s="49"/>
      <c r="G147" s="49"/>
      <c r="H147" s="49"/>
      <c r="I147" s="49"/>
      <c r="J147" s="49"/>
    </row>
    <row r="148">
      <c r="A148" s="47"/>
      <c r="B148" s="47"/>
      <c r="C148" s="47"/>
      <c r="D148" s="49"/>
      <c r="E148" s="49"/>
      <c r="F148" s="49"/>
      <c r="G148" s="49"/>
      <c r="H148" s="49"/>
      <c r="I148" s="49"/>
      <c r="J148" s="49"/>
    </row>
    <row r="149">
      <c r="A149" s="47"/>
      <c r="B149" s="47"/>
      <c r="C149" s="47"/>
      <c r="D149" s="49"/>
      <c r="E149" s="49"/>
      <c r="F149" s="49"/>
      <c r="G149" s="49"/>
      <c r="H149" s="49"/>
      <c r="I149" s="49"/>
      <c r="J149" s="49"/>
    </row>
    <row r="150">
      <c r="A150" s="47"/>
      <c r="B150" s="47"/>
      <c r="C150" s="47"/>
      <c r="D150" s="49"/>
      <c r="E150" s="49"/>
      <c r="F150" s="49"/>
      <c r="G150" s="49"/>
      <c r="H150" s="49"/>
      <c r="I150" s="49"/>
      <c r="J150" s="49"/>
    </row>
    <row r="151">
      <c r="A151" s="47"/>
      <c r="B151" s="47"/>
      <c r="C151" s="47"/>
      <c r="D151" s="49"/>
      <c r="E151" s="49"/>
      <c r="F151" s="49"/>
      <c r="G151" s="49"/>
      <c r="H151" s="49"/>
      <c r="I151" s="49"/>
      <c r="J151" s="49"/>
    </row>
    <row r="152">
      <c r="A152" s="47"/>
      <c r="B152" s="47"/>
      <c r="C152" s="47"/>
      <c r="D152" s="49"/>
      <c r="E152" s="49"/>
      <c r="F152" s="49"/>
      <c r="G152" s="49"/>
      <c r="H152" s="49"/>
      <c r="I152" s="49"/>
      <c r="J152" s="49"/>
    </row>
    <row r="153">
      <c r="A153" s="47"/>
      <c r="B153" s="47"/>
      <c r="C153" s="47"/>
      <c r="D153" s="49"/>
      <c r="E153" s="49"/>
      <c r="F153" s="49"/>
      <c r="G153" s="49"/>
      <c r="H153" s="49"/>
      <c r="I153" s="49"/>
      <c r="J153" s="49"/>
    </row>
    <row r="154">
      <c r="A154" s="47"/>
      <c r="B154" s="47"/>
      <c r="C154" s="47"/>
      <c r="D154" s="49"/>
      <c r="E154" s="49"/>
      <c r="F154" s="49"/>
      <c r="G154" s="49"/>
      <c r="H154" s="49"/>
      <c r="I154" s="49"/>
      <c r="J154" s="49"/>
    </row>
    <row r="155">
      <c r="A155" s="47"/>
      <c r="B155" s="47"/>
      <c r="C155" s="47"/>
      <c r="D155" s="49"/>
      <c r="E155" s="49"/>
      <c r="F155" s="49"/>
      <c r="G155" s="49"/>
      <c r="H155" s="49"/>
      <c r="I155" s="49"/>
      <c r="J155" s="49"/>
    </row>
    <row r="156">
      <c r="A156" s="47"/>
      <c r="B156" s="47"/>
      <c r="C156" s="47"/>
      <c r="D156" s="49"/>
      <c r="E156" s="49"/>
      <c r="F156" s="49"/>
      <c r="G156" s="49"/>
      <c r="H156" s="49"/>
      <c r="I156" s="49"/>
      <c r="J156" s="49"/>
    </row>
    <row r="157">
      <c r="A157" s="47"/>
      <c r="B157" s="47"/>
      <c r="C157" s="47"/>
      <c r="D157" s="49"/>
      <c r="E157" s="49"/>
      <c r="F157" s="49"/>
      <c r="G157" s="49"/>
      <c r="H157" s="49"/>
      <c r="I157" s="49"/>
      <c r="J157" s="49"/>
    </row>
    <row r="158">
      <c r="A158" s="47"/>
      <c r="B158" s="47"/>
      <c r="C158" s="47"/>
      <c r="D158" s="49"/>
      <c r="E158" s="49"/>
      <c r="F158" s="49"/>
      <c r="G158" s="49"/>
      <c r="H158" s="49"/>
      <c r="I158" s="49"/>
      <c r="J158" s="49"/>
    </row>
    <row r="159">
      <c r="A159" s="47"/>
      <c r="B159" s="47"/>
      <c r="C159" s="47"/>
      <c r="D159" s="49"/>
      <c r="E159" s="49"/>
      <c r="F159" s="49"/>
      <c r="G159" s="49"/>
      <c r="H159" s="49"/>
      <c r="I159" s="49"/>
      <c r="J159" s="49"/>
    </row>
    <row r="160">
      <c r="A160" s="47"/>
      <c r="B160" s="47"/>
      <c r="C160" s="47"/>
      <c r="D160" s="49"/>
      <c r="E160" s="49"/>
      <c r="F160" s="49"/>
      <c r="G160" s="49"/>
      <c r="H160" s="49"/>
      <c r="I160" s="49"/>
      <c r="J160" s="49"/>
    </row>
    <row r="161">
      <c r="A161" s="47"/>
      <c r="B161" s="47"/>
      <c r="C161" s="47"/>
      <c r="D161" s="49"/>
      <c r="E161" s="49"/>
      <c r="F161" s="49"/>
      <c r="G161" s="49"/>
      <c r="H161" s="49"/>
      <c r="I161" s="49"/>
      <c r="J161" s="49"/>
    </row>
    <row r="162">
      <c r="A162" s="47"/>
      <c r="B162" s="47"/>
      <c r="C162" s="47"/>
      <c r="D162" s="49"/>
      <c r="E162" s="49"/>
      <c r="F162" s="49"/>
      <c r="G162" s="49"/>
      <c r="H162" s="49"/>
      <c r="I162" s="49"/>
      <c r="J162" s="49"/>
    </row>
    <row r="163">
      <c r="A163" s="47"/>
      <c r="B163" s="47"/>
      <c r="C163" s="47"/>
      <c r="D163" s="49"/>
      <c r="E163" s="49"/>
      <c r="F163" s="49"/>
      <c r="G163" s="49"/>
      <c r="H163" s="49"/>
      <c r="I163" s="49"/>
      <c r="J163" s="49"/>
    </row>
    <row r="164">
      <c r="A164" s="47"/>
      <c r="B164" s="47"/>
      <c r="C164" s="47"/>
      <c r="D164" s="49"/>
      <c r="E164" s="49"/>
      <c r="F164" s="49"/>
      <c r="G164" s="49"/>
      <c r="H164" s="49"/>
      <c r="I164" s="49"/>
      <c r="J164" s="49"/>
    </row>
    <row r="165">
      <c r="A165" s="47"/>
      <c r="B165" s="47"/>
      <c r="C165" s="47"/>
      <c r="D165" s="49"/>
      <c r="E165" s="49"/>
      <c r="F165" s="49"/>
      <c r="G165" s="49"/>
      <c r="H165" s="49"/>
      <c r="I165" s="49"/>
      <c r="J165" s="49"/>
    </row>
    <row r="166">
      <c r="A166" s="47"/>
      <c r="B166" s="47"/>
      <c r="C166" s="47"/>
      <c r="D166" s="49"/>
      <c r="E166" s="49"/>
      <c r="F166" s="49"/>
      <c r="G166" s="49"/>
      <c r="H166" s="49"/>
      <c r="I166" s="49"/>
      <c r="J166" s="49"/>
    </row>
    <row r="167">
      <c r="A167" s="47"/>
      <c r="B167" s="47"/>
      <c r="C167" s="47"/>
      <c r="D167" s="49"/>
      <c r="E167" s="49"/>
      <c r="F167" s="49"/>
      <c r="G167" s="49"/>
      <c r="H167" s="49"/>
      <c r="I167" s="49"/>
      <c r="J167" s="49"/>
    </row>
    <row r="168">
      <c r="A168" s="47"/>
      <c r="B168" s="47"/>
      <c r="C168" s="47"/>
      <c r="D168" s="49"/>
      <c r="E168" s="49"/>
      <c r="F168" s="49"/>
      <c r="G168" s="49"/>
      <c r="H168" s="49"/>
      <c r="I168" s="49"/>
      <c r="J168" s="49"/>
    </row>
    <row r="169">
      <c r="A169" s="47"/>
      <c r="B169" s="47"/>
      <c r="C169" s="47"/>
      <c r="D169" s="49"/>
      <c r="E169" s="49"/>
      <c r="F169" s="49"/>
      <c r="G169" s="49"/>
      <c r="H169" s="49"/>
      <c r="I169" s="49"/>
      <c r="J169" s="49"/>
    </row>
    <row r="170">
      <c r="A170" s="47"/>
      <c r="B170" s="47"/>
      <c r="C170" s="47"/>
      <c r="D170" s="49"/>
      <c r="E170" s="49"/>
      <c r="F170" s="49"/>
      <c r="G170" s="49"/>
      <c r="H170" s="49"/>
      <c r="I170" s="49"/>
      <c r="J170" s="49"/>
    </row>
    <row r="171">
      <c r="A171" s="47"/>
      <c r="B171" s="47"/>
      <c r="C171" s="47"/>
      <c r="D171" s="49"/>
      <c r="E171" s="49"/>
      <c r="F171" s="49"/>
      <c r="G171" s="49"/>
      <c r="H171" s="49"/>
      <c r="I171" s="49"/>
      <c r="J171" s="49"/>
    </row>
    <row r="172">
      <c r="A172" s="47"/>
      <c r="B172" s="47"/>
      <c r="C172" s="47"/>
      <c r="D172" s="49"/>
      <c r="E172" s="49"/>
      <c r="F172" s="49"/>
      <c r="G172" s="49"/>
      <c r="H172" s="49"/>
      <c r="I172" s="49"/>
      <c r="J172" s="49"/>
    </row>
    <row r="173">
      <c r="A173" s="47"/>
      <c r="B173" s="47"/>
      <c r="C173" s="47"/>
      <c r="D173" s="49"/>
      <c r="E173" s="49"/>
      <c r="F173" s="49"/>
      <c r="G173" s="49"/>
      <c r="H173" s="49"/>
      <c r="I173" s="49"/>
      <c r="J173" s="49"/>
    </row>
    <row r="174">
      <c r="A174" s="47"/>
      <c r="B174" s="47"/>
      <c r="C174" s="47"/>
      <c r="D174" s="49"/>
      <c r="E174" s="49"/>
      <c r="F174" s="49"/>
      <c r="G174" s="49"/>
      <c r="H174" s="49"/>
      <c r="I174" s="49"/>
      <c r="J174" s="49"/>
    </row>
    <row r="175">
      <c r="A175" s="47"/>
      <c r="B175" s="47"/>
      <c r="C175" s="47"/>
      <c r="D175" s="49"/>
      <c r="E175" s="49"/>
      <c r="F175" s="49"/>
      <c r="G175" s="49"/>
      <c r="H175" s="49"/>
      <c r="I175" s="49"/>
      <c r="J175" s="49"/>
    </row>
    <row r="176">
      <c r="A176" s="47"/>
      <c r="B176" s="47"/>
      <c r="C176" s="47"/>
      <c r="D176" s="49"/>
      <c r="E176" s="49"/>
      <c r="F176" s="49"/>
      <c r="G176" s="49"/>
      <c r="H176" s="49"/>
      <c r="I176" s="49"/>
      <c r="J176" s="49"/>
    </row>
    <row r="177">
      <c r="A177" s="47"/>
      <c r="B177" s="47"/>
      <c r="C177" s="47"/>
      <c r="D177" s="49"/>
      <c r="E177" s="49"/>
      <c r="F177" s="49"/>
      <c r="G177" s="49"/>
      <c r="H177" s="49"/>
      <c r="I177" s="49"/>
      <c r="J177" s="49"/>
    </row>
    <row r="178">
      <c r="A178" s="47"/>
      <c r="B178" s="47"/>
      <c r="C178" s="47"/>
      <c r="D178" s="49"/>
      <c r="E178" s="49"/>
      <c r="F178" s="49"/>
      <c r="G178" s="49"/>
      <c r="H178" s="49"/>
      <c r="I178" s="49"/>
      <c r="J178" s="49"/>
    </row>
    <row r="179">
      <c r="A179" s="47"/>
      <c r="B179" s="47"/>
      <c r="C179" s="47"/>
      <c r="D179" s="49"/>
      <c r="E179" s="49"/>
      <c r="F179" s="49"/>
      <c r="G179" s="49"/>
      <c r="H179" s="49"/>
      <c r="I179" s="49"/>
      <c r="J179" s="49"/>
    </row>
    <row r="180">
      <c r="A180" s="47"/>
      <c r="B180" s="47"/>
      <c r="C180" s="47"/>
      <c r="D180" s="49"/>
      <c r="E180" s="49"/>
      <c r="F180" s="49"/>
      <c r="G180" s="49"/>
      <c r="H180" s="49"/>
      <c r="I180" s="49"/>
      <c r="J180" s="49"/>
    </row>
    <row r="181">
      <c r="A181" s="47"/>
      <c r="B181" s="47"/>
      <c r="C181" s="47"/>
      <c r="D181" s="49"/>
      <c r="E181" s="49"/>
      <c r="F181" s="49"/>
      <c r="G181" s="49"/>
      <c r="H181" s="49"/>
      <c r="I181" s="49"/>
      <c r="J181" s="49"/>
    </row>
    <row r="182">
      <c r="A182" s="47"/>
      <c r="B182" s="47"/>
      <c r="C182" s="47"/>
      <c r="D182" s="49"/>
      <c r="E182" s="49"/>
      <c r="F182" s="49"/>
      <c r="G182" s="49"/>
      <c r="H182" s="49"/>
      <c r="I182" s="49"/>
      <c r="J182" s="49"/>
    </row>
    <row r="183">
      <c r="A183" s="47"/>
      <c r="B183" s="47"/>
      <c r="C183" s="47"/>
      <c r="D183" s="49"/>
      <c r="E183" s="49"/>
      <c r="F183" s="49"/>
      <c r="G183" s="49"/>
      <c r="H183" s="49"/>
      <c r="I183" s="49"/>
      <c r="J183" s="49"/>
    </row>
    <row r="184">
      <c r="A184" s="47"/>
      <c r="B184" s="47"/>
      <c r="C184" s="47"/>
      <c r="D184" s="49"/>
      <c r="E184" s="49"/>
      <c r="F184" s="49"/>
      <c r="G184" s="49"/>
      <c r="H184" s="49"/>
      <c r="I184" s="49"/>
      <c r="J184" s="49"/>
    </row>
    <row r="185">
      <c r="A185" s="47"/>
      <c r="B185" s="47"/>
      <c r="C185" s="47"/>
      <c r="D185" s="49"/>
      <c r="E185" s="49"/>
      <c r="F185" s="49"/>
      <c r="G185" s="49"/>
      <c r="H185" s="49"/>
      <c r="I185" s="49"/>
      <c r="J185" s="49"/>
    </row>
    <row r="186">
      <c r="A186" s="47"/>
      <c r="B186" s="47"/>
      <c r="C186" s="47"/>
      <c r="D186" s="49"/>
      <c r="E186" s="49"/>
      <c r="F186" s="49"/>
      <c r="G186" s="49"/>
      <c r="H186" s="49"/>
      <c r="I186" s="49"/>
      <c r="J186" s="49"/>
    </row>
    <row r="187">
      <c r="A187" s="47"/>
      <c r="B187" s="47"/>
      <c r="C187" s="47"/>
      <c r="D187" s="49"/>
      <c r="E187" s="49"/>
      <c r="F187" s="49"/>
      <c r="G187" s="49"/>
      <c r="H187" s="49"/>
      <c r="I187" s="49"/>
      <c r="J187" s="49"/>
    </row>
    <row r="188">
      <c r="A188" s="47"/>
      <c r="B188" s="47"/>
      <c r="C188" s="47"/>
      <c r="D188" s="49"/>
      <c r="E188" s="49"/>
      <c r="F188" s="49"/>
      <c r="G188" s="49"/>
      <c r="H188" s="49"/>
      <c r="I188" s="49"/>
      <c r="J188" s="49"/>
    </row>
    <row r="189">
      <c r="A189" s="47"/>
      <c r="B189" s="47"/>
      <c r="C189" s="47"/>
      <c r="D189" s="49"/>
      <c r="E189" s="49"/>
      <c r="F189" s="49"/>
      <c r="G189" s="49"/>
      <c r="H189" s="49"/>
      <c r="I189" s="49"/>
      <c r="J189" s="49"/>
    </row>
    <row r="190">
      <c r="A190" s="47"/>
      <c r="B190" s="47"/>
      <c r="C190" s="47"/>
      <c r="D190" s="49"/>
      <c r="E190" s="49"/>
      <c r="F190" s="49"/>
      <c r="G190" s="49"/>
      <c r="H190" s="49"/>
      <c r="I190" s="49"/>
      <c r="J190" s="49"/>
    </row>
    <row r="191">
      <c r="A191" s="47"/>
      <c r="B191" s="47"/>
      <c r="C191" s="47"/>
      <c r="D191" s="49"/>
      <c r="E191" s="49"/>
      <c r="F191" s="49"/>
      <c r="G191" s="49"/>
      <c r="H191" s="49"/>
      <c r="I191" s="49"/>
      <c r="J191" s="49"/>
    </row>
    <row r="192">
      <c r="A192" s="47"/>
      <c r="B192" s="47"/>
      <c r="C192" s="47"/>
      <c r="D192" s="49"/>
      <c r="E192" s="49"/>
      <c r="F192" s="49"/>
      <c r="G192" s="49"/>
      <c r="H192" s="49"/>
      <c r="I192" s="49"/>
      <c r="J192" s="49"/>
    </row>
    <row r="193">
      <c r="A193" s="47"/>
      <c r="B193" s="47"/>
      <c r="C193" s="47"/>
      <c r="D193" s="49"/>
      <c r="E193" s="49"/>
      <c r="F193" s="49"/>
      <c r="G193" s="49"/>
      <c r="H193" s="49"/>
      <c r="I193" s="49"/>
      <c r="J193" s="49"/>
    </row>
    <row r="194">
      <c r="A194" s="47"/>
      <c r="B194" s="47"/>
      <c r="C194" s="47"/>
      <c r="D194" s="49"/>
      <c r="E194" s="49"/>
      <c r="F194" s="49"/>
      <c r="G194" s="49"/>
      <c r="H194" s="49"/>
      <c r="I194" s="49"/>
      <c r="J194" s="49"/>
    </row>
    <row r="195">
      <c r="A195" s="47"/>
      <c r="B195" s="47"/>
      <c r="C195" s="47"/>
      <c r="D195" s="49"/>
      <c r="E195" s="49"/>
      <c r="F195" s="49"/>
      <c r="G195" s="49"/>
      <c r="H195" s="49"/>
      <c r="I195" s="49"/>
      <c r="J195" s="49"/>
    </row>
    <row r="196">
      <c r="A196" s="47"/>
      <c r="B196" s="47"/>
      <c r="C196" s="47"/>
      <c r="D196" s="49"/>
      <c r="E196" s="49"/>
      <c r="F196" s="49"/>
      <c r="G196" s="49"/>
      <c r="H196" s="49"/>
      <c r="I196" s="49"/>
      <c r="J196" s="49"/>
    </row>
    <row r="197">
      <c r="A197" s="47"/>
      <c r="B197" s="47"/>
      <c r="C197" s="47"/>
      <c r="D197" s="49"/>
      <c r="E197" s="49"/>
      <c r="F197" s="49"/>
      <c r="G197" s="49"/>
      <c r="H197" s="49"/>
      <c r="I197" s="49"/>
      <c r="J197" s="49"/>
    </row>
    <row r="198">
      <c r="A198" s="47"/>
      <c r="B198" s="47"/>
      <c r="C198" s="47"/>
      <c r="D198" s="49"/>
      <c r="E198" s="49"/>
      <c r="F198" s="49"/>
      <c r="G198" s="49"/>
      <c r="H198" s="49"/>
      <c r="I198" s="49"/>
      <c r="J198" s="49"/>
    </row>
    <row r="199">
      <c r="A199" s="47"/>
      <c r="B199" s="47"/>
      <c r="C199" s="47"/>
      <c r="D199" s="49"/>
      <c r="E199" s="49"/>
      <c r="F199" s="49"/>
      <c r="G199" s="49"/>
      <c r="H199" s="49"/>
      <c r="I199" s="49"/>
      <c r="J199" s="49"/>
    </row>
    <row r="200">
      <c r="A200" s="47"/>
      <c r="B200" s="47"/>
      <c r="C200" s="47"/>
      <c r="D200" s="49"/>
      <c r="E200" s="49"/>
      <c r="F200" s="49"/>
      <c r="G200" s="49"/>
      <c r="H200" s="49"/>
      <c r="I200" s="49"/>
      <c r="J200" s="49"/>
    </row>
    <row r="201">
      <c r="A201" s="47"/>
      <c r="B201" s="47"/>
      <c r="C201" s="47"/>
      <c r="D201" s="49"/>
      <c r="E201" s="49"/>
      <c r="F201" s="49"/>
      <c r="G201" s="49"/>
      <c r="H201" s="49"/>
      <c r="I201" s="49"/>
      <c r="J201" s="49"/>
    </row>
    <row r="202">
      <c r="A202" s="47"/>
      <c r="B202" s="47"/>
      <c r="C202" s="47"/>
      <c r="D202" s="49"/>
      <c r="E202" s="49"/>
      <c r="F202" s="49"/>
      <c r="G202" s="49"/>
      <c r="H202" s="49"/>
      <c r="I202" s="49"/>
      <c r="J202" s="49"/>
    </row>
    <row r="203">
      <c r="A203" s="47"/>
      <c r="B203" s="47"/>
      <c r="C203" s="47"/>
      <c r="D203" s="49"/>
      <c r="E203" s="49"/>
      <c r="F203" s="49"/>
      <c r="G203" s="49"/>
      <c r="H203" s="49"/>
      <c r="I203" s="49"/>
      <c r="J203" s="49"/>
    </row>
    <row r="204">
      <c r="A204" s="47"/>
      <c r="B204" s="47"/>
      <c r="C204" s="47"/>
      <c r="D204" s="49"/>
      <c r="E204" s="49"/>
      <c r="F204" s="49"/>
      <c r="G204" s="49"/>
      <c r="H204" s="49"/>
      <c r="I204" s="49"/>
      <c r="J204" s="49"/>
    </row>
    <row r="205">
      <c r="A205" s="47"/>
      <c r="B205" s="47"/>
      <c r="C205" s="47"/>
      <c r="D205" s="49"/>
      <c r="E205" s="49"/>
      <c r="F205" s="49"/>
      <c r="G205" s="49"/>
      <c r="H205" s="49"/>
      <c r="I205" s="49"/>
      <c r="J205" s="49"/>
    </row>
    <row r="206">
      <c r="A206" s="47"/>
      <c r="B206" s="47"/>
      <c r="C206" s="47"/>
      <c r="D206" s="49"/>
      <c r="E206" s="49"/>
      <c r="F206" s="49"/>
      <c r="G206" s="49"/>
      <c r="H206" s="49"/>
      <c r="I206" s="49"/>
      <c r="J206" s="49"/>
    </row>
    <row r="207">
      <c r="A207" s="47"/>
      <c r="B207" s="47"/>
      <c r="C207" s="47"/>
      <c r="D207" s="49"/>
      <c r="E207" s="49"/>
      <c r="F207" s="49"/>
      <c r="G207" s="49"/>
      <c r="H207" s="49"/>
      <c r="I207" s="49"/>
      <c r="J207" s="49"/>
    </row>
    <row r="208">
      <c r="A208" s="47"/>
      <c r="B208" s="47"/>
      <c r="C208" s="47"/>
      <c r="D208" s="49"/>
      <c r="E208" s="49"/>
      <c r="F208" s="49"/>
      <c r="G208" s="49"/>
      <c r="H208" s="49"/>
      <c r="I208" s="49"/>
      <c r="J208" s="49"/>
    </row>
    <row r="209">
      <c r="A209" s="47"/>
      <c r="B209" s="47"/>
      <c r="C209" s="47"/>
      <c r="D209" s="49"/>
      <c r="E209" s="49"/>
      <c r="F209" s="49"/>
      <c r="G209" s="49"/>
      <c r="H209" s="49"/>
      <c r="I209" s="49"/>
      <c r="J209" s="49"/>
    </row>
    <row r="210">
      <c r="A210" s="47"/>
      <c r="B210" s="47"/>
      <c r="C210" s="47"/>
      <c r="D210" s="49"/>
      <c r="E210" s="49"/>
      <c r="F210" s="49"/>
      <c r="G210" s="49"/>
      <c r="H210" s="49"/>
      <c r="I210" s="49"/>
      <c r="J210" s="49"/>
    </row>
    <row r="211">
      <c r="A211" s="47"/>
      <c r="B211" s="47"/>
      <c r="C211" s="47"/>
      <c r="D211" s="49"/>
      <c r="E211" s="49"/>
      <c r="F211" s="49"/>
      <c r="G211" s="49"/>
      <c r="H211" s="49"/>
      <c r="I211" s="49"/>
      <c r="J211" s="49"/>
    </row>
    <row r="212">
      <c r="A212" s="47"/>
      <c r="B212" s="47"/>
      <c r="C212" s="47"/>
      <c r="D212" s="49"/>
      <c r="E212" s="49"/>
      <c r="F212" s="49"/>
      <c r="G212" s="49"/>
      <c r="H212" s="49"/>
      <c r="I212" s="49"/>
      <c r="J212" s="49"/>
    </row>
    <row r="213">
      <c r="A213" s="47"/>
      <c r="B213" s="47"/>
      <c r="C213" s="47"/>
      <c r="D213" s="49"/>
      <c r="E213" s="49"/>
      <c r="F213" s="49"/>
      <c r="G213" s="49"/>
      <c r="H213" s="49"/>
      <c r="I213" s="49"/>
      <c r="J213" s="49"/>
    </row>
    <row r="214">
      <c r="A214" s="47"/>
      <c r="B214" s="47"/>
      <c r="C214" s="47"/>
      <c r="D214" s="49"/>
      <c r="E214" s="49"/>
      <c r="F214" s="49"/>
      <c r="G214" s="49"/>
      <c r="H214" s="49"/>
      <c r="I214" s="49"/>
      <c r="J214" s="49"/>
    </row>
    <row r="215">
      <c r="A215" s="47"/>
      <c r="B215" s="47"/>
      <c r="C215" s="47"/>
      <c r="D215" s="49"/>
      <c r="E215" s="49"/>
      <c r="F215" s="49"/>
      <c r="G215" s="49"/>
      <c r="H215" s="49"/>
      <c r="I215" s="49"/>
      <c r="J215" s="49"/>
    </row>
    <row r="216">
      <c r="A216" s="47"/>
      <c r="B216" s="47"/>
      <c r="C216" s="47"/>
      <c r="D216" s="49"/>
      <c r="E216" s="49"/>
      <c r="F216" s="49"/>
      <c r="G216" s="49"/>
      <c r="H216" s="49"/>
      <c r="I216" s="49"/>
      <c r="J216" s="49"/>
    </row>
    <row r="217">
      <c r="A217" s="47"/>
      <c r="B217" s="47"/>
      <c r="C217" s="47"/>
      <c r="D217" s="49"/>
      <c r="E217" s="49"/>
      <c r="F217" s="49"/>
      <c r="G217" s="49"/>
      <c r="H217" s="49"/>
      <c r="I217" s="49"/>
      <c r="J217" s="49"/>
    </row>
    <row r="218">
      <c r="A218" s="47"/>
      <c r="B218" s="47"/>
      <c r="C218" s="47"/>
      <c r="D218" s="49"/>
      <c r="E218" s="49"/>
      <c r="F218" s="49"/>
      <c r="G218" s="49"/>
      <c r="H218" s="49"/>
      <c r="I218" s="49"/>
      <c r="J218" s="49"/>
    </row>
    <row r="219">
      <c r="A219" s="47"/>
      <c r="B219" s="47"/>
      <c r="C219" s="47"/>
      <c r="D219" s="49"/>
      <c r="E219" s="49"/>
      <c r="F219" s="49"/>
      <c r="G219" s="49"/>
      <c r="H219" s="49"/>
      <c r="I219" s="49"/>
      <c r="J219" s="49"/>
    </row>
    <row r="220">
      <c r="A220" s="47"/>
      <c r="B220" s="47"/>
      <c r="C220" s="47"/>
      <c r="D220" s="49"/>
      <c r="E220" s="49"/>
      <c r="F220" s="49"/>
      <c r="G220" s="49"/>
      <c r="H220" s="49"/>
      <c r="I220" s="49"/>
      <c r="J220" s="49"/>
    </row>
    <row r="221">
      <c r="A221" s="47"/>
      <c r="B221" s="47"/>
      <c r="C221" s="47"/>
      <c r="D221" s="49"/>
      <c r="E221" s="49"/>
      <c r="F221" s="49"/>
      <c r="G221" s="49"/>
      <c r="H221" s="49"/>
      <c r="I221" s="49"/>
      <c r="J221" s="49"/>
    </row>
    <row r="222">
      <c r="A222" s="47"/>
      <c r="B222" s="47"/>
      <c r="C222" s="47"/>
      <c r="D222" s="49"/>
      <c r="E222" s="49"/>
      <c r="F222" s="49"/>
      <c r="G222" s="49"/>
      <c r="H222" s="49"/>
      <c r="I222" s="49"/>
      <c r="J222" s="49"/>
    </row>
    <row r="223">
      <c r="A223" s="47"/>
      <c r="B223" s="47"/>
      <c r="C223" s="47"/>
      <c r="D223" s="49"/>
      <c r="E223" s="49"/>
      <c r="F223" s="49"/>
      <c r="G223" s="49"/>
      <c r="H223" s="49"/>
      <c r="I223" s="49"/>
      <c r="J223" s="49"/>
    </row>
    <row r="224">
      <c r="A224" s="47"/>
      <c r="B224" s="47"/>
      <c r="C224" s="47"/>
      <c r="D224" s="49"/>
      <c r="E224" s="49"/>
      <c r="F224" s="49"/>
      <c r="G224" s="49"/>
      <c r="H224" s="49"/>
      <c r="I224" s="49"/>
      <c r="J224" s="49"/>
    </row>
    <row r="225">
      <c r="A225" s="47"/>
      <c r="B225" s="47"/>
      <c r="C225" s="47"/>
      <c r="D225" s="49"/>
      <c r="E225" s="49"/>
      <c r="F225" s="49"/>
      <c r="G225" s="49"/>
      <c r="H225" s="49"/>
      <c r="I225" s="49"/>
      <c r="J225" s="49"/>
    </row>
    <row r="226">
      <c r="A226" s="47"/>
      <c r="B226" s="47"/>
      <c r="C226" s="47"/>
      <c r="D226" s="49"/>
      <c r="E226" s="49"/>
      <c r="F226" s="49"/>
      <c r="G226" s="49"/>
      <c r="H226" s="49"/>
      <c r="I226" s="49"/>
      <c r="J226" s="49"/>
    </row>
    <row r="227">
      <c r="A227" s="47"/>
      <c r="B227" s="47"/>
      <c r="C227" s="47"/>
      <c r="D227" s="49"/>
      <c r="E227" s="49"/>
      <c r="F227" s="49"/>
      <c r="G227" s="49"/>
      <c r="H227" s="49"/>
      <c r="I227" s="49"/>
      <c r="J227" s="49"/>
    </row>
    <row r="228">
      <c r="A228" s="47"/>
      <c r="B228" s="47"/>
      <c r="C228" s="47"/>
      <c r="D228" s="49"/>
      <c r="E228" s="49"/>
      <c r="F228" s="49"/>
      <c r="G228" s="49"/>
      <c r="H228" s="49"/>
      <c r="I228" s="49"/>
      <c r="J228" s="49"/>
    </row>
    <row r="229">
      <c r="A229" s="47"/>
      <c r="B229" s="47"/>
      <c r="C229" s="47"/>
      <c r="D229" s="49"/>
      <c r="E229" s="49"/>
      <c r="F229" s="49"/>
      <c r="G229" s="49"/>
      <c r="H229" s="49"/>
      <c r="I229" s="49"/>
      <c r="J229" s="49"/>
    </row>
    <row r="230">
      <c r="A230" s="47"/>
      <c r="B230" s="47"/>
      <c r="C230" s="47"/>
      <c r="D230" s="49"/>
      <c r="E230" s="49"/>
      <c r="F230" s="49"/>
      <c r="G230" s="49"/>
      <c r="H230" s="49"/>
      <c r="I230" s="49"/>
      <c r="J230" s="49"/>
    </row>
    <row r="231">
      <c r="A231" s="47"/>
      <c r="B231" s="47"/>
      <c r="C231" s="47"/>
      <c r="D231" s="49"/>
      <c r="E231" s="49"/>
      <c r="F231" s="49"/>
      <c r="G231" s="49"/>
      <c r="H231" s="49"/>
      <c r="I231" s="49"/>
      <c r="J231" s="49"/>
    </row>
    <row r="232">
      <c r="A232" s="47"/>
      <c r="B232" s="47"/>
      <c r="C232" s="47"/>
      <c r="D232" s="49"/>
      <c r="E232" s="49"/>
      <c r="F232" s="49"/>
      <c r="G232" s="49"/>
      <c r="H232" s="49"/>
      <c r="I232" s="49"/>
      <c r="J232" s="49"/>
    </row>
    <row r="233">
      <c r="A233" s="47"/>
      <c r="B233" s="47"/>
      <c r="C233" s="47"/>
      <c r="D233" s="49"/>
      <c r="E233" s="49"/>
      <c r="F233" s="49"/>
      <c r="G233" s="49"/>
      <c r="H233" s="49"/>
      <c r="I233" s="49"/>
      <c r="J233" s="49"/>
    </row>
    <row r="234">
      <c r="A234" s="47"/>
      <c r="B234" s="47"/>
      <c r="C234" s="47"/>
      <c r="D234" s="49"/>
      <c r="E234" s="49"/>
      <c r="F234" s="49"/>
      <c r="G234" s="49"/>
      <c r="H234" s="49"/>
      <c r="I234" s="49"/>
      <c r="J234" s="49"/>
    </row>
    <row r="235">
      <c r="A235" s="47"/>
      <c r="B235" s="47"/>
      <c r="C235" s="47"/>
      <c r="D235" s="49"/>
      <c r="E235" s="49"/>
      <c r="F235" s="49"/>
      <c r="G235" s="49"/>
      <c r="H235" s="49"/>
      <c r="I235" s="49"/>
      <c r="J235" s="49"/>
    </row>
    <row r="236">
      <c r="A236" s="47"/>
      <c r="B236" s="47"/>
      <c r="C236" s="47"/>
      <c r="D236" s="49"/>
      <c r="E236" s="49"/>
      <c r="F236" s="49"/>
      <c r="G236" s="49"/>
      <c r="H236" s="49"/>
      <c r="I236" s="49"/>
      <c r="J236" s="49"/>
    </row>
    <row r="237">
      <c r="A237" s="47"/>
      <c r="B237" s="47"/>
      <c r="C237" s="47"/>
      <c r="D237" s="49"/>
      <c r="E237" s="49"/>
      <c r="F237" s="49"/>
      <c r="G237" s="49"/>
      <c r="H237" s="49"/>
      <c r="I237" s="49"/>
      <c r="J237" s="49"/>
    </row>
    <row r="238">
      <c r="A238" s="47"/>
      <c r="B238" s="47"/>
      <c r="C238" s="47"/>
      <c r="D238" s="49"/>
      <c r="E238" s="49"/>
      <c r="F238" s="49"/>
      <c r="G238" s="49"/>
      <c r="H238" s="49"/>
      <c r="I238" s="49"/>
      <c r="J238" s="49"/>
    </row>
    <row r="239">
      <c r="A239" s="47"/>
      <c r="B239" s="47"/>
      <c r="C239" s="47"/>
      <c r="D239" s="49"/>
      <c r="E239" s="49"/>
      <c r="F239" s="49"/>
      <c r="G239" s="49"/>
      <c r="H239" s="49"/>
      <c r="I239" s="49"/>
      <c r="J239" s="49"/>
    </row>
    <row r="240">
      <c r="A240" s="47"/>
      <c r="B240" s="47"/>
      <c r="C240" s="47"/>
      <c r="D240" s="49"/>
      <c r="E240" s="49"/>
      <c r="F240" s="49"/>
      <c r="G240" s="49"/>
      <c r="H240" s="49"/>
      <c r="I240" s="49"/>
      <c r="J240" s="49"/>
    </row>
    <row r="241">
      <c r="A241" s="47"/>
      <c r="B241" s="47"/>
      <c r="C241" s="47"/>
      <c r="D241" s="49"/>
      <c r="E241" s="49"/>
      <c r="F241" s="49"/>
      <c r="G241" s="49"/>
      <c r="H241" s="49"/>
      <c r="I241" s="49"/>
      <c r="J241" s="49"/>
    </row>
    <row r="242">
      <c r="A242" s="47"/>
      <c r="B242" s="47"/>
      <c r="C242" s="47"/>
      <c r="D242" s="49"/>
      <c r="E242" s="49"/>
      <c r="F242" s="49"/>
      <c r="G242" s="49"/>
      <c r="H242" s="49"/>
      <c r="I242" s="49"/>
      <c r="J242" s="49"/>
    </row>
    <row r="243">
      <c r="A243" s="47"/>
      <c r="B243" s="47"/>
      <c r="C243" s="47"/>
      <c r="D243" s="49"/>
      <c r="E243" s="49"/>
      <c r="F243" s="49"/>
      <c r="G243" s="49"/>
      <c r="H243" s="49"/>
      <c r="I243" s="49"/>
      <c r="J243" s="49"/>
    </row>
    <row r="244">
      <c r="A244" s="47"/>
      <c r="B244" s="47"/>
      <c r="C244" s="47"/>
      <c r="D244" s="49"/>
      <c r="E244" s="49"/>
      <c r="F244" s="49"/>
      <c r="G244" s="49"/>
      <c r="H244" s="49"/>
      <c r="I244" s="49"/>
      <c r="J244" s="49"/>
    </row>
    <row r="245">
      <c r="A245" s="47"/>
      <c r="B245" s="47"/>
      <c r="C245" s="47"/>
      <c r="D245" s="49"/>
      <c r="E245" s="49"/>
      <c r="F245" s="49"/>
      <c r="G245" s="49"/>
      <c r="H245" s="49"/>
      <c r="I245" s="49"/>
      <c r="J245" s="49"/>
    </row>
    <row r="246">
      <c r="A246" s="47"/>
      <c r="B246" s="47"/>
      <c r="C246" s="47"/>
      <c r="D246" s="49"/>
      <c r="E246" s="49"/>
      <c r="F246" s="49"/>
      <c r="G246" s="49"/>
      <c r="H246" s="49"/>
      <c r="I246" s="49"/>
      <c r="J246" s="49"/>
    </row>
    <row r="247">
      <c r="A247" s="47"/>
      <c r="B247" s="47"/>
      <c r="C247" s="47"/>
      <c r="D247" s="49"/>
      <c r="E247" s="49"/>
      <c r="F247" s="49"/>
      <c r="G247" s="49"/>
      <c r="H247" s="49"/>
      <c r="I247" s="49"/>
      <c r="J247" s="49"/>
    </row>
    <row r="248">
      <c r="A248" s="47"/>
      <c r="B248" s="47"/>
      <c r="C248" s="47"/>
      <c r="D248" s="49"/>
      <c r="E248" s="49"/>
      <c r="F248" s="49"/>
      <c r="G248" s="49"/>
      <c r="H248" s="49"/>
      <c r="I248" s="49"/>
      <c r="J248" s="49"/>
    </row>
    <row r="249">
      <c r="A249" s="47"/>
      <c r="B249" s="47"/>
      <c r="C249" s="47"/>
      <c r="D249" s="49"/>
      <c r="E249" s="49"/>
      <c r="F249" s="49"/>
      <c r="G249" s="49"/>
      <c r="H249" s="49"/>
      <c r="I249" s="49"/>
      <c r="J249" s="49"/>
    </row>
    <row r="250">
      <c r="A250" s="47"/>
      <c r="B250" s="47"/>
      <c r="C250" s="47"/>
      <c r="D250" s="49"/>
      <c r="E250" s="49"/>
      <c r="F250" s="49"/>
      <c r="G250" s="49"/>
      <c r="H250" s="49"/>
      <c r="I250" s="49"/>
      <c r="J250" s="49"/>
    </row>
    <row r="251">
      <c r="A251" s="47"/>
      <c r="B251" s="47"/>
      <c r="C251" s="47"/>
      <c r="D251" s="49"/>
      <c r="E251" s="49"/>
      <c r="F251" s="49"/>
      <c r="G251" s="49"/>
      <c r="H251" s="49"/>
      <c r="I251" s="49"/>
      <c r="J251" s="49"/>
    </row>
    <row r="252">
      <c r="A252" s="47"/>
      <c r="B252" s="47"/>
      <c r="C252" s="47"/>
      <c r="D252" s="49"/>
      <c r="E252" s="49"/>
      <c r="F252" s="49"/>
      <c r="G252" s="49"/>
      <c r="H252" s="49"/>
      <c r="I252" s="49"/>
      <c r="J252" s="49"/>
    </row>
    <row r="253">
      <c r="A253" s="47"/>
      <c r="B253" s="47"/>
      <c r="C253" s="47"/>
      <c r="D253" s="49"/>
      <c r="E253" s="49"/>
      <c r="F253" s="49"/>
      <c r="G253" s="49"/>
      <c r="H253" s="49"/>
      <c r="I253" s="49"/>
      <c r="J253" s="49"/>
    </row>
    <row r="254">
      <c r="A254" s="47"/>
      <c r="B254" s="47"/>
      <c r="C254" s="47"/>
      <c r="D254" s="49"/>
      <c r="E254" s="49"/>
      <c r="F254" s="49"/>
      <c r="G254" s="49"/>
      <c r="H254" s="49"/>
      <c r="I254" s="49"/>
      <c r="J254" s="49"/>
    </row>
    <row r="255">
      <c r="A255" s="47"/>
      <c r="B255" s="47"/>
      <c r="C255" s="47"/>
      <c r="D255" s="49"/>
      <c r="E255" s="49"/>
      <c r="F255" s="49"/>
      <c r="G255" s="49"/>
      <c r="H255" s="49"/>
      <c r="I255" s="49"/>
      <c r="J255" s="49"/>
    </row>
    <row r="256">
      <c r="A256" s="47"/>
      <c r="B256" s="47"/>
      <c r="C256" s="47"/>
      <c r="D256" s="49"/>
      <c r="E256" s="49"/>
      <c r="F256" s="49"/>
      <c r="G256" s="49"/>
      <c r="H256" s="49"/>
      <c r="I256" s="49"/>
      <c r="J256" s="49"/>
    </row>
    <row r="257">
      <c r="A257" s="47"/>
      <c r="B257" s="47"/>
      <c r="C257" s="47"/>
      <c r="D257" s="49"/>
      <c r="E257" s="49"/>
      <c r="F257" s="49"/>
      <c r="G257" s="49"/>
      <c r="H257" s="49"/>
      <c r="I257" s="49"/>
      <c r="J257" s="49"/>
    </row>
    <row r="258">
      <c r="A258" s="47"/>
      <c r="B258" s="47"/>
      <c r="C258" s="47"/>
      <c r="D258" s="49"/>
      <c r="E258" s="49"/>
      <c r="F258" s="49"/>
      <c r="G258" s="49"/>
      <c r="H258" s="49"/>
      <c r="I258" s="49"/>
      <c r="J258" s="49"/>
    </row>
    <row r="259">
      <c r="A259" s="47"/>
      <c r="B259" s="47"/>
      <c r="C259" s="47"/>
      <c r="D259" s="49"/>
      <c r="E259" s="49"/>
      <c r="F259" s="49"/>
      <c r="G259" s="49"/>
      <c r="H259" s="49"/>
      <c r="I259" s="49"/>
      <c r="J259" s="49"/>
    </row>
    <row r="260">
      <c r="A260" s="47"/>
      <c r="B260" s="47"/>
      <c r="C260" s="47"/>
      <c r="D260" s="49"/>
      <c r="E260" s="49"/>
      <c r="F260" s="49"/>
      <c r="G260" s="49"/>
      <c r="H260" s="49"/>
      <c r="I260" s="49"/>
      <c r="J260" s="49"/>
    </row>
    <row r="261">
      <c r="A261" s="47"/>
      <c r="B261" s="47"/>
      <c r="C261" s="47"/>
      <c r="D261" s="49"/>
      <c r="E261" s="49"/>
      <c r="F261" s="49"/>
      <c r="G261" s="49"/>
      <c r="H261" s="49"/>
      <c r="I261" s="49"/>
      <c r="J261" s="49"/>
    </row>
    <row r="262">
      <c r="A262" s="47"/>
      <c r="B262" s="47"/>
      <c r="C262" s="47"/>
      <c r="D262" s="49"/>
      <c r="E262" s="49"/>
      <c r="F262" s="49"/>
      <c r="G262" s="49"/>
      <c r="H262" s="49"/>
      <c r="I262" s="49"/>
      <c r="J262" s="49"/>
    </row>
    <row r="263">
      <c r="A263" s="47"/>
      <c r="B263" s="47"/>
      <c r="C263" s="47"/>
      <c r="D263" s="49"/>
      <c r="E263" s="49"/>
      <c r="F263" s="49"/>
      <c r="G263" s="49"/>
      <c r="H263" s="49"/>
      <c r="I263" s="49"/>
      <c r="J263" s="49"/>
    </row>
    <row r="264">
      <c r="A264" s="47"/>
      <c r="B264" s="47"/>
      <c r="C264" s="47"/>
      <c r="D264" s="49"/>
      <c r="E264" s="49"/>
      <c r="F264" s="49"/>
      <c r="G264" s="49"/>
      <c r="H264" s="49"/>
      <c r="I264" s="49"/>
      <c r="J264" s="49"/>
    </row>
    <row r="265">
      <c r="A265" s="47"/>
      <c r="B265" s="47"/>
      <c r="C265" s="47"/>
      <c r="D265" s="49"/>
      <c r="E265" s="49"/>
      <c r="F265" s="49"/>
      <c r="G265" s="49"/>
      <c r="H265" s="49"/>
      <c r="I265" s="49"/>
      <c r="J265" s="49"/>
    </row>
    <row r="266">
      <c r="A266" s="47"/>
      <c r="B266" s="47"/>
      <c r="C266" s="47"/>
      <c r="D266" s="49"/>
      <c r="E266" s="49"/>
      <c r="F266" s="49"/>
      <c r="G266" s="49"/>
      <c r="H266" s="49"/>
      <c r="I266" s="49"/>
      <c r="J266" s="49"/>
    </row>
    <row r="267">
      <c r="A267" s="47"/>
      <c r="B267" s="47"/>
      <c r="C267" s="47"/>
      <c r="D267" s="49"/>
      <c r="E267" s="49"/>
      <c r="F267" s="49"/>
      <c r="G267" s="49"/>
      <c r="H267" s="49"/>
      <c r="I267" s="49"/>
      <c r="J267" s="49"/>
    </row>
    <row r="268">
      <c r="A268" s="47"/>
      <c r="B268" s="47"/>
      <c r="C268" s="47"/>
      <c r="D268" s="49"/>
      <c r="E268" s="49"/>
      <c r="F268" s="49"/>
      <c r="G268" s="49"/>
      <c r="H268" s="49"/>
      <c r="I268" s="49"/>
      <c r="J268" s="49"/>
    </row>
    <row r="269">
      <c r="A269" s="47"/>
      <c r="B269" s="47"/>
      <c r="C269" s="47"/>
      <c r="D269" s="49"/>
      <c r="E269" s="49"/>
      <c r="F269" s="49"/>
      <c r="G269" s="49"/>
      <c r="H269" s="49"/>
      <c r="I269" s="49"/>
      <c r="J269" s="49"/>
    </row>
    <row r="270">
      <c r="A270" s="47"/>
      <c r="B270" s="47"/>
      <c r="C270" s="47"/>
      <c r="D270" s="49"/>
      <c r="E270" s="49"/>
      <c r="F270" s="49"/>
      <c r="G270" s="49"/>
      <c r="H270" s="49"/>
      <c r="I270" s="49"/>
      <c r="J270" s="49"/>
    </row>
    <row r="271">
      <c r="A271" s="47"/>
      <c r="B271" s="47"/>
      <c r="C271" s="47"/>
      <c r="D271" s="49"/>
      <c r="E271" s="49"/>
      <c r="F271" s="49"/>
      <c r="G271" s="49"/>
      <c r="H271" s="49"/>
      <c r="I271" s="49"/>
      <c r="J271" s="49"/>
    </row>
    <row r="272">
      <c r="A272" s="47"/>
      <c r="B272" s="47"/>
      <c r="C272" s="47"/>
      <c r="D272" s="49"/>
      <c r="E272" s="49"/>
      <c r="F272" s="49"/>
      <c r="G272" s="49"/>
      <c r="H272" s="49"/>
      <c r="I272" s="49"/>
      <c r="J272" s="49"/>
    </row>
    <row r="273">
      <c r="A273" s="47"/>
      <c r="B273" s="47"/>
      <c r="C273" s="47"/>
      <c r="D273" s="49"/>
      <c r="E273" s="49"/>
      <c r="F273" s="49"/>
      <c r="G273" s="49"/>
      <c r="H273" s="49"/>
      <c r="I273" s="49"/>
      <c r="J273" s="49"/>
    </row>
    <row r="274">
      <c r="A274" s="47"/>
      <c r="B274" s="47"/>
      <c r="C274" s="47"/>
      <c r="D274" s="49"/>
      <c r="E274" s="49"/>
      <c r="F274" s="49"/>
      <c r="G274" s="49"/>
      <c r="H274" s="49"/>
      <c r="I274" s="49"/>
      <c r="J274" s="49"/>
    </row>
    <row r="275">
      <c r="A275" s="47"/>
      <c r="B275" s="47"/>
      <c r="C275" s="47"/>
      <c r="D275" s="49"/>
      <c r="E275" s="49"/>
      <c r="F275" s="49"/>
      <c r="G275" s="49"/>
      <c r="H275" s="49"/>
      <c r="I275" s="49"/>
      <c r="J275" s="49"/>
    </row>
    <row r="276">
      <c r="A276" s="47"/>
      <c r="B276" s="47"/>
      <c r="C276" s="47"/>
      <c r="D276" s="49"/>
      <c r="E276" s="49"/>
      <c r="F276" s="49"/>
      <c r="G276" s="49"/>
      <c r="H276" s="49"/>
      <c r="I276" s="49"/>
      <c r="J276" s="49"/>
    </row>
    <row r="277">
      <c r="A277" s="47"/>
      <c r="B277" s="47"/>
      <c r="C277" s="47"/>
      <c r="D277" s="49"/>
      <c r="E277" s="49"/>
      <c r="F277" s="49"/>
      <c r="G277" s="49"/>
      <c r="H277" s="49"/>
      <c r="I277" s="49"/>
      <c r="J277" s="49"/>
    </row>
    <row r="278">
      <c r="A278" s="47"/>
      <c r="B278" s="47"/>
      <c r="C278" s="47"/>
      <c r="D278" s="49"/>
      <c r="E278" s="49"/>
      <c r="F278" s="49"/>
      <c r="G278" s="49"/>
      <c r="H278" s="49"/>
      <c r="I278" s="49"/>
      <c r="J278" s="49"/>
    </row>
    <row r="279">
      <c r="A279" s="47"/>
      <c r="B279" s="47"/>
      <c r="C279" s="47"/>
      <c r="D279" s="49"/>
      <c r="E279" s="49"/>
      <c r="F279" s="49"/>
      <c r="G279" s="49"/>
      <c r="H279" s="49"/>
      <c r="I279" s="49"/>
      <c r="J279" s="49"/>
    </row>
    <row r="280">
      <c r="A280" s="47"/>
      <c r="B280" s="47"/>
      <c r="C280" s="47"/>
      <c r="D280" s="49"/>
      <c r="E280" s="49"/>
      <c r="F280" s="49"/>
      <c r="G280" s="49"/>
      <c r="H280" s="49"/>
      <c r="I280" s="49"/>
      <c r="J280" s="49"/>
    </row>
    <row r="281">
      <c r="A281" s="47"/>
      <c r="B281" s="47"/>
      <c r="C281" s="47"/>
      <c r="D281" s="49"/>
      <c r="E281" s="49"/>
      <c r="F281" s="49"/>
      <c r="G281" s="49"/>
      <c r="H281" s="49"/>
      <c r="I281" s="49"/>
      <c r="J281" s="49"/>
    </row>
    <row r="282">
      <c r="A282" s="47"/>
      <c r="B282" s="47"/>
      <c r="C282" s="47"/>
      <c r="D282" s="49"/>
      <c r="E282" s="49"/>
      <c r="F282" s="49"/>
      <c r="G282" s="49"/>
      <c r="H282" s="49"/>
      <c r="I282" s="49"/>
      <c r="J282" s="49"/>
    </row>
    <row r="283">
      <c r="A283" s="47"/>
      <c r="B283" s="47"/>
      <c r="C283" s="47"/>
      <c r="D283" s="49"/>
      <c r="E283" s="49"/>
      <c r="F283" s="49"/>
      <c r="G283" s="49"/>
      <c r="H283" s="49"/>
      <c r="I283" s="49"/>
      <c r="J283" s="49"/>
    </row>
    <row r="284">
      <c r="A284" s="47"/>
      <c r="B284" s="47"/>
      <c r="C284" s="47"/>
      <c r="D284" s="49"/>
      <c r="E284" s="49"/>
      <c r="F284" s="49"/>
      <c r="G284" s="49"/>
      <c r="H284" s="49"/>
      <c r="I284" s="49"/>
      <c r="J284" s="49"/>
    </row>
    <row r="285">
      <c r="A285" s="47"/>
      <c r="B285" s="47"/>
      <c r="C285" s="47"/>
      <c r="D285" s="49"/>
      <c r="E285" s="49"/>
      <c r="F285" s="49"/>
      <c r="G285" s="49"/>
      <c r="H285" s="49"/>
      <c r="I285" s="49"/>
      <c r="J285" s="49"/>
    </row>
    <row r="286">
      <c r="A286" s="47"/>
      <c r="B286" s="47"/>
      <c r="C286" s="47"/>
      <c r="D286" s="49"/>
      <c r="E286" s="49"/>
      <c r="F286" s="49"/>
      <c r="G286" s="49"/>
      <c r="H286" s="49"/>
      <c r="I286" s="49"/>
      <c r="J286" s="49"/>
    </row>
    <row r="287">
      <c r="A287" s="47"/>
      <c r="B287" s="47"/>
      <c r="C287" s="47"/>
      <c r="D287" s="49"/>
      <c r="E287" s="49"/>
      <c r="F287" s="49"/>
      <c r="G287" s="49"/>
      <c r="H287" s="49"/>
      <c r="I287" s="49"/>
      <c r="J287" s="49"/>
    </row>
    <row r="288">
      <c r="A288" s="47"/>
      <c r="B288" s="47"/>
      <c r="C288" s="47"/>
      <c r="D288" s="49"/>
      <c r="E288" s="49"/>
      <c r="F288" s="49"/>
      <c r="G288" s="49"/>
      <c r="H288" s="49"/>
      <c r="I288" s="49"/>
      <c r="J288" s="49"/>
    </row>
    <row r="289">
      <c r="A289" s="47"/>
      <c r="B289" s="47"/>
      <c r="C289" s="47"/>
      <c r="D289" s="49"/>
      <c r="E289" s="49"/>
      <c r="F289" s="49"/>
      <c r="G289" s="49"/>
      <c r="H289" s="49"/>
      <c r="I289" s="49"/>
      <c r="J289" s="49"/>
    </row>
    <row r="290">
      <c r="A290" s="47"/>
      <c r="B290" s="47"/>
      <c r="C290" s="47"/>
      <c r="D290" s="49"/>
      <c r="E290" s="49"/>
      <c r="F290" s="49"/>
      <c r="G290" s="49"/>
      <c r="H290" s="49"/>
      <c r="I290" s="49"/>
      <c r="J290" s="49"/>
    </row>
    <row r="291">
      <c r="A291" s="47"/>
      <c r="B291" s="47"/>
      <c r="C291" s="47"/>
      <c r="D291" s="49"/>
      <c r="E291" s="49"/>
      <c r="F291" s="49"/>
      <c r="G291" s="49"/>
      <c r="H291" s="49"/>
      <c r="I291" s="49"/>
      <c r="J291" s="49"/>
    </row>
    <row r="292">
      <c r="A292" s="47"/>
      <c r="B292" s="47"/>
      <c r="C292" s="47"/>
      <c r="D292" s="49"/>
      <c r="E292" s="49"/>
      <c r="F292" s="49"/>
      <c r="G292" s="49"/>
      <c r="H292" s="49"/>
      <c r="I292" s="49"/>
      <c r="J292" s="49"/>
    </row>
    <row r="293">
      <c r="A293" s="47"/>
      <c r="B293" s="47"/>
      <c r="C293" s="47"/>
      <c r="D293" s="49"/>
      <c r="E293" s="49"/>
      <c r="F293" s="49"/>
      <c r="G293" s="49"/>
      <c r="H293" s="49"/>
      <c r="I293" s="49"/>
      <c r="J293" s="49"/>
    </row>
    <row r="294">
      <c r="A294" s="47"/>
      <c r="B294" s="47"/>
      <c r="C294" s="47"/>
      <c r="D294" s="49"/>
      <c r="E294" s="49"/>
      <c r="F294" s="49"/>
      <c r="G294" s="49"/>
      <c r="H294" s="49"/>
      <c r="I294" s="49"/>
      <c r="J294" s="49"/>
    </row>
    <row r="295">
      <c r="A295" s="47"/>
      <c r="B295" s="47"/>
      <c r="C295" s="47"/>
      <c r="D295" s="49"/>
      <c r="E295" s="49"/>
      <c r="F295" s="49"/>
      <c r="G295" s="49"/>
      <c r="H295" s="49"/>
      <c r="I295" s="49"/>
      <c r="J295" s="49"/>
    </row>
    <row r="296">
      <c r="A296" s="47"/>
      <c r="B296" s="47"/>
      <c r="C296" s="47"/>
      <c r="D296" s="49"/>
      <c r="E296" s="49"/>
      <c r="F296" s="49"/>
      <c r="G296" s="49"/>
      <c r="H296" s="49"/>
      <c r="I296" s="49"/>
      <c r="J296" s="49"/>
    </row>
    <row r="297">
      <c r="A297" s="47"/>
      <c r="B297" s="47"/>
      <c r="C297" s="47"/>
      <c r="D297" s="49"/>
      <c r="E297" s="49"/>
      <c r="F297" s="49"/>
      <c r="G297" s="49"/>
      <c r="H297" s="49"/>
      <c r="I297" s="49"/>
      <c r="J297" s="49"/>
    </row>
    <row r="298">
      <c r="A298" s="47"/>
      <c r="B298" s="47"/>
      <c r="C298" s="47"/>
      <c r="D298" s="49"/>
      <c r="E298" s="49"/>
      <c r="F298" s="49"/>
      <c r="G298" s="49"/>
      <c r="H298" s="49"/>
      <c r="I298" s="49"/>
      <c r="J298" s="49"/>
    </row>
    <row r="299">
      <c r="A299" s="47"/>
      <c r="B299" s="47"/>
      <c r="C299" s="47"/>
      <c r="D299" s="49"/>
      <c r="E299" s="49"/>
      <c r="F299" s="49"/>
      <c r="G299" s="49"/>
      <c r="H299" s="49"/>
      <c r="I299" s="49"/>
      <c r="J299" s="49"/>
    </row>
    <row r="300">
      <c r="A300" s="47"/>
      <c r="B300" s="47"/>
      <c r="C300" s="47"/>
      <c r="D300" s="49"/>
      <c r="E300" s="49"/>
      <c r="F300" s="49"/>
      <c r="G300" s="49"/>
      <c r="H300" s="49"/>
      <c r="I300" s="49"/>
      <c r="J300" s="49"/>
    </row>
    <row r="301">
      <c r="A301" s="47"/>
      <c r="B301" s="47"/>
      <c r="C301" s="47"/>
      <c r="D301" s="49"/>
      <c r="E301" s="49"/>
      <c r="F301" s="49"/>
      <c r="G301" s="49"/>
      <c r="H301" s="49"/>
      <c r="I301" s="49"/>
      <c r="J301" s="49"/>
    </row>
    <row r="302">
      <c r="A302" s="47"/>
      <c r="B302" s="47"/>
      <c r="C302" s="47"/>
      <c r="D302" s="49"/>
      <c r="E302" s="49"/>
      <c r="F302" s="49"/>
      <c r="G302" s="49"/>
      <c r="H302" s="49"/>
      <c r="I302" s="49"/>
      <c r="J302" s="49"/>
    </row>
    <row r="303">
      <c r="A303" s="47"/>
      <c r="B303" s="47"/>
      <c r="C303" s="47"/>
      <c r="D303" s="49"/>
      <c r="E303" s="49"/>
      <c r="F303" s="49"/>
      <c r="G303" s="49"/>
      <c r="H303" s="49"/>
      <c r="I303" s="49"/>
      <c r="J303" s="49"/>
    </row>
    <row r="304">
      <c r="A304" s="47"/>
      <c r="B304" s="47"/>
      <c r="C304" s="47"/>
      <c r="D304" s="49"/>
      <c r="E304" s="49"/>
      <c r="F304" s="49"/>
      <c r="G304" s="49"/>
      <c r="H304" s="49"/>
      <c r="I304" s="49"/>
      <c r="J304" s="49"/>
    </row>
    <row r="305">
      <c r="A305" s="47"/>
      <c r="B305" s="47"/>
      <c r="C305" s="47"/>
      <c r="D305" s="49"/>
      <c r="E305" s="49"/>
      <c r="F305" s="49"/>
      <c r="G305" s="49"/>
      <c r="H305" s="49"/>
      <c r="I305" s="49"/>
      <c r="J305" s="49"/>
    </row>
    <row r="306">
      <c r="A306" s="47"/>
      <c r="B306" s="47"/>
      <c r="C306" s="47"/>
      <c r="D306" s="49"/>
      <c r="E306" s="49"/>
      <c r="F306" s="49"/>
      <c r="G306" s="49"/>
      <c r="H306" s="49"/>
      <c r="I306" s="49"/>
      <c r="J306" s="49"/>
    </row>
    <row r="307">
      <c r="A307" s="47"/>
      <c r="B307" s="47"/>
      <c r="C307" s="47"/>
      <c r="D307" s="49"/>
      <c r="E307" s="49"/>
      <c r="F307" s="49"/>
      <c r="G307" s="49"/>
      <c r="H307" s="49"/>
      <c r="I307" s="49"/>
      <c r="J307" s="49"/>
    </row>
    <row r="308">
      <c r="A308" s="47"/>
      <c r="B308" s="47"/>
      <c r="C308" s="47"/>
      <c r="D308" s="49"/>
      <c r="E308" s="49"/>
      <c r="F308" s="49"/>
      <c r="G308" s="49"/>
      <c r="H308" s="49"/>
      <c r="I308" s="49"/>
      <c r="J308" s="49"/>
    </row>
    <row r="309">
      <c r="A309" s="47"/>
      <c r="B309" s="47"/>
      <c r="C309" s="47"/>
      <c r="D309" s="49"/>
      <c r="E309" s="49"/>
      <c r="F309" s="49"/>
      <c r="G309" s="49"/>
      <c r="H309" s="49"/>
      <c r="I309" s="49"/>
      <c r="J309" s="49"/>
    </row>
    <row r="310">
      <c r="A310" s="47"/>
      <c r="B310" s="47"/>
      <c r="C310" s="47"/>
      <c r="D310" s="49"/>
      <c r="E310" s="49"/>
      <c r="F310" s="49"/>
      <c r="G310" s="49"/>
      <c r="H310" s="49"/>
      <c r="I310" s="49"/>
      <c r="J310" s="49"/>
    </row>
    <row r="311">
      <c r="A311" s="47"/>
      <c r="B311" s="47"/>
      <c r="C311" s="47"/>
      <c r="D311" s="49"/>
      <c r="E311" s="49"/>
      <c r="F311" s="49"/>
      <c r="G311" s="49"/>
      <c r="H311" s="49"/>
      <c r="I311" s="49"/>
      <c r="J311" s="49"/>
    </row>
    <row r="312">
      <c r="A312" s="47"/>
      <c r="B312" s="47"/>
      <c r="C312" s="47"/>
      <c r="D312" s="49"/>
      <c r="E312" s="49"/>
      <c r="F312" s="49"/>
      <c r="G312" s="49"/>
      <c r="H312" s="49"/>
      <c r="I312" s="49"/>
      <c r="J312" s="49"/>
    </row>
    <row r="313">
      <c r="A313" s="47"/>
      <c r="B313" s="47"/>
      <c r="C313" s="47"/>
      <c r="D313" s="49"/>
      <c r="E313" s="49"/>
      <c r="F313" s="49"/>
      <c r="G313" s="49"/>
      <c r="H313" s="49"/>
      <c r="I313" s="49"/>
      <c r="J313" s="49"/>
    </row>
    <row r="314">
      <c r="A314" s="47"/>
      <c r="B314" s="47"/>
      <c r="C314" s="47"/>
      <c r="D314" s="49"/>
      <c r="E314" s="49"/>
      <c r="F314" s="49"/>
      <c r="G314" s="49"/>
      <c r="H314" s="49"/>
      <c r="I314" s="49"/>
      <c r="J314" s="49"/>
    </row>
    <row r="315">
      <c r="A315" s="47"/>
      <c r="B315" s="47"/>
      <c r="C315" s="47"/>
      <c r="D315" s="49"/>
      <c r="E315" s="49"/>
      <c r="F315" s="49"/>
      <c r="G315" s="49"/>
      <c r="H315" s="49"/>
      <c r="I315" s="49"/>
      <c r="J315" s="49"/>
    </row>
    <row r="316">
      <c r="A316" s="47"/>
      <c r="B316" s="47"/>
      <c r="C316" s="47"/>
      <c r="D316" s="49"/>
      <c r="E316" s="49"/>
      <c r="F316" s="49"/>
      <c r="G316" s="49"/>
      <c r="H316" s="49"/>
      <c r="I316" s="49"/>
      <c r="J316" s="49"/>
    </row>
    <row r="317">
      <c r="A317" s="47"/>
      <c r="B317" s="47"/>
      <c r="C317" s="47"/>
      <c r="D317" s="49"/>
      <c r="E317" s="49"/>
      <c r="F317" s="49"/>
      <c r="G317" s="49"/>
      <c r="H317" s="49"/>
      <c r="I317" s="49"/>
      <c r="J317" s="49"/>
    </row>
    <row r="318">
      <c r="A318" s="47"/>
      <c r="B318" s="47"/>
      <c r="C318" s="47"/>
      <c r="D318" s="49"/>
      <c r="E318" s="49"/>
      <c r="F318" s="49"/>
      <c r="G318" s="49"/>
      <c r="H318" s="49"/>
      <c r="I318" s="49"/>
      <c r="J318" s="49"/>
    </row>
    <row r="319">
      <c r="A319" s="47"/>
      <c r="B319" s="47"/>
      <c r="C319" s="47"/>
      <c r="D319" s="49"/>
      <c r="E319" s="49"/>
      <c r="F319" s="49"/>
      <c r="G319" s="49"/>
      <c r="H319" s="49"/>
      <c r="I319" s="49"/>
      <c r="J319" s="49"/>
    </row>
    <row r="320">
      <c r="A320" s="47"/>
      <c r="B320" s="47"/>
      <c r="C320" s="47"/>
      <c r="D320" s="49"/>
      <c r="E320" s="49"/>
      <c r="F320" s="49"/>
      <c r="G320" s="49"/>
      <c r="H320" s="49"/>
      <c r="I320" s="49"/>
      <c r="J320" s="49"/>
    </row>
    <row r="321">
      <c r="A321" s="47"/>
      <c r="B321" s="47"/>
      <c r="C321" s="47"/>
      <c r="D321" s="49"/>
      <c r="E321" s="49"/>
      <c r="F321" s="49"/>
      <c r="G321" s="49"/>
      <c r="H321" s="49"/>
      <c r="I321" s="49"/>
      <c r="J321" s="49"/>
    </row>
    <row r="322">
      <c r="A322" s="47"/>
      <c r="B322" s="47"/>
      <c r="C322" s="47"/>
      <c r="D322" s="49"/>
      <c r="E322" s="49"/>
      <c r="F322" s="49"/>
      <c r="G322" s="49"/>
      <c r="H322" s="49"/>
      <c r="I322" s="49"/>
      <c r="J322" s="49"/>
    </row>
    <row r="323">
      <c r="A323" s="47"/>
      <c r="B323" s="47"/>
      <c r="C323" s="47"/>
      <c r="D323" s="49"/>
      <c r="E323" s="49"/>
      <c r="F323" s="49"/>
      <c r="G323" s="49"/>
      <c r="H323" s="49"/>
      <c r="I323" s="49"/>
      <c r="J323" s="49"/>
    </row>
    <row r="324">
      <c r="A324" s="47"/>
      <c r="B324" s="47"/>
      <c r="C324" s="47"/>
      <c r="D324" s="49"/>
      <c r="E324" s="49"/>
      <c r="F324" s="49"/>
      <c r="G324" s="49"/>
      <c r="H324" s="49"/>
      <c r="I324" s="49"/>
      <c r="J324" s="49"/>
    </row>
    <row r="325">
      <c r="A325" s="47"/>
      <c r="B325" s="47"/>
      <c r="C325" s="47"/>
      <c r="D325" s="49"/>
      <c r="E325" s="49"/>
      <c r="F325" s="49"/>
      <c r="G325" s="49"/>
      <c r="H325" s="49"/>
      <c r="I325" s="49"/>
      <c r="J325" s="49"/>
    </row>
    <row r="326">
      <c r="A326" s="47"/>
      <c r="B326" s="47"/>
      <c r="C326" s="47"/>
      <c r="D326" s="49"/>
      <c r="E326" s="49"/>
      <c r="F326" s="49"/>
      <c r="G326" s="49"/>
      <c r="H326" s="49"/>
      <c r="I326" s="49"/>
      <c r="J326" s="49"/>
    </row>
    <row r="327">
      <c r="A327" s="47"/>
      <c r="B327" s="47"/>
      <c r="C327" s="47"/>
      <c r="D327" s="49"/>
      <c r="E327" s="49"/>
      <c r="F327" s="49"/>
      <c r="G327" s="49"/>
      <c r="H327" s="49"/>
      <c r="I327" s="49"/>
      <c r="J327" s="49"/>
    </row>
    <row r="328">
      <c r="A328" s="47"/>
      <c r="B328" s="47"/>
      <c r="C328" s="47"/>
      <c r="D328" s="49"/>
      <c r="E328" s="49"/>
      <c r="F328" s="49"/>
      <c r="G328" s="49"/>
      <c r="H328" s="49"/>
      <c r="I328" s="49"/>
      <c r="J328" s="49"/>
    </row>
    <row r="329">
      <c r="A329" s="47"/>
      <c r="B329" s="47"/>
      <c r="C329" s="47"/>
      <c r="D329" s="49"/>
      <c r="E329" s="49"/>
      <c r="F329" s="49"/>
      <c r="G329" s="49"/>
      <c r="H329" s="49"/>
      <c r="I329" s="49"/>
      <c r="J329" s="49"/>
    </row>
    <row r="330">
      <c r="A330" s="47"/>
      <c r="B330" s="47"/>
      <c r="C330" s="47"/>
      <c r="D330" s="49"/>
      <c r="E330" s="49"/>
      <c r="F330" s="49"/>
      <c r="G330" s="49"/>
      <c r="H330" s="49"/>
      <c r="I330" s="49"/>
      <c r="J330" s="49"/>
    </row>
    <row r="331">
      <c r="A331" s="47"/>
      <c r="B331" s="47"/>
      <c r="C331" s="47"/>
      <c r="D331" s="49"/>
      <c r="E331" s="49"/>
      <c r="F331" s="49"/>
      <c r="G331" s="49"/>
      <c r="H331" s="49"/>
      <c r="I331" s="49"/>
      <c r="J331" s="49"/>
    </row>
    <row r="332">
      <c r="A332" s="47"/>
      <c r="B332" s="47"/>
      <c r="C332" s="47"/>
      <c r="D332" s="49"/>
      <c r="E332" s="49"/>
      <c r="F332" s="49"/>
      <c r="G332" s="49"/>
      <c r="H332" s="49"/>
      <c r="I332" s="49"/>
      <c r="J332" s="49"/>
    </row>
    <row r="333">
      <c r="A333" s="47"/>
      <c r="B333" s="47"/>
      <c r="C333" s="47"/>
      <c r="D333" s="49"/>
      <c r="E333" s="49"/>
      <c r="F333" s="49"/>
      <c r="G333" s="49"/>
      <c r="H333" s="49"/>
      <c r="I333" s="49"/>
      <c r="J333" s="49"/>
    </row>
    <row r="334">
      <c r="A334" s="47"/>
      <c r="B334" s="47"/>
      <c r="C334" s="47"/>
      <c r="D334" s="49"/>
      <c r="E334" s="49"/>
      <c r="F334" s="49"/>
      <c r="G334" s="49"/>
      <c r="H334" s="49"/>
      <c r="I334" s="49"/>
      <c r="J334" s="49"/>
    </row>
    <row r="335">
      <c r="A335" s="47"/>
      <c r="B335" s="47"/>
      <c r="C335" s="47"/>
      <c r="D335" s="49"/>
      <c r="E335" s="49"/>
      <c r="F335" s="49"/>
      <c r="G335" s="49"/>
      <c r="H335" s="49"/>
      <c r="I335" s="49"/>
      <c r="J335" s="49"/>
    </row>
    <row r="336">
      <c r="A336" s="47"/>
      <c r="B336" s="47"/>
      <c r="C336" s="47"/>
      <c r="D336" s="49"/>
      <c r="E336" s="49"/>
      <c r="F336" s="49"/>
      <c r="G336" s="49"/>
      <c r="H336" s="49"/>
      <c r="I336" s="49"/>
      <c r="J336" s="49"/>
    </row>
    <row r="337">
      <c r="A337" s="47"/>
      <c r="B337" s="47"/>
      <c r="C337" s="47"/>
      <c r="D337" s="49"/>
      <c r="E337" s="49"/>
      <c r="F337" s="49"/>
      <c r="G337" s="49"/>
      <c r="H337" s="49"/>
      <c r="I337" s="49"/>
      <c r="J337" s="49"/>
    </row>
    <row r="338">
      <c r="A338" s="47"/>
      <c r="B338" s="47"/>
      <c r="C338" s="47"/>
      <c r="D338" s="49"/>
      <c r="E338" s="49"/>
      <c r="F338" s="49"/>
      <c r="G338" s="49"/>
      <c r="H338" s="49"/>
      <c r="I338" s="49"/>
      <c r="J338" s="49"/>
    </row>
    <row r="339">
      <c r="A339" s="47"/>
      <c r="B339" s="47"/>
      <c r="C339" s="47"/>
      <c r="D339" s="49"/>
      <c r="E339" s="49"/>
      <c r="F339" s="49"/>
      <c r="G339" s="49"/>
      <c r="H339" s="49"/>
      <c r="I339" s="49"/>
      <c r="J339" s="49"/>
    </row>
    <row r="340">
      <c r="A340" s="47"/>
      <c r="B340" s="47"/>
      <c r="C340" s="47"/>
      <c r="D340" s="49"/>
      <c r="E340" s="49"/>
      <c r="F340" s="49"/>
      <c r="G340" s="49"/>
      <c r="H340" s="49"/>
      <c r="I340" s="49"/>
      <c r="J340" s="49"/>
    </row>
    <row r="341">
      <c r="A341" s="47"/>
      <c r="B341" s="47"/>
      <c r="C341" s="47"/>
      <c r="D341" s="49"/>
      <c r="E341" s="49"/>
      <c r="F341" s="49"/>
      <c r="G341" s="49"/>
      <c r="H341" s="49"/>
      <c r="I341" s="49"/>
      <c r="J341" s="49"/>
    </row>
    <row r="342">
      <c r="A342" s="47"/>
      <c r="B342" s="47"/>
      <c r="C342" s="47"/>
      <c r="D342" s="49"/>
      <c r="E342" s="49"/>
      <c r="F342" s="49"/>
      <c r="G342" s="49"/>
      <c r="H342" s="49"/>
      <c r="I342" s="49"/>
      <c r="J342" s="49"/>
    </row>
    <row r="343">
      <c r="A343" s="47"/>
      <c r="B343" s="47"/>
      <c r="C343" s="47"/>
      <c r="D343" s="49"/>
      <c r="E343" s="49"/>
      <c r="F343" s="49"/>
      <c r="G343" s="49"/>
      <c r="H343" s="49"/>
      <c r="I343" s="49"/>
      <c r="J343" s="49"/>
    </row>
    <row r="344">
      <c r="A344" s="47"/>
      <c r="B344" s="47"/>
      <c r="C344" s="47"/>
      <c r="D344" s="49"/>
      <c r="E344" s="49"/>
      <c r="F344" s="49"/>
      <c r="G344" s="49"/>
      <c r="H344" s="49"/>
      <c r="I344" s="49"/>
      <c r="J344" s="49"/>
    </row>
    <row r="345">
      <c r="A345" s="47"/>
      <c r="B345" s="47"/>
      <c r="C345" s="47"/>
      <c r="D345" s="49"/>
      <c r="E345" s="49"/>
      <c r="F345" s="49"/>
      <c r="G345" s="49"/>
      <c r="H345" s="49"/>
      <c r="I345" s="49"/>
      <c r="J345" s="49"/>
    </row>
    <row r="346">
      <c r="A346" s="47"/>
      <c r="B346" s="47"/>
      <c r="C346" s="47"/>
      <c r="D346" s="49"/>
      <c r="E346" s="49"/>
      <c r="F346" s="49"/>
      <c r="G346" s="49"/>
      <c r="H346" s="49"/>
      <c r="I346" s="49"/>
      <c r="J346" s="49"/>
    </row>
    <row r="347">
      <c r="A347" s="47"/>
      <c r="B347" s="47"/>
      <c r="C347" s="47"/>
      <c r="D347" s="49"/>
      <c r="E347" s="49"/>
      <c r="F347" s="49"/>
      <c r="G347" s="49"/>
      <c r="H347" s="49"/>
      <c r="I347" s="49"/>
      <c r="J347" s="49"/>
    </row>
    <row r="348">
      <c r="A348" s="47"/>
      <c r="B348" s="47"/>
      <c r="C348" s="47"/>
      <c r="D348" s="49"/>
      <c r="E348" s="49"/>
      <c r="F348" s="49"/>
      <c r="G348" s="49"/>
      <c r="H348" s="49"/>
      <c r="I348" s="49"/>
      <c r="J348" s="49"/>
    </row>
    <row r="349">
      <c r="A349" s="47"/>
      <c r="B349" s="47"/>
      <c r="C349" s="47"/>
      <c r="D349" s="49"/>
      <c r="E349" s="49"/>
      <c r="F349" s="49"/>
      <c r="G349" s="49"/>
      <c r="H349" s="49"/>
      <c r="I349" s="49"/>
      <c r="J349" s="49"/>
    </row>
    <row r="350">
      <c r="A350" s="47"/>
      <c r="B350" s="47"/>
      <c r="C350" s="47"/>
      <c r="D350" s="49"/>
      <c r="E350" s="49"/>
      <c r="F350" s="49"/>
      <c r="G350" s="49"/>
      <c r="H350" s="49"/>
      <c r="I350" s="49"/>
      <c r="J350" s="49"/>
    </row>
    <row r="351">
      <c r="A351" s="47"/>
      <c r="B351" s="47"/>
      <c r="C351" s="47"/>
      <c r="D351" s="49"/>
      <c r="E351" s="49"/>
      <c r="F351" s="49"/>
      <c r="G351" s="49"/>
      <c r="H351" s="49"/>
      <c r="I351" s="49"/>
      <c r="J351" s="49"/>
    </row>
    <row r="352">
      <c r="A352" s="47"/>
      <c r="B352" s="47"/>
      <c r="C352" s="47"/>
      <c r="D352" s="49"/>
      <c r="E352" s="49"/>
      <c r="F352" s="49"/>
      <c r="G352" s="49"/>
      <c r="H352" s="49"/>
      <c r="I352" s="49"/>
      <c r="J352" s="49"/>
    </row>
    <row r="353">
      <c r="A353" s="47"/>
      <c r="B353" s="47"/>
      <c r="C353" s="47"/>
      <c r="D353" s="49"/>
      <c r="E353" s="49"/>
      <c r="F353" s="49"/>
      <c r="G353" s="49"/>
      <c r="H353" s="49"/>
      <c r="I353" s="49"/>
      <c r="J353" s="49"/>
    </row>
    <row r="354">
      <c r="A354" s="47"/>
      <c r="B354" s="47"/>
      <c r="C354" s="47"/>
      <c r="D354" s="49"/>
      <c r="E354" s="49"/>
      <c r="F354" s="49"/>
      <c r="G354" s="49"/>
      <c r="H354" s="49"/>
      <c r="I354" s="49"/>
      <c r="J354" s="49"/>
    </row>
    <row r="355">
      <c r="A355" s="47"/>
      <c r="B355" s="47"/>
      <c r="C355" s="47"/>
      <c r="D355" s="49"/>
      <c r="E355" s="49"/>
      <c r="F355" s="49"/>
      <c r="G355" s="49"/>
      <c r="H355" s="49"/>
      <c r="I355" s="49"/>
      <c r="J355" s="49"/>
    </row>
    <row r="356">
      <c r="A356" s="47"/>
      <c r="B356" s="47"/>
      <c r="C356" s="47"/>
      <c r="D356" s="49"/>
      <c r="E356" s="49"/>
      <c r="F356" s="49"/>
      <c r="G356" s="49"/>
      <c r="H356" s="49"/>
      <c r="I356" s="49"/>
      <c r="J356" s="49"/>
    </row>
    <row r="357">
      <c r="A357" s="47"/>
      <c r="B357" s="47"/>
      <c r="C357" s="47"/>
      <c r="D357" s="49"/>
      <c r="E357" s="49"/>
      <c r="F357" s="49"/>
      <c r="G357" s="49"/>
      <c r="H357" s="49"/>
      <c r="I357" s="49"/>
      <c r="J357" s="49"/>
    </row>
    <row r="358">
      <c r="A358" s="47"/>
      <c r="B358" s="47"/>
      <c r="C358" s="47"/>
      <c r="D358" s="49"/>
      <c r="E358" s="49"/>
      <c r="F358" s="49"/>
      <c r="G358" s="49"/>
      <c r="H358" s="49"/>
      <c r="I358" s="49"/>
      <c r="J358" s="49"/>
    </row>
    <row r="359">
      <c r="A359" s="47"/>
      <c r="B359" s="47"/>
      <c r="C359" s="47"/>
      <c r="D359" s="49"/>
      <c r="E359" s="49"/>
      <c r="F359" s="49"/>
      <c r="G359" s="49"/>
      <c r="H359" s="49"/>
      <c r="I359" s="49"/>
      <c r="J359" s="49"/>
    </row>
    <row r="360">
      <c r="A360" s="47"/>
      <c r="B360" s="47"/>
      <c r="C360" s="47"/>
      <c r="D360" s="49"/>
      <c r="E360" s="49"/>
      <c r="F360" s="49"/>
      <c r="G360" s="49"/>
      <c r="H360" s="49"/>
      <c r="I360" s="49"/>
      <c r="J360" s="49"/>
    </row>
    <row r="361">
      <c r="A361" s="47"/>
      <c r="B361" s="47"/>
      <c r="C361" s="47"/>
      <c r="D361" s="49"/>
      <c r="E361" s="49"/>
      <c r="F361" s="49"/>
      <c r="G361" s="49"/>
      <c r="H361" s="49"/>
      <c r="I361" s="49"/>
      <c r="J361" s="49"/>
    </row>
    <row r="362">
      <c r="A362" s="47"/>
      <c r="B362" s="47"/>
      <c r="C362" s="47"/>
      <c r="D362" s="49"/>
      <c r="E362" s="49"/>
      <c r="F362" s="49"/>
      <c r="G362" s="49"/>
      <c r="H362" s="49"/>
      <c r="I362" s="49"/>
      <c r="J362" s="49"/>
    </row>
    <row r="363">
      <c r="A363" s="47"/>
      <c r="B363" s="47"/>
      <c r="C363" s="47"/>
      <c r="D363" s="49"/>
      <c r="E363" s="49"/>
      <c r="F363" s="49"/>
      <c r="G363" s="49"/>
      <c r="H363" s="49"/>
      <c r="I363" s="49"/>
      <c r="J363" s="49"/>
    </row>
    <row r="364">
      <c r="A364" s="47"/>
      <c r="B364" s="47"/>
      <c r="C364" s="47"/>
      <c r="D364" s="49"/>
      <c r="E364" s="49"/>
      <c r="F364" s="49"/>
      <c r="G364" s="49"/>
      <c r="H364" s="49"/>
      <c r="I364" s="49"/>
      <c r="J364" s="49"/>
    </row>
    <row r="365">
      <c r="A365" s="47"/>
      <c r="B365" s="47"/>
      <c r="C365" s="47"/>
      <c r="D365" s="49"/>
      <c r="E365" s="49"/>
      <c r="F365" s="49"/>
      <c r="G365" s="49"/>
      <c r="H365" s="49"/>
      <c r="I365" s="49"/>
      <c r="J365" s="49"/>
    </row>
    <row r="366">
      <c r="A366" s="47"/>
      <c r="B366" s="47"/>
      <c r="C366" s="47"/>
      <c r="D366" s="49"/>
      <c r="E366" s="49"/>
      <c r="F366" s="49"/>
      <c r="G366" s="49"/>
      <c r="H366" s="49"/>
      <c r="I366" s="49"/>
      <c r="J366" s="49"/>
    </row>
    <row r="367">
      <c r="A367" s="47"/>
      <c r="B367" s="47"/>
      <c r="C367" s="47"/>
      <c r="D367" s="49"/>
      <c r="E367" s="49"/>
      <c r="F367" s="49"/>
      <c r="G367" s="49"/>
      <c r="H367" s="49"/>
      <c r="I367" s="49"/>
      <c r="J367" s="49"/>
    </row>
    <row r="368">
      <c r="A368" s="47"/>
      <c r="B368" s="47"/>
      <c r="C368" s="47"/>
      <c r="D368" s="49"/>
      <c r="E368" s="49"/>
      <c r="F368" s="49"/>
      <c r="G368" s="49"/>
      <c r="H368" s="49"/>
      <c r="I368" s="49"/>
      <c r="J368" s="49"/>
    </row>
    <row r="369">
      <c r="A369" s="47"/>
      <c r="B369" s="47"/>
      <c r="C369" s="47"/>
      <c r="D369" s="49"/>
      <c r="E369" s="49"/>
      <c r="F369" s="49"/>
      <c r="G369" s="49"/>
      <c r="H369" s="49"/>
      <c r="I369" s="49"/>
      <c r="J369" s="49"/>
    </row>
    <row r="370">
      <c r="A370" s="47"/>
      <c r="B370" s="47"/>
      <c r="C370" s="47"/>
      <c r="D370" s="49"/>
      <c r="E370" s="49"/>
      <c r="F370" s="49"/>
      <c r="G370" s="49"/>
      <c r="H370" s="49"/>
      <c r="I370" s="49"/>
      <c r="J370" s="49"/>
    </row>
    <row r="371">
      <c r="A371" s="47"/>
      <c r="B371" s="47"/>
      <c r="C371" s="47"/>
      <c r="D371" s="49"/>
      <c r="E371" s="49"/>
      <c r="F371" s="49"/>
      <c r="G371" s="49"/>
      <c r="H371" s="49"/>
      <c r="I371" s="49"/>
      <c r="J371" s="49"/>
    </row>
    <row r="372">
      <c r="A372" s="47"/>
      <c r="B372" s="47"/>
      <c r="C372" s="47"/>
      <c r="D372" s="49"/>
      <c r="E372" s="49"/>
      <c r="F372" s="49"/>
      <c r="G372" s="49"/>
      <c r="H372" s="49"/>
      <c r="I372" s="49"/>
      <c r="J372" s="49"/>
    </row>
    <row r="373">
      <c r="A373" s="47"/>
      <c r="B373" s="47"/>
      <c r="C373" s="47"/>
      <c r="D373" s="49"/>
      <c r="E373" s="49"/>
      <c r="F373" s="49"/>
      <c r="G373" s="49"/>
      <c r="H373" s="49"/>
      <c r="I373" s="49"/>
      <c r="J373" s="49"/>
    </row>
    <row r="374">
      <c r="A374" s="47"/>
      <c r="B374" s="47"/>
      <c r="C374" s="47"/>
      <c r="D374" s="49"/>
      <c r="E374" s="49"/>
      <c r="F374" s="49"/>
      <c r="G374" s="49"/>
      <c r="H374" s="49"/>
      <c r="I374" s="49"/>
      <c r="J374" s="49"/>
    </row>
    <row r="375">
      <c r="A375" s="47"/>
      <c r="B375" s="47"/>
      <c r="C375" s="47"/>
      <c r="D375" s="49"/>
      <c r="E375" s="49"/>
      <c r="F375" s="49"/>
      <c r="G375" s="49"/>
      <c r="H375" s="49"/>
      <c r="I375" s="49"/>
      <c r="J375" s="49"/>
    </row>
    <row r="376">
      <c r="A376" s="47"/>
      <c r="B376" s="47"/>
      <c r="C376" s="47"/>
      <c r="D376" s="49"/>
      <c r="E376" s="49"/>
      <c r="F376" s="49"/>
      <c r="G376" s="49"/>
      <c r="H376" s="49"/>
      <c r="I376" s="49"/>
      <c r="J376" s="49"/>
    </row>
    <row r="377">
      <c r="A377" s="47"/>
      <c r="B377" s="47"/>
      <c r="C377" s="47"/>
      <c r="D377" s="49"/>
      <c r="E377" s="49"/>
      <c r="F377" s="49"/>
      <c r="G377" s="49"/>
      <c r="H377" s="49"/>
      <c r="I377" s="49"/>
      <c r="J377" s="49"/>
    </row>
    <row r="378">
      <c r="A378" s="47"/>
      <c r="B378" s="47"/>
      <c r="C378" s="47"/>
      <c r="D378" s="49"/>
      <c r="E378" s="49"/>
      <c r="F378" s="49"/>
      <c r="G378" s="49"/>
      <c r="H378" s="49"/>
      <c r="I378" s="49"/>
      <c r="J378" s="49"/>
    </row>
    <row r="379">
      <c r="A379" s="47"/>
      <c r="B379" s="47"/>
      <c r="C379" s="47"/>
      <c r="D379" s="49"/>
      <c r="E379" s="49"/>
      <c r="F379" s="49"/>
      <c r="G379" s="49"/>
      <c r="H379" s="49"/>
      <c r="I379" s="49"/>
      <c r="J379" s="49"/>
    </row>
    <row r="380">
      <c r="A380" s="47"/>
      <c r="B380" s="47"/>
      <c r="C380" s="47"/>
      <c r="D380" s="49"/>
      <c r="E380" s="49"/>
      <c r="F380" s="49"/>
      <c r="G380" s="49"/>
      <c r="H380" s="49"/>
      <c r="I380" s="49"/>
      <c r="J380" s="49"/>
    </row>
    <row r="381">
      <c r="A381" s="47"/>
      <c r="B381" s="47"/>
      <c r="C381" s="47"/>
      <c r="D381" s="49"/>
      <c r="E381" s="49"/>
      <c r="F381" s="49"/>
      <c r="G381" s="49"/>
      <c r="H381" s="49"/>
      <c r="I381" s="49"/>
      <c r="J381" s="49"/>
    </row>
    <row r="382">
      <c r="A382" s="47"/>
      <c r="B382" s="47"/>
      <c r="C382" s="47"/>
      <c r="D382" s="49"/>
      <c r="E382" s="49"/>
      <c r="F382" s="49"/>
      <c r="G382" s="49"/>
      <c r="H382" s="49"/>
      <c r="I382" s="49"/>
      <c r="J382" s="49"/>
    </row>
    <row r="383">
      <c r="A383" s="47"/>
      <c r="B383" s="47"/>
      <c r="C383" s="47"/>
      <c r="D383" s="49"/>
      <c r="E383" s="49"/>
      <c r="F383" s="49"/>
      <c r="G383" s="49"/>
      <c r="H383" s="49"/>
      <c r="I383" s="49"/>
      <c r="J383" s="49"/>
    </row>
    <row r="384">
      <c r="A384" s="47"/>
      <c r="B384" s="47"/>
      <c r="C384" s="47"/>
      <c r="D384" s="49"/>
      <c r="E384" s="49"/>
      <c r="F384" s="49"/>
      <c r="G384" s="49"/>
      <c r="H384" s="49"/>
      <c r="I384" s="49"/>
      <c r="J384" s="49"/>
    </row>
    <row r="385">
      <c r="A385" s="47"/>
      <c r="B385" s="47"/>
      <c r="C385" s="47"/>
      <c r="D385" s="49"/>
      <c r="E385" s="49"/>
      <c r="F385" s="49"/>
      <c r="G385" s="49"/>
      <c r="H385" s="49"/>
      <c r="I385" s="49"/>
      <c r="J385" s="49"/>
    </row>
    <row r="386">
      <c r="A386" s="47"/>
      <c r="B386" s="47"/>
      <c r="C386" s="47"/>
      <c r="D386" s="49"/>
      <c r="E386" s="49"/>
      <c r="F386" s="49"/>
      <c r="G386" s="49"/>
      <c r="H386" s="49"/>
      <c r="I386" s="49"/>
      <c r="J386" s="49"/>
    </row>
    <row r="387">
      <c r="A387" s="47"/>
      <c r="B387" s="47"/>
      <c r="C387" s="47"/>
      <c r="D387" s="49"/>
      <c r="E387" s="49"/>
      <c r="F387" s="49"/>
      <c r="G387" s="49"/>
      <c r="H387" s="49"/>
      <c r="I387" s="49"/>
      <c r="J387" s="49"/>
    </row>
    <row r="388">
      <c r="A388" s="47"/>
      <c r="B388" s="47"/>
      <c r="C388" s="47"/>
      <c r="D388" s="49"/>
      <c r="E388" s="49"/>
      <c r="F388" s="49"/>
      <c r="G388" s="49"/>
      <c r="H388" s="49"/>
      <c r="I388" s="49"/>
      <c r="J388" s="49"/>
    </row>
    <row r="389">
      <c r="A389" s="47"/>
      <c r="B389" s="47"/>
      <c r="C389" s="47"/>
      <c r="D389" s="49"/>
      <c r="E389" s="49"/>
      <c r="F389" s="49"/>
      <c r="G389" s="49"/>
      <c r="H389" s="49"/>
      <c r="I389" s="49"/>
      <c r="J389" s="49"/>
    </row>
    <row r="390">
      <c r="A390" s="47"/>
      <c r="B390" s="47"/>
      <c r="C390" s="47"/>
      <c r="D390" s="49"/>
      <c r="E390" s="49"/>
      <c r="F390" s="49"/>
      <c r="G390" s="49"/>
      <c r="H390" s="49"/>
      <c r="I390" s="49"/>
      <c r="J390" s="49"/>
    </row>
    <row r="391">
      <c r="A391" s="47"/>
      <c r="B391" s="47"/>
      <c r="C391" s="47"/>
      <c r="D391" s="49"/>
      <c r="E391" s="49"/>
      <c r="F391" s="49"/>
      <c r="G391" s="49"/>
      <c r="H391" s="49"/>
      <c r="I391" s="49"/>
      <c r="J391" s="49"/>
    </row>
    <row r="392">
      <c r="A392" s="47"/>
      <c r="B392" s="47"/>
      <c r="C392" s="47"/>
      <c r="D392" s="49"/>
      <c r="E392" s="49"/>
      <c r="F392" s="49"/>
      <c r="G392" s="49"/>
      <c r="H392" s="49"/>
      <c r="I392" s="49"/>
      <c r="J392" s="49"/>
    </row>
    <row r="393">
      <c r="A393" s="47"/>
      <c r="B393" s="47"/>
      <c r="C393" s="47"/>
      <c r="D393" s="49"/>
      <c r="E393" s="49"/>
      <c r="F393" s="49"/>
      <c r="G393" s="49"/>
      <c r="H393" s="49"/>
      <c r="I393" s="49"/>
      <c r="J393" s="49"/>
    </row>
    <row r="394">
      <c r="A394" s="47"/>
      <c r="B394" s="47"/>
      <c r="C394" s="47"/>
      <c r="D394" s="49"/>
      <c r="E394" s="49"/>
      <c r="F394" s="49"/>
      <c r="G394" s="49"/>
      <c r="H394" s="49"/>
      <c r="I394" s="49"/>
      <c r="J394" s="49"/>
    </row>
    <row r="395">
      <c r="A395" s="47"/>
      <c r="B395" s="47"/>
      <c r="C395" s="47"/>
      <c r="D395" s="49"/>
      <c r="E395" s="49"/>
      <c r="F395" s="49"/>
      <c r="G395" s="49"/>
      <c r="H395" s="49"/>
      <c r="I395" s="49"/>
      <c r="J395" s="49"/>
    </row>
    <row r="396">
      <c r="A396" s="47"/>
      <c r="B396" s="47"/>
      <c r="C396" s="47"/>
      <c r="D396" s="49"/>
      <c r="E396" s="49"/>
      <c r="F396" s="49"/>
      <c r="G396" s="49"/>
      <c r="H396" s="49"/>
      <c r="I396" s="49"/>
      <c r="J396" s="49"/>
    </row>
    <row r="397">
      <c r="A397" s="47"/>
      <c r="B397" s="47"/>
      <c r="C397" s="47"/>
      <c r="D397" s="49"/>
      <c r="E397" s="49"/>
      <c r="F397" s="49"/>
      <c r="G397" s="49"/>
      <c r="H397" s="49"/>
      <c r="I397" s="49"/>
      <c r="J397" s="49"/>
    </row>
    <row r="398">
      <c r="A398" s="47"/>
      <c r="B398" s="47"/>
      <c r="C398" s="47"/>
      <c r="D398" s="49"/>
      <c r="E398" s="49"/>
      <c r="F398" s="49"/>
      <c r="G398" s="49"/>
      <c r="H398" s="49"/>
      <c r="I398" s="49"/>
      <c r="J398" s="49"/>
    </row>
    <row r="399">
      <c r="A399" s="47"/>
      <c r="B399" s="47"/>
      <c r="C399" s="47"/>
      <c r="D399" s="49"/>
      <c r="E399" s="49"/>
      <c r="F399" s="49"/>
      <c r="G399" s="49"/>
      <c r="H399" s="49"/>
      <c r="I399" s="49"/>
      <c r="J399" s="49"/>
    </row>
    <row r="400">
      <c r="A400" s="47"/>
      <c r="B400" s="47"/>
      <c r="C400" s="47"/>
      <c r="D400" s="49"/>
      <c r="E400" s="49"/>
      <c r="F400" s="49"/>
      <c r="G400" s="49"/>
      <c r="H400" s="49"/>
      <c r="I400" s="49"/>
      <c r="J400" s="49"/>
    </row>
    <row r="401">
      <c r="A401" s="47"/>
      <c r="B401" s="47"/>
      <c r="C401" s="47"/>
      <c r="D401" s="49"/>
      <c r="E401" s="49"/>
      <c r="F401" s="49"/>
      <c r="G401" s="49"/>
      <c r="H401" s="49"/>
      <c r="I401" s="49"/>
      <c r="J401" s="49"/>
    </row>
    <row r="402">
      <c r="A402" s="47"/>
      <c r="B402" s="47"/>
      <c r="C402" s="47"/>
      <c r="D402" s="49"/>
      <c r="E402" s="49"/>
      <c r="F402" s="49"/>
      <c r="G402" s="49"/>
      <c r="H402" s="49"/>
      <c r="I402" s="49"/>
      <c r="J402" s="49"/>
    </row>
    <row r="403">
      <c r="A403" s="47"/>
      <c r="B403" s="47"/>
      <c r="C403" s="47"/>
      <c r="D403" s="49"/>
      <c r="E403" s="49"/>
      <c r="F403" s="49"/>
      <c r="G403" s="49"/>
      <c r="H403" s="49"/>
      <c r="I403" s="49"/>
      <c r="J403" s="49"/>
    </row>
    <row r="404">
      <c r="A404" s="47"/>
      <c r="B404" s="47"/>
      <c r="C404" s="47"/>
      <c r="D404" s="49"/>
      <c r="E404" s="49"/>
      <c r="F404" s="49"/>
      <c r="G404" s="49"/>
      <c r="H404" s="49"/>
      <c r="I404" s="49"/>
      <c r="J404" s="49"/>
    </row>
    <row r="405">
      <c r="A405" s="47"/>
      <c r="B405" s="47"/>
      <c r="C405" s="47"/>
      <c r="D405" s="49"/>
      <c r="E405" s="49"/>
      <c r="F405" s="49"/>
      <c r="G405" s="49"/>
      <c r="H405" s="49"/>
      <c r="I405" s="49"/>
      <c r="J405" s="49"/>
    </row>
    <row r="406">
      <c r="A406" s="47"/>
      <c r="B406" s="47"/>
      <c r="C406" s="47"/>
      <c r="D406" s="49"/>
      <c r="E406" s="49"/>
      <c r="F406" s="49"/>
      <c r="G406" s="49"/>
      <c r="H406" s="49"/>
      <c r="I406" s="49"/>
      <c r="J406" s="49"/>
    </row>
    <row r="407">
      <c r="A407" s="47"/>
      <c r="B407" s="47"/>
      <c r="C407" s="47"/>
      <c r="D407" s="49"/>
      <c r="E407" s="49"/>
      <c r="F407" s="49"/>
      <c r="G407" s="49"/>
      <c r="H407" s="49"/>
      <c r="I407" s="49"/>
      <c r="J407" s="49"/>
    </row>
    <row r="408">
      <c r="A408" s="47"/>
      <c r="B408" s="47"/>
      <c r="C408" s="47"/>
      <c r="D408" s="49"/>
      <c r="E408" s="49"/>
      <c r="F408" s="49"/>
      <c r="G408" s="49"/>
      <c r="H408" s="49"/>
      <c r="I408" s="49"/>
      <c r="J408" s="49"/>
    </row>
    <row r="409">
      <c r="A409" s="47"/>
      <c r="B409" s="47"/>
      <c r="C409" s="47"/>
      <c r="D409" s="49"/>
      <c r="E409" s="49"/>
      <c r="F409" s="49"/>
      <c r="G409" s="49"/>
      <c r="H409" s="49"/>
      <c r="I409" s="49"/>
      <c r="J409" s="49"/>
    </row>
    <row r="410">
      <c r="A410" s="47"/>
      <c r="B410" s="47"/>
      <c r="C410" s="47"/>
      <c r="D410" s="49"/>
      <c r="E410" s="49"/>
      <c r="F410" s="49"/>
      <c r="G410" s="49"/>
      <c r="H410" s="49"/>
      <c r="I410" s="49"/>
      <c r="J410" s="49"/>
    </row>
    <row r="411">
      <c r="A411" s="47"/>
      <c r="B411" s="47"/>
      <c r="C411" s="47"/>
      <c r="D411" s="49"/>
      <c r="E411" s="49"/>
      <c r="F411" s="49"/>
      <c r="G411" s="49"/>
      <c r="H411" s="49"/>
      <c r="I411" s="49"/>
      <c r="J411" s="49"/>
    </row>
    <row r="412">
      <c r="A412" s="47"/>
      <c r="B412" s="47"/>
      <c r="C412" s="47"/>
      <c r="D412" s="49"/>
      <c r="E412" s="49"/>
      <c r="F412" s="49"/>
      <c r="G412" s="49"/>
      <c r="H412" s="49"/>
      <c r="I412" s="49"/>
      <c r="J412" s="49"/>
    </row>
    <row r="413">
      <c r="A413" s="47"/>
      <c r="B413" s="47"/>
      <c r="C413" s="47"/>
      <c r="D413" s="49"/>
      <c r="E413" s="49"/>
      <c r="F413" s="49"/>
      <c r="G413" s="49"/>
      <c r="H413" s="49"/>
      <c r="I413" s="49"/>
      <c r="J413" s="49"/>
    </row>
    <row r="414">
      <c r="A414" s="47"/>
      <c r="B414" s="47"/>
      <c r="C414" s="47"/>
      <c r="D414" s="49"/>
      <c r="E414" s="49"/>
      <c r="F414" s="49"/>
      <c r="G414" s="49"/>
      <c r="H414" s="49"/>
      <c r="I414" s="49"/>
      <c r="J414" s="49"/>
    </row>
    <row r="415">
      <c r="A415" s="47"/>
      <c r="B415" s="47"/>
      <c r="C415" s="47"/>
      <c r="D415" s="49"/>
      <c r="E415" s="49"/>
      <c r="F415" s="49"/>
      <c r="G415" s="49"/>
      <c r="H415" s="49"/>
      <c r="I415" s="49"/>
      <c r="J415" s="49"/>
    </row>
    <row r="416">
      <c r="A416" s="47"/>
      <c r="B416" s="47"/>
      <c r="C416" s="47"/>
      <c r="D416" s="49"/>
      <c r="E416" s="49"/>
      <c r="F416" s="49"/>
      <c r="G416" s="49"/>
      <c r="H416" s="49"/>
      <c r="I416" s="49"/>
      <c r="J416" s="49"/>
    </row>
    <row r="417">
      <c r="A417" s="47"/>
      <c r="B417" s="47"/>
      <c r="C417" s="47"/>
      <c r="D417" s="49"/>
      <c r="E417" s="49"/>
      <c r="F417" s="49"/>
      <c r="G417" s="49"/>
      <c r="H417" s="49"/>
      <c r="I417" s="49"/>
      <c r="J417" s="49"/>
    </row>
    <row r="418">
      <c r="A418" s="47"/>
      <c r="B418" s="47"/>
      <c r="C418" s="47"/>
      <c r="D418" s="49"/>
      <c r="E418" s="49"/>
      <c r="F418" s="49"/>
      <c r="G418" s="49"/>
      <c r="H418" s="49"/>
      <c r="I418" s="49"/>
      <c r="J418" s="49"/>
    </row>
    <row r="419">
      <c r="A419" s="47"/>
      <c r="B419" s="47"/>
      <c r="C419" s="47"/>
      <c r="D419" s="49"/>
      <c r="E419" s="49"/>
      <c r="F419" s="49"/>
      <c r="G419" s="49"/>
      <c r="H419" s="49"/>
      <c r="I419" s="49"/>
      <c r="J419" s="49"/>
    </row>
    <row r="420">
      <c r="A420" s="47"/>
      <c r="B420" s="47"/>
      <c r="C420" s="47"/>
      <c r="D420" s="49"/>
      <c r="E420" s="49"/>
      <c r="F420" s="49"/>
      <c r="G420" s="49"/>
      <c r="H420" s="49"/>
      <c r="I420" s="49"/>
      <c r="J420" s="49"/>
    </row>
    <row r="421">
      <c r="A421" s="47"/>
      <c r="B421" s="47"/>
      <c r="C421" s="47"/>
      <c r="D421" s="49"/>
      <c r="E421" s="49"/>
      <c r="F421" s="49"/>
      <c r="G421" s="49"/>
      <c r="H421" s="49"/>
      <c r="I421" s="49"/>
      <c r="J421" s="49"/>
    </row>
    <row r="422">
      <c r="A422" s="47"/>
      <c r="B422" s="47"/>
      <c r="C422" s="47"/>
      <c r="D422" s="49"/>
      <c r="E422" s="49"/>
      <c r="F422" s="49"/>
      <c r="G422" s="49"/>
      <c r="H422" s="49"/>
      <c r="I422" s="49"/>
      <c r="J422" s="49"/>
    </row>
    <row r="423">
      <c r="A423" s="47"/>
      <c r="B423" s="47"/>
      <c r="C423" s="47"/>
      <c r="D423" s="49"/>
      <c r="E423" s="49"/>
      <c r="F423" s="49"/>
      <c r="G423" s="49"/>
      <c r="H423" s="49"/>
      <c r="I423" s="49"/>
      <c r="J423" s="49"/>
    </row>
    <row r="424">
      <c r="A424" s="47"/>
      <c r="B424" s="47"/>
      <c r="C424" s="47"/>
      <c r="D424" s="49"/>
      <c r="E424" s="49"/>
      <c r="F424" s="49"/>
      <c r="G424" s="49"/>
      <c r="H424" s="49"/>
      <c r="I424" s="49"/>
      <c r="J424" s="49"/>
    </row>
    <row r="425">
      <c r="A425" s="47"/>
      <c r="B425" s="47"/>
      <c r="C425" s="47"/>
      <c r="D425" s="49"/>
      <c r="E425" s="49"/>
      <c r="F425" s="49"/>
      <c r="G425" s="49"/>
      <c r="H425" s="49"/>
      <c r="I425" s="49"/>
      <c r="J425" s="49"/>
    </row>
    <row r="426">
      <c r="A426" s="47"/>
      <c r="B426" s="47"/>
      <c r="C426" s="47"/>
      <c r="D426" s="49"/>
      <c r="E426" s="49"/>
      <c r="F426" s="49"/>
      <c r="G426" s="49"/>
      <c r="H426" s="49"/>
      <c r="I426" s="49"/>
      <c r="J426" s="49"/>
    </row>
    <row r="427">
      <c r="A427" s="47"/>
      <c r="B427" s="47"/>
      <c r="C427" s="47"/>
      <c r="D427" s="49"/>
      <c r="E427" s="49"/>
      <c r="F427" s="49"/>
      <c r="G427" s="49"/>
      <c r="H427" s="49"/>
      <c r="I427" s="49"/>
      <c r="J427" s="49"/>
    </row>
    <row r="428">
      <c r="A428" s="47"/>
      <c r="B428" s="47"/>
      <c r="C428" s="47"/>
      <c r="D428" s="49"/>
      <c r="E428" s="49"/>
      <c r="F428" s="49"/>
      <c r="G428" s="49"/>
      <c r="H428" s="49"/>
      <c r="I428" s="49"/>
      <c r="J428" s="49"/>
    </row>
    <row r="429">
      <c r="A429" s="47"/>
      <c r="B429" s="47"/>
      <c r="C429" s="47"/>
      <c r="D429" s="49"/>
      <c r="E429" s="49"/>
      <c r="F429" s="49"/>
      <c r="G429" s="49"/>
      <c r="H429" s="49"/>
      <c r="I429" s="49"/>
      <c r="J429" s="49"/>
    </row>
    <row r="430">
      <c r="A430" s="47"/>
      <c r="B430" s="47"/>
      <c r="C430" s="47"/>
      <c r="D430" s="49"/>
      <c r="E430" s="49"/>
      <c r="F430" s="49"/>
      <c r="G430" s="49"/>
      <c r="H430" s="49"/>
      <c r="I430" s="49"/>
      <c r="J430" s="49"/>
    </row>
    <row r="431">
      <c r="A431" s="47"/>
      <c r="B431" s="47"/>
      <c r="C431" s="47"/>
      <c r="D431" s="49"/>
      <c r="E431" s="49"/>
      <c r="F431" s="49"/>
      <c r="G431" s="49"/>
      <c r="H431" s="49"/>
      <c r="I431" s="49"/>
      <c r="J431" s="49"/>
    </row>
    <row r="432">
      <c r="A432" s="47"/>
      <c r="B432" s="47"/>
      <c r="C432" s="47"/>
      <c r="D432" s="49"/>
      <c r="E432" s="49"/>
      <c r="F432" s="49"/>
      <c r="G432" s="49"/>
      <c r="H432" s="49"/>
      <c r="I432" s="49"/>
      <c r="J432" s="49"/>
    </row>
    <row r="433">
      <c r="A433" s="47"/>
      <c r="B433" s="47"/>
      <c r="C433" s="47"/>
      <c r="D433" s="49"/>
      <c r="E433" s="49"/>
      <c r="F433" s="49"/>
      <c r="G433" s="49"/>
      <c r="H433" s="49"/>
      <c r="I433" s="49"/>
      <c r="J433" s="49"/>
    </row>
    <row r="434">
      <c r="A434" s="47"/>
      <c r="B434" s="47"/>
      <c r="C434" s="47"/>
      <c r="D434" s="49"/>
      <c r="E434" s="49"/>
      <c r="F434" s="49"/>
      <c r="G434" s="49"/>
      <c r="H434" s="49"/>
      <c r="I434" s="49"/>
      <c r="J434" s="49"/>
    </row>
    <row r="435">
      <c r="A435" s="47"/>
      <c r="B435" s="47"/>
      <c r="C435" s="47"/>
      <c r="D435" s="49"/>
      <c r="E435" s="49"/>
      <c r="F435" s="49"/>
      <c r="G435" s="49"/>
      <c r="H435" s="49"/>
      <c r="I435" s="49"/>
      <c r="J435" s="49"/>
    </row>
    <row r="436">
      <c r="A436" s="47"/>
      <c r="B436" s="47"/>
      <c r="C436" s="47"/>
      <c r="D436" s="49"/>
      <c r="E436" s="49"/>
      <c r="F436" s="49"/>
      <c r="G436" s="49"/>
      <c r="H436" s="49"/>
      <c r="I436" s="49"/>
      <c r="J436" s="49"/>
    </row>
    <row r="437">
      <c r="A437" s="47"/>
      <c r="B437" s="47"/>
      <c r="C437" s="47"/>
      <c r="D437" s="49"/>
      <c r="E437" s="49"/>
      <c r="F437" s="49"/>
      <c r="G437" s="49"/>
      <c r="H437" s="49"/>
      <c r="I437" s="49"/>
      <c r="J437" s="49"/>
    </row>
    <row r="438">
      <c r="A438" s="47"/>
      <c r="B438" s="47"/>
      <c r="C438" s="47"/>
      <c r="D438" s="49"/>
      <c r="E438" s="49"/>
      <c r="F438" s="49"/>
      <c r="G438" s="49"/>
      <c r="H438" s="49"/>
      <c r="I438" s="49"/>
      <c r="J438" s="49"/>
    </row>
    <row r="439">
      <c r="A439" s="47"/>
      <c r="B439" s="47"/>
      <c r="C439" s="47"/>
      <c r="D439" s="49"/>
      <c r="E439" s="49"/>
      <c r="F439" s="49"/>
      <c r="G439" s="49"/>
      <c r="H439" s="49"/>
      <c r="I439" s="49"/>
      <c r="J439" s="49"/>
    </row>
    <row r="440">
      <c r="A440" s="47"/>
      <c r="B440" s="47"/>
      <c r="C440" s="47"/>
      <c r="D440" s="49"/>
      <c r="E440" s="49"/>
      <c r="F440" s="49"/>
      <c r="G440" s="49"/>
      <c r="H440" s="49"/>
      <c r="I440" s="49"/>
      <c r="J440" s="49"/>
    </row>
    <row r="441">
      <c r="A441" s="47"/>
      <c r="B441" s="47"/>
      <c r="C441" s="47"/>
      <c r="D441" s="49"/>
      <c r="E441" s="49"/>
      <c r="F441" s="49"/>
      <c r="G441" s="49"/>
      <c r="H441" s="49"/>
      <c r="I441" s="49"/>
      <c r="J441" s="49"/>
    </row>
    <row r="442">
      <c r="A442" s="47"/>
      <c r="B442" s="47"/>
      <c r="C442" s="47"/>
      <c r="D442" s="49"/>
      <c r="E442" s="49"/>
      <c r="F442" s="49"/>
      <c r="G442" s="49"/>
      <c r="H442" s="49"/>
      <c r="I442" s="49"/>
      <c r="J442" s="49"/>
    </row>
    <row r="443">
      <c r="A443" s="47"/>
      <c r="B443" s="47"/>
      <c r="C443" s="47"/>
      <c r="D443" s="49"/>
      <c r="E443" s="49"/>
      <c r="F443" s="49"/>
      <c r="G443" s="49"/>
      <c r="H443" s="49"/>
      <c r="I443" s="49"/>
      <c r="J443" s="49"/>
    </row>
    <row r="444">
      <c r="A444" s="47"/>
      <c r="B444" s="47"/>
      <c r="C444" s="47"/>
      <c r="D444" s="49"/>
      <c r="E444" s="49"/>
      <c r="F444" s="49"/>
      <c r="G444" s="49"/>
      <c r="H444" s="49"/>
      <c r="I444" s="49"/>
      <c r="J444" s="49"/>
    </row>
    <row r="445">
      <c r="A445" s="47"/>
      <c r="B445" s="47"/>
      <c r="C445" s="47"/>
      <c r="D445" s="49"/>
      <c r="E445" s="49"/>
      <c r="F445" s="49"/>
      <c r="G445" s="49"/>
      <c r="H445" s="49"/>
      <c r="I445" s="49"/>
      <c r="J445" s="49"/>
    </row>
    <row r="446">
      <c r="A446" s="47"/>
      <c r="B446" s="47"/>
      <c r="C446" s="47"/>
      <c r="D446" s="49"/>
      <c r="E446" s="49"/>
      <c r="F446" s="49"/>
      <c r="G446" s="49"/>
      <c r="H446" s="49"/>
      <c r="I446" s="49"/>
      <c r="J446" s="49"/>
    </row>
    <row r="447">
      <c r="A447" s="47"/>
      <c r="B447" s="47"/>
      <c r="C447" s="47"/>
      <c r="D447" s="49"/>
      <c r="E447" s="49"/>
      <c r="F447" s="49"/>
      <c r="G447" s="49"/>
      <c r="H447" s="49"/>
      <c r="I447" s="49"/>
      <c r="J447" s="49"/>
    </row>
    <row r="448">
      <c r="A448" s="47"/>
      <c r="B448" s="47"/>
      <c r="C448" s="47"/>
      <c r="D448" s="49"/>
      <c r="E448" s="49"/>
      <c r="F448" s="49"/>
      <c r="G448" s="49"/>
      <c r="H448" s="49"/>
      <c r="I448" s="49"/>
      <c r="J448" s="49"/>
    </row>
    <row r="449">
      <c r="A449" s="47"/>
      <c r="B449" s="47"/>
      <c r="C449" s="47"/>
      <c r="D449" s="49"/>
      <c r="E449" s="49"/>
      <c r="F449" s="49"/>
      <c r="G449" s="49"/>
      <c r="H449" s="49"/>
      <c r="I449" s="49"/>
      <c r="J449" s="49"/>
    </row>
    <row r="450">
      <c r="A450" s="47"/>
      <c r="B450" s="47"/>
      <c r="C450" s="47"/>
      <c r="D450" s="49"/>
      <c r="E450" s="49"/>
      <c r="F450" s="49"/>
      <c r="G450" s="49"/>
      <c r="H450" s="49"/>
      <c r="I450" s="49"/>
      <c r="J450" s="49"/>
    </row>
    <row r="451">
      <c r="A451" s="47"/>
      <c r="B451" s="47"/>
      <c r="C451" s="47"/>
      <c r="D451" s="49"/>
      <c r="E451" s="49"/>
      <c r="F451" s="49"/>
      <c r="G451" s="49"/>
      <c r="H451" s="49"/>
      <c r="I451" s="49"/>
      <c r="J451" s="49"/>
    </row>
    <row r="452">
      <c r="A452" s="47"/>
      <c r="B452" s="47"/>
      <c r="C452" s="47"/>
      <c r="D452" s="49"/>
      <c r="E452" s="49"/>
      <c r="F452" s="49"/>
      <c r="G452" s="49"/>
      <c r="H452" s="49"/>
      <c r="I452" s="49"/>
      <c r="J452" s="49"/>
    </row>
    <row r="453">
      <c r="A453" s="47"/>
      <c r="B453" s="47"/>
      <c r="C453" s="47"/>
      <c r="D453" s="49"/>
      <c r="E453" s="49"/>
      <c r="F453" s="49"/>
      <c r="G453" s="49"/>
      <c r="H453" s="49"/>
      <c r="I453" s="49"/>
      <c r="J453" s="49"/>
    </row>
    <row r="454">
      <c r="A454" s="47"/>
      <c r="B454" s="47"/>
      <c r="C454" s="47"/>
      <c r="D454" s="49"/>
      <c r="E454" s="49"/>
      <c r="F454" s="49"/>
      <c r="G454" s="49"/>
      <c r="H454" s="49"/>
      <c r="I454" s="49"/>
      <c r="J454" s="49"/>
    </row>
    <row r="455">
      <c r="A455" s="47"/>
      <c r="B455" s="47"/>
      <c r="C455" s="47"/>
      <c r="D455" s="49"/>
      <c r="E455" s="49"/>
      <c r="F455" s="49"/>
      <c r="G455" s="49"/>
      <c r="H455" s="49"/>
      <c r="I455" s="49"/>
      <c r="J455" s="49"/>
    </row>
    <row r="456">
      <c r="A456" s="47"/>
      <c r="B456" s="47"/>
      <c r="C456" s="47"/>
      <c r="D456" s="49"/>
      <c r="E456" s="49"/>
      <c r="F456" s="49"/>
      <c r="G456" s="49"/>
      <c r="H456" s="49"/>
      <c r="I456" s="49"/>
      <c r="J456" s="49"/>
    </row>
    <row r="457">
      <c r="A457" s="47"/>
      <c r="B457" s="47"/>
      <c r="C457" s="47"/>
      <c r="D457" s="49"/>
      <c r="E457" s="49"/>
      <c r="F457" s="49"/>
      <c r="G457" s="49"/>
      <c r="H457" s="49"/>
      <c r="I457" s="49"/>
      <c r="J457" s="49"/>
    </row>
    <row r="458">
      <c r="A458" s="47"/>
      <c r="B458" s="47"/>
      <c r="C458" s="47"/>
      <c r="D458" s="49"/>
      <c r="E458" s="49"/>
      <c r="F458" s="49"/>
      <c r="G458" s="49"/>
      <c r="H458" s="49"/>
      <c r="I458" s="49"/>
      <c r="J458" s="49"/>
    </row>
    <row r="459">
      <c r="A459" s="47"/>
      <c r="B459" s="47"/>
      <c r="C459" s="47"/>
      <c r="D459" s="49"/>
      <c r="E459" s="49"/>
      <c r="F459" s="49"/>
      <c r="G459" s="49"/>
      <c r="H459" s="49"/>
      <c r="I459" s="49"/>
      <c r="J459" s="49"/>
    </row>
    <row r="460">
      <c r="A460" s="47"/>
      <c r="B460" s="47"/>
      <c r="C460" s="47"/>
      <c r="D460" s="49"/>
      <c r="E460" s="49"/>
      <c r="F460" s="49"/>
      <c r="G460" s="49"/>
      <c r="H460" s="49"/>
      <c r="I460" s="49"/>
      <c r="J460" s="49"/>
    </row>
    <row r="461">
      <c r="A461" s="47"/>
      <c r="B461" s="47"/>
      <c r="C461" s="47"/>
      <c r="D461" s="49"/>
      <c r="E461" s="49"/>
      <c r="F461" s="49"/>
      <c r="G461" s="49"/>
      <c r="H461" s="49"/>
      <c r="I461" s="49"/>
      <c r="J461" s="49"/>
    </row>
    <row r="462">
      <c r="A462" s="47"/>
      <c r="B462" s="47"/>
      <c r="C462" s="47"/>
      <c r="D462" s="49"/>
      <c r="E462" s="49"/>
      <c r="F462" s="49"/>
      <c r="G462" s="49"/>
      <c r="H462" s="49"/>
      <c r="I462" s="49"/>
      <c r="J462" s="49"/>
    </row>
    <row r="463">
      <c r="A463" s="47"/>
      <c r="B463" s="47"/>
      <c r="C463" s="47"/>
      <c r="D463" s="49"/>
      <c r="E463" s="49"/>
      <c r="F463" s="49"/>
      <c r="G463" s="49"/>
      <c r="H463" s="49"/>
      <c r="I463" s="49"/>
      <c r="J463" s="49"/>
    </row>
    <row r="464">
      <c r="A464" s="47"/>
      <c r="B464" s="47"/>
      <c r="C464" s="47"/>
      <c r="D464" s="49"/>
      <c r="E464" s="49"/>
      <c r="F464" s="49"/>
      <c r="G464" s="49"/>
      <c r="H464" s="49"/>
      <c r="I464" s="49"/>
      <c r="J464" s="49"/>
    </row>
    <row r="465">
      <c r="A465" s="47"/>
      <c r="B465" s="47"/>
      <c r="C465" s="47"/>
      <c r="D465" s="49"/>
      <c r="E465" s="49"/>
      <c r="F465" s="49"/>
      <c r="G465" s="49"/>
      <c r="H465" s="49"/>
      <c r="I465" s="49"/>
      <c r="J465" s="49"/>
    </row>
    <row r="466">
      <c r="A466" s="47"/>
      <c r="B466" s="47"/>
      <c r="C466" s="47"/>
      <c r="D466" s="49"/>
      <c r="E466" s="49"/>
      <c r="F466" s="49"/>
      <c r="G466" s="49"/>
      <c r="H466" s="49"/>
      <c r="I466" s="49"/>
      <c r="J466" s="49"/>
    </row>
    <row r="467">
      <c r="A467" s="47"/>
      <c r="B467" s="47"/>
      <c r="C467" s="47"/>
      <c r="D467" s="49"/>
      <c r="E467" s="49"/>
      <c r="F467" s="49"/>
      <c r="G467" s="49"/>
      <c r="H467" s="49"/>
      <c r="I467" s="49"/>
      <c r="J467" s="49"/>
    </row>
    <row r="468">
      <c r="A468" s="47"/>
      <c r="B468" s="47"/>
      <c r="C468" s="47"/>
      <c r="D468" s="49"/>
      <c r="E468" s="49"/>
      <c r="F468" s="49"/>
      <c r="G468" s="49"/>
      <c r="H468" s="49"/>
      <c r="I468" s="49"/>
      <c r="J468" s="49"/>
    </row>
    <row r="469">
      <c r="A469" s="47"/>
      <c r="B469" s="47"/>
      <c r="C469" s="47"/>
      <c r="D469" s="49"/>
      <c r="E469" s="49"/>
      <c r="F469" s="49"/>
      <c r="G469" s="49"/>
      <c r="H469" s="49"/>
      <c r="I469" s="49"/>
      <c r="J469" s="49"/>
    </row>
    <row r="470">
      <c r="A470" s="47"/>
      <c r="B470" s="47"/>
      <c r="C470" s="47"/>
      <c r="D470" s="49"/>
      <c r="E470" s="49"/>
      <c r="F470" s="49"/>
      <c r="G470" s="49"/>
      <c r="H470" s="49"/>
      <c r="I470" s="49"/>
      <c r="J470" s="49"/>
    </row>
    <row r="471">
      <c r="A471" s="47"/>
      <c r="B471" s="47"/>
      <c r="C471" s="47"/>
      <c r="D471" s="49"/>
      <c r="E471" s="49"/>
      <c r="F471" s="49"/>
      <c r="G471" s="49"/>
      <c r="H471" s="49"/>
      <c r="I471" s="49"/>
      <c r="J471" s="49"/>
    </row>
    <row r="472">
      <c r="A472" s="47"/>
      <c r="B472" s="47"/>
      <c r="C472" s="47"/>
      <c r="D472" s="49"/>
      <c r="E472" s="49"/>
      <c r="F472" s="49"/>
      <c r="G472" s="49"/>
      <c r="H472" s="49"/>
      <c r="I472" s="49"/>
      <c r="J472" s="49"/>
    </row>
    <row r="473">
      <c r="A473" s="47"/>
      <c r="B473" s="47"/>
      <c r="C473" s="47"/>
      <c r="D473" s="49"/>
      <c r="E473" s="49"/>
      <c r="F473" s="49"/>
      <c r="G473" s="49"/>
      <c r="H473" s="49"/>
      <c r="I473" s="49"/>
      <c r="J473" s="49"/>
    </row>
    <row r="474">
      <c r="A474" s="47"/>
      <c r="B474" s="47"/>
      <c r="C474" s="47"/>
      <c r="D474" s="49"/>
      <c r="E474" s="49"/>
      <c r="F474" s="49"/>
      <c r="G474" s="49"/>
      <c r="H474" s="49"/>
      <c r="I474" s="49"/>
      <c r="J474" s="49"/>
    </row>
    <row r="475">
      <c r="A475" s="47"/>
      <c r="B475" s="47"/>
      <c r="C475" s="47"/>
      <c r="D475" s="49"/>
      <c r="E475" s="49"/>
      <c r="F475" s="49"/>
      <c r="G475" s="49"/>
      <c r="H475" s="49"/>
      <c r="I475" s="49"/>
      <c r="J475" s="49"/>
    </row>
    <row r="476">
      <c r="A476" s="47"/>
      <c r="B476" s="47"/>
      <c r="C476" s="47"/>
      <c r="D476" s="49"/>
      <c r="E476" s="49"/>
      <c r="F476" s="49"/>
      <c r="G476" s="49"/>
      <c r="H476" s="49"/>
      <c r="I476" s="49"/>
      <c r="J476" s="49"/>
    </row>
    <row r="477">
      <c r="A477" s="47"/>
      <c r="B477" s="47"/>
      <c r="C477" s="47"/>
      <c r="D477" s="49"/>
      <c r="E477" s="49"/>
      <c r="F477" s="49"/>
      <c r="G477" s="49"/>
      <c r="H477" s="49"/>
      <c r="I477" s="49"/>
      <c r="J477" s="49"/>
    </row>
    <row r="478">
      <c r="A478" s="47"/>
      <c r="B478" s="47"/>
      <c r="C478" s="47"/>
      <c r="D478" s="49"/>
      <c r="E478" s="49"/>
      <c r="F478" s="49"/>
      <c r="G478" s="49"/>
      <c r="H478" s="49"/>
      <c r="I478" s="49"/>
      <c r="J478" s="49"/>
    </row>
    <row r="479">
      <c r="A479" s="47"/>
      <c r="B479" s="47"/>
      <c r="C479" s="47"/>
      <c r="D479" s="49"/>
      <c r="E479" s="49"/>
      <c r="F479" s="49"/>
      <c r="G479" s="49"/>
      <c r="H479" s="49"/>
      <c r="I479" s="49"/>
      <c r="J479" s="49"/>
    </row>
    <row r="480">
      <c r="A480" s="47"/>
      <c r="B480" s="47"/>
      <c r="C480" s="47"/>
      <c r="D480" s="49"/>
      <c r="E480" s="49"/>
      <c r="F480" s="49"/>
      <c r="G480" s="49"/>
      <c r="H480" s="49"/>
      <c r="I480" s="49"/>
      <c r="J480" s="49"/>
    </row>
    <row r="481">
      <c r="A481" s="47"/>
      <c r="B481" s="47"/>
      <c r="C481" s="47"/>
      <c r="D481" s="49"/>
      <c r="E481" s="49"/>
      <c r="F481" s="49"/>
      <c r="G481" s="49"/>
      <c r="H481" s="49"/>
      <c r="I481" s="49"/>
      <c r="J481" s="49"/>
    </row>
    <row r="482">
      <c r="A482" s="47"/>
      <c r="B482" s="47"/>
      <c r="C482" s="47"/>
      <c r="D482" s="49"/>
      <c r="E482" s="49"/>
      <c r="F482" s="49"/>
      <c r="G482" s="49"/>
      <c r="H482" s="49"/>
      <c r="I482" s="49"/>
      <c r="J482" s="49"/>
    </row>
    <row r="483">
      <c r="A483" s="47"/>
      <c r="B483" s="47"/>
      <c r="C483" s="47"/>
      <c r="D483" s="49"/>
      <c r="E483" s="49"/>
      <c r="F483" s="49"/>
      <c r="G483" s="49"/>
      <c r="H483" s="49"/>
      <c r="I483" s="49"/>
      <c r="J483" s="49"/>
    </row>
    <row r="484">
      <c r="A484" s="47"/>
      <c r="B484" s="47"/>
      <c r="C484" s="47"/>
      <c r="D484" s="49"/>
      <c r="E484" s="49"/>
      <c r="F484" s="49"/>
      <c r="G484" s="49"/>
      <c r="H484" s="49"/>
      <c r="I484" s="49"/>
      <c r="J484" s="49"/>
    </row>
    <row r="485">
      <c r="A485" s="47"/>
      <c r="B485" s="47"/>
      <c r="C485" s="47"/>
      <c r="D485" s="49"/>
      <c r="E485" s="49"/>
      <c r="F485" s="49"/>
      <c r="G485" s="49"/>
      <c r="H485" s="49"/>
      <c r="I485" s="49"/>
      <c r="J485" s="49"/>
    </row>
    <row r="486">
      <c r="A486" s="47"/>
      <c r="B486" s="47"/>
      <c r="C486" s="47"/>
      <c r="D486" s="49"/>
      <c r="E486" s="49"/>
      <c r="F486" s="49"/>
      <c r="G486" s="49"/>
      <c r="H486" s="49"/>
      <c r="I486" s="49"/>
      <c r="J486" s="49"/>
    </row>
    <row r="487">
      <c r="A487" s="47"/>
      <c r="B487" s="47"/>
      <c r="C487" s="47"/>
      <c r="D487" s="49"/>
      <c r="E487" s="49"/>
      <c r="F487" s="49"/>
      <c r="G487" s="49"/>
      <c r="H487" s="49"/>
      <c r="I487" s="49"/>
      <c r="J487" s="49"/>
    </row>
    <row r="488">
      <c r="A488" s="47"/>
      <c r="B488" s="47"/>
      <c r="C488" s="47"/>
      <c r="D488" s="49"/>
      <c r="E488" s="49"/>
      <c r="F488" s="49"/>
      <c r="G488" s="49"/>
      <c r="H488" s="49"/>
      <c r="I488" s="49"/>
      <c r="J488" s="49"/>
    </row>
    <row r="489">
      <c r="A489" s="47"/>
      <c r="B489" s="47"/>
      <c r="C489" s="47"/>
      <c r="D489" s="49"/>
      <c r="E489" s="49"/>
      <c r="F489" s="49"/>
      <c r="G489" s="49"/>
      <c r="H489" s="49"/>
      <c r="I489" s="49"/>
      <c r="J489" s="49"/>
    </row>
    <row r="490">
      <c r="A490" s="47"/>
      <c r="B490" s="47"/>
      <c r="C490" s="47"/>
      <c r="D490" s="49"/>
      <c r="E490" s="49"/>
      <c r="F490" s="49"/>
      <c r="G490" s="49"/>
      <c r="H490" s="49"/>
      <c r="I490" s="49"/>
      <c r="J490" s="49"/>
    </row>
    <row r="491">
      <c r="A491" s="47"/>
      <c r="B491" s="47"/>
      <c r="C491" s="47"/>
      <c r="D491" s="49"/>
      <c r="E491" s="49"/>
      <c r="F491" s="49"/>
      <c r="G491" s="49"/>
      <c r="H491" s="49"/>
      <c r="I491" s="49"/>
      <c r="J491" s="49"/>
    </row>
    <row r="492">
      <c r="A492" s="47"/>
      <c r="B492" s="47"/>
      <c r="C492" s="47"/>
      <c r="D492" s="49"/>
      <c r="E492" s="49"/>
      <c r="F492" s="49"/>
      <c r="G492" s="49"/>
      <c r="H492" s="49"/>
      <c r="I492" s="49"/>
      <c r="J492" s="49"/>
    </row>
    <row r="493">
      <c r="A493" s="47"/>
      <c r="B493" s="47"/>
      <c r="C493" s="47"/>
      <c r="D493" s="49"/>
      <c r="E493" s="49"/>
      <c r="F493" s="49"/>
      <c r="G493" s="49"/>
      <c r="H493" s="49"/>
      <c r="I493" s="49"/>
      <c r="J493" s="49"/>
    </row>
    <row r="494">
      <c r="A494" s="47"/>
      <c r="B494" s="47"/>
      <c r="C494" s="47"/>
      <c r="D494" s="49"/>
      <c r="E494" s="49"/>
      <c r="F494" s="49"/>
      <c r="G494" s="49"/>
      <c r="H494" s="49"/>
      <c r="I494" s="49"/>
      <c r="J494" s="49"/>
    </row>
    <row r="495">
      <c r="A495" s="47"/>
      <c r="B495" s="47"/>
      <c r="C495" s="47"/>
      <c r="D495" s="49"/>
      <c r="E495" s="49"/>
      <c r="F495" s="49"/>
      <c r="G495" s="49"/>
      <c r="H495" s="49"/>
      <c r="I495" s="49"/>
      <c r="J495" s="49"/>
    </row>
    <row r="496">
      <c r="A496" s="47"/>
      <c r="B496" s="47"/>
      <c r="C496" s="47"/>
      <c r="D496" s="49"/>
      <c r="E496" s="49"/>
      <c r="F496" s="49"/>
      <c r="G496" s="49"/>
      <c r="H496" s="49"/>
      <c r="I496" s="49"/>
      <c r="J496" s="49"/>
    </row>
    <row r="497">
      <c r="A497" s="47"/>
      <c r="B497" s="47"/>
      <c r="C497" s="47"/>
      <c r="D497" s="49"/>
      <c r="E497" s="49"/>
      <c r="F497" s="49"/>
      <c r="G497" s="49"/>
      <c r="H497" s="49"/>
      <c r="I497" s="49"/>
      <c r="J497" s="49"/>
    </row>
    <row r="498">
      <c r="A498" s="47"/>
      <c r="B498" s="47"/>
      <c r="C498" s="47"/>
      <c r="D498" s="49"/>
      <c r="E498" s="49"/>
      <c r="F498" s="49"/>
      <c r="G498" s="49"/>
      <c r="H498" s="49"/>
      <c r="I498" s="49"/>
      <c r="J498" s="49"/>
    </row>
    <row r="499">
      <c r="A499" s="47"/>
      <c r="B499" s="47"/>
      <c r="C499" s="47"/>
      <c r="D499" s="49"/>
      <c r="E499" s="49"/>
      <c r="F499" s="49"/>
      <c r="G499" s="49"/>
      <c r="H499" s="49"/>
      <c r="I499" s="49"/>
      <c r="J499" s="49"/>
    </row>
    <row r="500">
      <c r="A500" s="47"/>
      <c r="B500" s="47"/>
      <c r="C500" s="47"/>
      <c r="D500" s="49"/>
      <c r="E500" s="49"/>
      <c r="F500" s="49"/>
      <c r="G500" s="49"/>
      <c r="H500" s="49"/>
      <c r="I500" s="49"/>
      <c r="J500" s="49"/>
    </row>
    <row r="501">
      <c r="A501" s="47"/>
      <c r="B501" s="47"/>
      <c r="C501" s="47"/>
      <c r="D501" s="49"/>
      <c r="E501" s="49"/>
      <c r="F501" s="49"/>
      <c r="G501" s="49"/>
      <c r="H501" s="49"/>
      <c r="I501" s="49"/>
      <c r="J501" s="49"/>
    </row>
    <row r="502">
      <c r="A502" s="47"/>
      <c r="B502" s="47"/>
      <c r="C502" s="47"/>
      <c r="D502" s="49"/>
      <c r="E502" s="49"/>
      <c r="F502" s="49"/>
      <c r="G502" s="49"/>
      <c r="H502" s="49"/>
      <c r="I502" s="49"/>
      <c r="J502" s="49"/>
    </row>
    <row r="503">
      <c r="A503" s="47"/>
      <c r="B503" s="47"/>
      <c r="C503" s="47"/>
      <c r="D503" s="49"/>
      <c r="E503" s="49"/>
      <c r="F503" s="49"/>
      <c r="G503" s="49"/>
      <c r="H503" s="49"/>
      <c r="I503" s="49"/>
      <c r="J503" s="49"/>
    </row>
    <row r="504">
      <c r="A504" s="47"/>
      <c r="B504" s="47"/>
      <c r="C504" s="47"/>
      <c r="D504" s="49"/>
      <c r="E504" s="49"/>
      <c r="F504" s="49"/>
      <c r="G504" s="49"/>
      <c r="H504" s="49"/>
      <c r="I504" s="49"/>
      <c r="J504" s="49"/>
    </row>
    <row r="505">
      <c r="A505" s="47"/>
      <c r="B505" s="47"/>
      <c r="C505" s="47"/>
      <c r="D505" s="49"/>
      <c r="E505" s="49"/>
      <c r="F505" s="49"/>
      <c r="G505" s="49"/>
      <c r="H505" s="49"/>
      <c r="I505" s="49"/>
      <c r="J505" s="49"/>
    </row>
    <row r="506">
      <c r="A506" s="47"/>
      <c r="B506" s="47"/>
      <c r="C506" s="47"/>
      <c r="D506" s="49"/>
      <c r="E506" s="49"/>
      <c r="F506" s="49"/>
      <c r="G506" s="49"/>
      <c r="H506" s="49"/>
      <c r="I506" s="49"/>
      <c r="J506" s="49"/>
    </row>
    <row r="507">
      <c r="A507" s="47"/>
      <c r="B507" s="47"/>
      <c r="C507" s="47"/>
      <c r="D507" s="49"/>
      <c r="E507" s="49"/>
      <c r="F507" s="49"/>
      <c r="G507" s="49"/>
      <c r="H507" s="49"/>
      <c r="I507" s="49"/>
      <c r="J507" s="49"/>
    </row>
    <row r="508">
      <c r="A508" s="47"/>
      <c r="B508" s="47"/>
      <c r="C508" s="47"/>
      <c r="D508" s="49"/>
      <c r="E508" s="49"/>
      <c r="F508" s="49"/>
      <c r="G508" s="49"/>
      <c r="H508" s="49"/>
      <c r="I508" s="49"/>
      <c r="J508" s="49"/>
    </row>
    <row r="509">
      <c r="A509" s="47"/>
      <c r="B509" s="47"/>
      <c r="C509" s="47"/>
      <c r="D509" s="49"/>
      <c r="E509" s="49"/>
      <c r="F509" s="49"/>
      <c r="G509" s="49"/>
      <c r="H509" s="49"/>
      <c r="I509" s="49"/>
      <c r="J509" s="49"/>
    </row>
    <row r="510">
      <c r="A510" s="47"/>
      <c r="B510" s="47"/>
      <c r="C510" s="47"/>
      <c r="D510" s="49"/>
      <c r="E510" s="49"/>
      <c r="F510" s="49"/>
      <c r="G510" s="49"/>
      <c r="H510" s="49"/>
      <c r="I510" s="49"/>
      <c r="J510" s="49"/>
    </row>
    <row r="511">
      <c r="A511" s="47"/>
      <c r="B511" s="47"/>
      <c r="C511" s="47"/>
      <c r="D511" s="49"/>
      <c r="E511" s="49"/>
      <c r="F511" s="49"/>
      <c r="G511" s="49"/>
      <c r="H511" s="49"/>
      <c r="I511" s="49"/>
      <c r="J511" s="49"/>
    </row>
    <row r="512">
      <c r="A512" s="47"/>
      <c r="B512" s="47"/>
      <c r="C512" s="47"/>
      <c r="D512" s="49"/>
      <c r="E512" s="49"/>
      <c r="F512" s="49"/>
      <c r="G512" s="49"/>
      <c r="H512" s="49"/>
      <c r="I512" s="49"/>
      <c r="J512" s="49"/>
    </row>
    <row r="513">
      <c r="A513" s="47"/>
      <c r="B513" s="47"/>
      <c r="C513" s="47"/>
      <c r="D513" s="49"/>
      <c r="E513" s="49"/>
      <c r="F513" s="49"/>
      <c r="G513" s="49"/>
      <c r="H513" s="49"/>
      <c r="I513" s="49"/>
      <c r="J513" s="49"/>
    </row>
    <row r="514">
      <c r="A514" s="47"/>
      <c r="B514" s="47"/>
      <c r="C514" s="47"/>
      <c r="D514" s="49"/>
      <c r="E514" s="49"/>
      <c r="F514" s="49"/>
      <c r="G514" s="49"/>
      <c r="H514" s="49"/>
      <c r="I514" s="49"/>
      <c r="J514" s="49"/>
    </row>
    <row r="515">
      <c r="A515" s="47"/>
      <c r="B515" s="47"/>
      <c r="C515" s="47"/>
      <c r="D515" s="49"/>
      <c r="E515" s="49"/>
      <c r="F515" s="49"/>
      <c r="G515" s="49"/>
      <c r="H515" s="49"/>
      <c r="I515" s="49"/>
      <c r="J515" s="49"/>
    </row>
    <row r="516">
      <c r="A516" s="47"/>
      <c r="B516" s="47"/>
      <c r="C516" s="47"/>
      <c r="D516" s="49"/>
      <c r="E516" s="49"/>
      <c r="F516" s="49"/>
      <c r="G516" s="49"/>
      <c r="H516" s="49"/>
      <c r="I516" s="49"/>
      <c r="J516" s="49"/>
    </row>
    <row r="517">
      <c r="A517" s="47"/>
      <c r="B517" s="47"/>
      <c r="C517" s="47"/>
      <c r="D517" s="49"/>
      <c r="E517" s="49"/>
      <c r="F517" s="49"/>
      <c r="G517" s="49"/>
      <c r="H517" s="49"/>
      <c r="I517" s="49"/>
      <c r="J517" s="49"/>
    </row>
    <row r="518">
      <c r="A518" s="47"/>
      <c r="B518" s="47"/>
      <c r="C518" s="47"/>
      <c r="D518" s="49"/>
      <c r="E518" s="49"/>
      <c r="F518" s="49"/>
      <c r="G518" s="49"/>
      <c r="H518" s="49"/>
      <c r="I518" s="49"/>
      <c r="J518" s="49"/>
    </row>
    <row r="519">
      <c r="A519" s="47"/>
      <c r="B519" s="47"/>
      <c r="C519" s="47"/>
      <c r="D519" s="49"/>
      <c r="E519" s="49"/>
      <c r="F519" s="49"/>
      <c r="G519" s="49"/>
      <c r="H519" s="49"/>
      <c r="I519" s="49"/>
      <c r="J519" s="49"/>
    </row>
    <row r="520">
      <c r="A520" s="47"/>
      <c r="B520" s="47"/>
      <c r="C520" s="47"/>
      <c r="D520" s="49"/>
      <c r="E520" s="49"/>
      <c r="F520" s="49"/>
      <c r="G520" s="49"/>
      <c r="H520" s="49"/>
      <c r="I520" s="49"/>
      <c r="J520" s="49"/>
    </row>
    <row r="521">
      <c r="A521" s="47"/>
      <c r="B521" s="47"/>
      <c r="C521" s="47"/>
      <c r="D521" s="49"/>
      <c r="E521" s="49"/>
      <c r="F521" s="49"/>
      <c r="G521" s="49"/>
      <c r="H521" s="49"/>
      <c r="I521" s="49"/>
      <c r="J521" s="49"/>
    </row>
    <row r="522">
      <c r="A522" s="47"/>
      <c r="B522" s="47"/>
      <c r="C522" s="47"/>
      <c r="D522" s="49"/>
      <c r="E522" s="49"/>
      <c r="F522" s="49"/>
      <c r="G522" s="49"/>
      <c r="H522" s="49"/>
      <c r="I522" s="49"/>
      <c r="J522" s="49"/>
    </row>
    <row r="523">
      <c r="A523" s="47"/>
      <c r="B523" s="47"/>
      <c r="C523" s="47"/>
      <c r="D523" s="49"/>
      <c r="E523" s="49"/>
      <c r="F523" s="49"/>
      <c r="G523" s="49"/>
      <c r="H523" s="49"/>
      <c r="I523" s="49"/>
      <c r="J523" s="49"/>
    </row>
    <row r="524">
      <c r="A524" s="47"/>
      <c r="B524" s="47"/>
      <c r="C524" s="47"/>
      <c r="D524" s="49"/>
      <c r="E524" s="49"/>
      <c r="F524" s="49"/>
      <c r="G524" s="49"/>
      <c r="H524" s="49"/>
      <c r="I524" s="49"/>
      <c r="J524" s="49"/>
    </row>
    <row r="525">
      <c r="A525" s="47"/>
      <c r="B525" s="47"/>
      <c r="C525" s="47"/>
      <c r="D525" s="49"/>
      <c r="E525" s="49"/>
      <c r="F525" s="49"/>
      <c r="G525" s="49"/>
      <c r="H525" s="49"/>
      <c r="I525" s="49"/>
      <c r="J525" s="49"/>
    </row>
    <row r="526">
      <c r="A526" s="47"/>
      <c r="B526" s="47"/>
      <c r="C526" s="47"/>
      <c r="D526" s="49"/>
      <c r="E526" s="49"/>
      <c r="F526" s="49"/>
      <c r="G526" s="49"/>
      <c r="H526" s="49"/>
      <c r="I526" s="49"/>
      <c r="J526" s="49"/>
    </row>
    <row r="527">
      <c r="A527" s="47"/>
      <c r="B527" s="47"/>
      <c r="C527" s="47"/>
      <c r="D527" s="49"/>
      <c r="E527" s="49"/>
      <c r="F527" s="49"/>
      <c r="G527" s="49"/>
      <c r="H527" s="49"/>
      <c r="I527" s="49"/>
      <c r="J527" s="49"/>
    </row>
    <row r="528">
      <c r="A528" s="47"/>
      <c r="B528" s="47"/>
      <c r="C528" s="47"/>
      <c r="D528" s="49"/>
      <c r="E528" s="49"/>
      <c r="F528" s="49"/>
      <c r="G528" s="49"/>
      <c r="H528" s="49"/>
      <c r="I528" s="49"/>
      <c r="J528" s="49"/>
    </row>
    <row r="529">
      <c r="A529" s="47"/>
      <c r="B529" s="47"/>
      <c r="C529" s="47"/>
      <c r="D529" s="49"/>
      <c r="E529" s="49"/>
      <c r="F529" s="49"/>
      <c r="G529" s="49"/>
      <c r="H529" s="49"/>
      <c r="I529" s="49"/>
      <c r="J529" s="49"/>
    </row>
    <row r="530">
      <c r="A530" s="47"/>
      <c r="B530" s="47"/>
      <c r="C530" s="47"/>
      <c r="D530" s="49"/>
      <c r="E530" s="49"/>
      <c r="F530" s="49"/>
      <c r="G530" s="49"/>
      <c r="H530" s="49"/>
      <c r="I530" s="49"/>
      <c r="J530" s="49"/>
    </row>
    <row r="531">
      <c r="A531" s="47"/>
      <c r="B531" s="47"/>
      <c r="C531" s="47"/>
      <c r="D531" s="49"/>
      <c r="E531" s="49"/>
      <c r="F531" s="49"/>
      <c r="G531" s="49"/>
      <c r="H531" s="49"/>
      <c r="I531" s="49"/>
      <c r="J531" s="49"/>
    </row>
    <row r="532">
      <c r="A532" s="47"/>
      <c r="B532" s="47"/>
      <c r="C532" s="47"/>
      <c r="D532" s="49"/>
      <c r="E532" s="49"/>
      <c r="F532" s="49"/>
      <c r="G532" s="49"/>
      <c r="H532" s="49"/>
      <c r="I532" s="49"/>
      <c r="J532" s="49"/>
    </row>
    <row r="533">
      <c r="A533" s="47"/>
      <c r="B533" s="47"/>
      <c r="C533" s="47"/>
      <c r="D533" s="49"/>
      <c r="E533" s="49"/>
      <c r="F533" s="49"/>
      <c r="G533" s="49"/>
      <c r="H533" s="49"/>
      <c r="I533" s="49"/>
      <c r="J533" s="49"/>
    </row>
    <row r="534">
      <c r="A534" s="47"/>
      <c r="B534" s="47"/>
      <c r="C534" s="47"/>
      <c r="D534" s="49"/>
      <c r="E534" s="49"/>
      <c r="F534" s="49"/>
      <c r="G534" s="49"/>
      <c r="H534" s="49"/>
      <c r="I534" s="49"/>
      <c r="J534" s="49"/>
    </row>
    <row r="535">
      <c r="A535" s="47"/>
      <c r="B535" s="47"/>
      <c r="C535" s="47"/>
      <c r="D535" s="49"/>
      <c r="E535" s="49"/>
      <c r="F535" s="49"/>
      <c r="G535" s="49"/>
      <c r="H535" s="49"/>
      <c r="I535" s="49"/>
      <c r="J535" s="49"/>
    </row>
    <row r="536">
      <c r="A536" s="47"/>
      <c r="B536" s="47"/>
      <c r="C536" s="47"/>
      <c r="D536" s="49"/>
      <c r="E536" s="49"/>
      <c r="F536" s="49"/>
      <c r="G536" s="49"/>
      <c r="H536" s="49"/>
      <c r="I536" s="49"/>
      <c r="J536" s="49"/>
    </row>
    <row r="537">
      <c r="A537" s="47"/>
      <c r="B537" s="47"/>
      <c r="C537" s="47"/>
      <c r="D537" s="49"/>
      <c r="E537" s="49"/>
      <c r="F537" s="49"/>
      <c r="G537" s="49"/>
      <c r="H537" s="49"/>
      <c r="I537" s="49"/>
      <c r="J537" s="49"/>
    </row>
    <row r="538">
      <c r="A538" s="47"/>
      <c r="B538" s="47"/>
      <c r="C538" s="47"/>
      <c r="D538" s="49"/>
      <c r="E538" s="49"/>
      <c r="F538" s="49"/>
      <c r="G538" s="49"/>
      <c r="H538" s="49"/>
      <c r="I538" s="49"/>
      <c r="J538" s="49"/>
    </row>
    <row r="539">
      <c r="A539" s="47"/>
      <c r="B539" s="47"/>
      <c r="C539" s="47"/>
      <c r="D539" s="49"/>
      <c r="E539" s="49"/>
      <c r="F539" s="49"/>
      <c r="G539" s="49"/>
      <c r="H539" s="49"/>
      <c r="I539" s="49"/>
      <c r="J539" s="49"/>
    </row>
    <row r="540">
      <c r="A540" s="47"/>
      <c r="B540" s="47"/>
      <c r="C540" s="47"/>
      <c r="D540" s="49"/>
      <c r="E540" s="49"/>
      <c r="F540" s="49"/>
      <c r="G540" s="49"/>
      <c r="H540" s="49"/>
      <c r="I540" s="49"/>
      <c r="J540" s="49"/>
    </row>
    <row r="541">
      <c r="A541" s="47"/>
      <c r="B541" s="47"/>
      <c r="C541" s="47"/>
      <c r="D541" s="49"/>
      <c r="E541" s="49"/>
      <c r="F541" s="49"/>
      <c r="G541" s="49"/>
      <c r="H541" s="49"/>
      <c r="I541" s="49"/>
      <c r="J541" s="49"/>
    </row>
    <row r="542">
      <c r="A542" s="47"/>
      <c r="B542" s="47"/>
      <c r="C542" s="47"/>
      <c r="D542" s="49"/>
      <c r="E542" s="49"/>
      <c r="F542" s="49"/>
      <c r="G542" s="49"/>
      <c r="H542" s="49"/>
      <c r="I542" s="49"/>
      <c r="J542" s="49"/>
    </row>
    <row r="543">
      <c r="A543" s="47"/>
      <c r="B543" s="47"/>
      <c r="C543" s="47"/>
      <c r="D543" s="49"/>
      <c r="E543" s="49"/>
      <c r="F543" s="49"/>
      <c r="G543" s="49"/>
      <c r="H543" s="49"/>
      <c r="I543" s="49"/>
      <c r="J543" s="49"/>
    </row>
    <row r="544">
      <c r="A544" s="47"/>
      <c r="B544" s="47"/>
      <c r="C544" s="47"/>
      <c r="D544" s="49"/>
      <c r="E544" s="49"/>
      <c r="F544" s="49"/>
      <c r="G544" s="49"/>
      <c r="H544" s="49"/>
      <c r="I544" s="49"/>
      <c r="J544" s="49"/>
    </row>
    <row r="545">
      <c r="A545" s="47"/>
      <c r="B545" s="47"/>
      <c r="C545" s="47"/>
      <c r="D545" s="49"/>
      <c r="E545" s="49"/>
      <c r="F545" s="49"/>
      <c r="G545" s="49"/>
      <c r="H545" s="49"/>
      <c r="I545" s="49"/>
      <c r="J545" s="49"/>
    </row>
    <row r="546">
      <c r="A546" s="47"/>
      <c r="B546" s="47"/>
      <c r="C546" s="47"/>
      <c r="D546" s="49"/>
      <c r="E546" s="49"/>
      <c r="F546" s="49"/>
      <c r="G546" s="49"/>
      <c r="H546" s="49"/>
      <c r="I546" s="49"/>
      <c r="J546" s="49"/>
    </row>
    <row r="547">
      <c r="A547" s="47"/>
      <c r="B547" s="47"/>
      <c r="C547" s="47"/>
      <c r="D547" s="49"/>
      <c r="E547" s="49"/>
      <c r="F547" s="49"/>
      <c r="G547" s="49"/>
      <c r="H547" s="49"/>
      <c r="I547" s="49"/>
      <c r="J547" s="49"/>
    </row>
    <row r="548">
      <c r="A548" s="47"/>
      <c r="B548" s="47"/>
      <c r="C548" s="47"/>
      <c r="D548" s="49"/>
      <c r="E548" s="49"/>
      <c r="F548" s="49"/>
      <c r="G548" s="49"/>
      <c r="H548" s="49"/>
      <c r="I548" s="49"/>
      <c r="J548" s="49"/>
    </row>
    <row r="549">
      <c r="A549" s="47"/>
      <c r="B549" s="47"/>
      <c r="C549" s="47"/>
      <c r="D549" s="49"/>
      <c r="E549" s="49"/>
      <c r="F549" s="49"/>
      <c r="G549" s="49"/>
      <c r="H549" s="49"/>
      <c r="I549" s="49"/>
      <c r="J549" s="49"/>
    </row>
    <row r="550">
      <c r="A550" s="47"/>
      <c r="B550" s="47"/>
      <c r="C550" s="47"/>
      <c r="D550" s="49"/>
      <c r="E550" s="49"/>
      <c r="F550" s="49"/>
      <c r="G550" s="49"/>
      <c r="H550" s="49"/>
      <c r="I550" s="49"/>
      <c r="J550" s="49"/>
    </row>
    <row r="551">
      <c r="A551" s="47"/>
      <c r="B551" s="47"/>
      <c r="C551" s="47"/>
      <c r="D551" s="49"/>
      <c r="E551" s="49"/>
      <c r="F551" s="49"/>
      <c r="G551" s="49"/>
      <c r="H551" s="49"/>
      <c r="I551" s="49"/>
      <c r="J551" s="49"/>
    </row>
    <row r="552">
      <c r="A552" s="47"/>
      <c r="B552" s="47"/>
      <c r="C552" s="47"/>
      <c r="D552" s="49"/>
      <c r="E552" s="49"/>
      <c r="F552" s="49"/>
      <c r="G552" s="49"/>
      <c r="H552" s="49"/>
      <c r="I552" s="49"/>
      <c r="J552" s="49"/>
    </row>
    <row r="553">
      <c r="A553" s="47"/>
      <c r="B553" s="47"/>
      <c r="C553" s="47"/>
      <c r="D553" s="49"/>
      <c r="E553" s="49"/>
      <c r="F553" s="49"/>
      <c r="G553" s="49"/>
      <c r="H553" s="49"/>
      <c r="I553" s="49"/>
      <c r="J553" s="49"/>
    </row>
    <row r="554">
      <c r="A554" s="47"/>
      <c r="B554" s="47"/>
      <c r="C554" s="47"/>
      <c r="D554" s="49"/>
      <c r="E554" s="49"/>
      <c r="F554" s="49"/>
      <c r="G554" s="49"/>
      <c r="H554" s="49"/>
      <c r="I554" s="49"/>
      <c r="J554" s="49"/>
    </row>
    <row r="555">
      <c r="A555" s="47"/>
      <c r="B555" s="47"/>
      <c r="C555" s="47"/>
      <c r="D555" s="49"/>
      <c r="E555" s="49"/>
      <c r="F555" s="49"/>
      <c r="G555" s="49"/>
      <c r="H555" s="49"/>
      <c r="I555" s="49"/>
      <c r="J555" s="49"/>
    </row>
    <row r="556">
      <c r="A556" s="47"/>
      <c r="B556" s="47"/>
      <c r="C556" s="47"/>
      <c r="D556" s="49"/>
      <c r="E556" s="49"/>
      <c r="F556" s="49"/>
      <c r="G556" s="49"/>
      <c r="H556" s="49"/>
      <c r="I556" s="49"/>
      <c r="J556" s="49"/>
    </row>
    <row r="557">
      <c r="A557" s="47"/>
      <c r="B557" s="47"/>
      <c r="C557" s="47"/>
      <c r="D557" s="49"/>
      <c r="E557" s="49"/>
      <c r="F557" s="49"/>
      <c r="G557" s="49"/>
      <c r="H557" s="49"/>
      <c r="I557" s="49"/>
      <c r="J557" s="49"/>
    </row>
    <row r="558">
      <c r="A558" s="47"/>
      <c r="B558" s="47"/>
      <c r="C558" s="47"/>
      <c r="D558" s="49"/>
      <c r="E558" s="49"/>
      <c r="F558" s="49"/>
      <c r="G558" s="49"/>
      <c r="H558" s="49"/>
      <c r="I558" s="49"/>
      <c r="J558" s="49"/>
    </row>
    <row r="559">
      <c r="A559" s="47"/>
      <c r="B559" s="47"/>
      <c r="C559" s="47"/>
      <c r="D559" s="49"/>
      <c r="E559" s="49"/>
      <c r="F559" s="49"/>
      <c r="G559" s="49"/>
      <c r="H559" s="49"/>
      <c r="I559" s="49"/>
      <c r="J559" s="49"/>
    </row>
    <row r="560">
      <c r="A560" s="47"/>
      <c r="B560" s="47"/>
      <c r="C560" s="47"/>
      <c r="D560" s="49"/>
      <c r="E560" s="49"/>
      <c r="F560" s="49"/>
      <c r="G560" s="49"/>
      <c r="H560" s="49"/>
      <c r="I560" s="49"/>
      <c r="J560" s="49"/>
    </row>
    <row r="561">
      <c r="A561" s="47"/>
      <c r="B561" s="47"/>
      <c r="C561" s="47"/>
      <c r="D561" s="49"/>
      <c r="E561" s="49"/>
      <c r="F561" s="49"/>
      <c r="G561" s="49"/>
      <c r="H561" s="49"/>
      <c r="I561" s="49"/>
      <c r="J561" s="49"/>
    </row>
    <row r="562">
      <c r="A562" s="47"/>
      <c r="B562" s="47"/>
      <c r="C562" s="47"/>
      <c r="D562" s="49"/>
      <c r="E562" s="49"/>
      <c r="F562" s="49"/>
      <c r="G562" s="49"/>
      <c r="H562" s="49"/>
      <c r="I562" s="49"/>
      <c r="J562" s="49"/>
    </row>
    <row r="563">
      <c r="A563" s="47"/>
      <c r="B563" s="47"/>
      <c r="C563" s="47"/>
      <c r="D563" s="49"/>
      <c r="E563" s="49"/>
      <c r="F563" s="49"/>
      <c r="G563" s="49"/>
      <c r="H563" s="49"/>
      <c r="I563" s="49"/>
      <c r="J563" s="49"/>
    </row>
    <row r="564">
      <c r="A564" s="47"/>
      <c r="B564" s="47"/>
      <c r="C564" s="47"/>
      <c r="D564" s="49"/>
      <c r="E564" s="49"/>
      <c r="F564" s="49"/>
      <c r="G564" s="49"/>
      <c r="H564" s="49"/>
      <c r="I564" s="49"/>
      <c r="J564" s="49"/>
    </row>
    <row r="565">
      <c r="A565" s="47"/>
      <c r="B565" s="47"/>
      <c r="C565" s="47"/>
      <c r="D565" s="49"/>
      <c r="E565" s="49"/>
      <c r="F565" s="49"/>
      <c r="G565" s="49"/>
      <c r="H565" s="49"/>
      <c r="I565" s="49"/>
      <c r="J565" s="49"/>
    </row>
    <row r="566">
      <c r="A566" s="47"/>
      <c r="B566" s="47"/>
      <c r="C566" s="47"/>
      <c r="D566" s="49"/>
      <c r="E566" s="49"/>
      <c r="F566" s="49"/>
      <c r="G566" s="49"/>
      <c r="H566" s="49"/>
      <c r="I566" s="49"/>
      <c r="J566" s="49"/>
    </row>
    <row r="567">
      <c r="A567" s="47"/>
      <c r="B567" s="47"/>
      <c r="C567" s="47"/>
      <c r="D567" s="49"/>
      <c r="E567" s="49"/>
      <c r="F567" s="49"/>
      <c r="G567" s="49"/>
      <c r="H567" s="49"/>
      <c r="I567" s="49"/>
      <c r="J567" s="49"/>
    </row>
    <row r="568">
      <c r="A568" s="47"/>
      <c r="B568" s="47"/>
      <c r="C568" s="47"/>
      <c r="D568" s="49"/>
      <c r="E568" s="49"/>
      <c r="F568" s="49"/>
      <c r="G568" s="49"/>
      <c r="H568" s="49"/>
      <c r="I568" s="49"/>
      <c r="J568" s="49"/>
    </row>
    <row r="569">
      <c r="A569" s="47"/>
      <c r="B569" s="47"/>
      <c r="C569" s="47"/>
      <c r="D569" s="49"/>
      <c r="E569" s="49"/>
      <c r="F569" s="49"/>
      <c r="G569" s="49"/>
      <c r="H569" s="49"/>
      <c r="I569" s="49"/>
      <c r="J569" s="49"/>
    </row>
    <row r="570">
      <c r="A570" s="47"/>
      <c r="B570" s="47"/>
      <c r="C570" s="47"/>
      <c r="D570" s="49"/>
      <c r="E570" s="49"/>
      <c r="F570" s="49"/>
      <c r="G570" s="49"/>
      <c r="H570" s="49"/>
      <c r="I570" s="49"/>
      <c r="J570" s="49"/>
    </row>
    <row r="571">
      <c r="A571" s="47"/>
      <c r="B571" s="47"/>
      <c r="C571" s="47"/>
      <c r="D571" s="49"/>
      <c r="E571" s="49"/>
      <c r="F571" s="49"/>
      <c r="G571" s="49"/>
      <c r="H571" s="49"/>
      <c r="I571" s="49"/>
      <c r="J571" s="49"/>
    </row>
    <row r="572">
      <c r="A572" s="47"/>
      <c r="B572" s="47"/>
      <c r="C572" s="47"/>
      <c r="D572" s="49"/>
      <c r="E572" s="49"/>
      <c r="F572" s="49"/>
      <c r="G572" s="49"/>
      <c r="H572" s="49"/>
      <c r="I572" s="49"/>
      <c r="J572" s="49"/>
    </row>
    <row r="573">
      <c r="A573" s="47"/>
      <c r="B573" s="47"/>
      <c r="C573" s="47"/>
      <c r="D573" s="49"/>
      <c r="E573" s="49"/>
      <c r="F573" s="49"/>
      <c r="G573" s="49"/>
      <c r="H573" s="49"/>
      <c r="I573" s="49"/>
      <c r="J573" s="49"/>
    </row>
    <row r="574">
      <c r="A574" s="47"/>
      <c r="B574" s="47"/>
      <c r="C574" s="47"/>
      <c r="D574" s="49"/>
      <c r="E574" s="49"/>
      <c r="F574" s="49"/>
      <c r="G574" s="49"/>
      <c r="H574" s="49"/>
      <c r="I574" s="49"/>
      <c r="J574" s="49"/>
    </row>
    <row r="575">
      <c r="A575" s="47"/>
      <c r="B575" s="47"/>
      <c r="C575" s="47"/>
      <c r="D575" s="49"/>
      <c r="E575" s="49"/>
      <c r="F575" s="49"/>
      <c r="G575" s="49"/>
      <c r="H575" s="49"/>
      <c r="I575" s="49"/>
      <c r="J575" s="49"/>
    </row>
    <row r="576">
      <c r="A576" s="47"/>
      <c r="B576" s="47"/>
      <c r="C576" s="47"/>
      <c r="D576" s="49"/>
      <c r="E576" s="49"/>
      <c r="F576" s="49"/>
      <c r="G576" s="49"/>
      <c r="H576" s="49"/>
      <c r="I576" s="49"/>
      <c r="J576" s="49"/>
    </row>
    <row r="577">
      <c r="A577" s="47"/>
      <c r="B577" s="47"/>
      <c r="C577" s="47"/>
      <c r="D577" s="49"/>
      <c r="E577" s="49"/>
      <c r="F577" s="49"/>
      <c r="G577" s="49"/>
      <c r="H577" s="49"/>
      <c r="I577" s="49"/>
      <c r="J577" s="49"/>
    </row>
    <row r="578">
      <c r="A578" s="47"/>
      <c r="B578" s="47"/>
      <c r="C578" s="47"/>
      <c r="D578" s="49"/>
      <c r="E578" s="49"/>
      <c r="F578" s="49"/>
      <c r="G578" s="49"/>
      <c r="H578" s="49"/>
      <c r="I578" s="49"/>
      <c r="J578" s="49"/>
    </row>
    <row r="579">
      <c r="A579" s="47"/>
      <c r="B579" s="47"/>
      <c r="C579" s="47"/>
      <c r="D579" s="49"/>
      <c r="E579" s="49"/>
      <c r="F579" s="49"/>
      <c r="G579" s="49"/>
      <c r="H579" s="49"/>
      <c r="I579" s="49"/>
      <c r="J579" s="49"/>
    </row>
    <row r="580">
      <c r="A580" s="47"/>
      <c r="B580" s="47"/>
      <c r="C580" s="47"/>
      <c r="D580" s="49"/>
      <c r="E580" s="49"/>
      <c r="F580" s="49"/>
      <c r="G580" s="49"/>
      <c r="H580" s="49"/>
      <c r="I580" s="49"/>
      <c r="J580" s="49"/>
    </row>
    <row r="581">
      <c r="A581" s="47"/>
      <c r="B581" s="47"/>
      <c r="C581" s="47"/>
      <c r="D581" s="49"/>
      <c r="E581" s="49"/>
      <c r="F581" s="49"/>
      <c r="G581" s="49"/>
      <c r="H581" s="49"/>
      <c r="I581" s="49"/>
      <c r="J581" s="49"/>
    </row>
    <row r="582">
      <c r="A582" s="47"/>
      <c r="B582" s="47"/>
      <c r="C582" s="47"/>
      <c r="D582" s="49"/>
      <c r="E582" s="49"/>
      <c r="F582" s="49"/>
      <c r="G582" s="49"/>
      <c r="H582" s="49"/>
      <c r="I582" s="49"/>
      <c r="J582" s="49"/>
    </row>
    <row r="583">
      <c r="A583" s="47"/>
      <c r="B583" s="47"/>
      <c r="C583" s="47"/>
      <c r="D583" s="49"/>
      <c r="E583" s="49"/>
      <c r="F583" s="49"/>
      <c r="G583" s="49"/>
      <c r="H583" s="49"/>
      <c r="I583" s="49"/>
      <c r="J583" s="49"/>
    </row>
    <row r="584">
      <c r="A584" s="47"/>
      <c r="B584" s="47"/>
      <c r="C584" s="47"/>
      <c r="D584" s="49"/>
      <c r="E584" s="49"/>
      <c r="F584" s="49"/>
      <c r="G584" s="49"/>
      <c r="H584" s="49"/>
      <c r="I584" s="49"/>
      <c r="J584" s="49"/>
    </row>
    <row r="585">
      <c r="A585" s="47"/>
      <c r="B585" s="47"/>
      <c r="C585" s="47"/>
      <c r="D585" s="49"/>
      <c r="E585" s="49"/>
      <c r="F585" s="49"/>
      <c r="G585" s="49"/>
      <c r="H585" s="49"/>
      <c r="I585" s="49"/>
      <c r="J585" s="49"/>
    </row>
    <row r="586">
      <c r="A586" s="47"/>
      <c r="B586" s="47"/>
      <c r="C586" s="47"/>
      <c r="D586" s="49"/>
      <c r="E586" s="49"/>
      <c r="F586" s="49"/>
      <c r="G586" s="49"/>
      <c r="H586" s="49"/>
      <c r="I586" s="49"/>
      <c r="J586" s="49"/>
    </row>
    <row r="587">
      <c r="A587" s="47"/>
      <c r="B587" s="47"/>
      <c r="C587" s="47"/>
      <c r="D587" s="49"/>
      <c r="E587" s="49"/>
      <c r="F587" s="49"/>
      <c r="G587" s="49"/>
      <c r="H587" s="49"/>
      <c r="I587" s="49"/>
      <c r="J587" s="49"/>
    </row>
    <row r="588">
      <c r="A588" s="47"/>
      <c r="B588" s="47"/>
      <c r="C588" s="47"/>
      <c r="D588" s="49"/>
      <c r="E588" s="49"/>
      <c r="F588" s="49"/>
      <c r="G588" s="49"/>
      <c r="H588" s="49"/>
      <c r="I588" s="49"/>
      <c r="J588" s="49"/>
    </row>
    <row r="589">
      <c r="A589" s="47"/>
      <c r="B589" s="47"/>
      <c r="C589" s="47"/>
      <c r="D589" s="49"/>
      <c r="E589" s="49"/>
      <c r="F589" s="49"/>
      <c r="G589" s="49"/>
      <c r="H589" s="49"/>
      <c r="I589" s="49"/>
      <c r="J589" s="49"/>
    </row>
    <row r="590">
      <c r="A590" s="47"/>
      <c r="B590" s="47"/>
      <c r="C590" s="47"/>
      <c r="D590" s="49"/>
      <c r="E590" s="49"/>
      <c r="F590" s="49"/>
      <c r="G590" s="49"/>
      <c r="H590" s="49"/>
      <c r="I590" s="49"/>
      <c r="J590" s="49"/>
    </row>
    <row r="591">
      <c r="A591" s="47"/>
      <c r="B591" s="47"/>
      <c r="C591" s="47"/>
      <c r="D591" s="49"/>
      <c r="E591" s="49"/>
      <c r="F591" s="49"/>
      <c r="G591" s="49"/>
      <c r="H591" s="49"/>
      <c r="I591" s="49"/>
      <c r="J591" s="49"/>
    </row>
    <row r="592">
      <c r="A592" s="47"/>
      <c r="B592" s="47"/>
      <c r="C592" s="47"/>
      <c r="D592" s="49"/>
      <c r="E592" s="49"/>
      <c r="F592" s="49"/>
      <c r="G592" s="49"/>
      <c r="H592" s="49"/>
      <c r="I592" s="49"/>
      <c r="J592" s="49"/>
    </row>
    <row r="593">
      <c r="A593" s="47"/>
      <c r="B593" s="47"/>
      <c r="C593" s="47"/>
      <c r="D593" s="49"/>
      <c r="E593" s="49"/>
      <c r="F593" s="49"/>
      <c r="G593" s="49"/>
      <c r="H593" s="49"/>
      <c r="I593" s="49"/>
      <c r="J593" s="49"/>
    </row>
    <row r="594">
      <c r="A594" s="47"/>
      <c r="B594" s="47"/>
      <c r="C594" s="47"/>
      <c r="D594" s="49"/>
      <c r="E594" s="49"/>
      <c r="F594" s="49"/>
      <c r="G594" s="49"/>
      <c r="H594" s="49"/>
      <c r="I594" s="49"/>
      <c r="J594" s="49"/>
    </row>
    <row r="595">
      <c r="A595" s="47"/>
      <c r="B595" s="47"/>
      <c r="C595" s="47"/>
      <c r="D595" s="49"/>
      <c r="E595" s="49"/>
      <c r="F595" s="49"/>
      <c r="G595" s="49"/>
      <c r="H595" s="49"/>
      <c r="I595" s="49"/>
      <c r="J595" s="49"/>
    </row>
    <row r="596">
      <c r="A596" s="47"/>
      <c r="B596" s="47"/>
      <c r="C596" s="47"/>
      <c r="D596" s="49"/>
      <c r="E596" s="49"/>
      <c r="F596" s="49"/>
      <c r="G596" s="49"/>
      <c r="H596" s="49"/>
      <c r="I596" s="49"/>
      <c r="J596" s="49"/>
    </row>
    <row r="597">
      <c r="A597" s="47"/>
      <c r="B597" s="47"/>
      <c r="C597" s="47"/>
      <c r="D597" s="49"/>
      <c r="E597" s="49"/>
      <c r="F597" s="49"/>
      <c r="G597" s="49"/>
      <c r="H597" s="49"/>
      <c r="I597" s="49"/>
      <c r="J597" s="49"/>
    </row>
    <row r="598">
      <c r="A598" s="47"/>
      <c r="B598" s="47"/>
      <c r="C598" s="47"/>
      <c r="D598" s="49"/>
      <c r="E598" s="49"/>
      <c r="F598" s="49"/>
      <c r="G598" s="49"/>
      <c r="H598" s="49"/>
      <c r="I598" s="49"/>
      <c r="J598" s="49"/>
    </row>
    <row r="599">
      <c r="A599" s="47"/>
      <c r="B599" s="47"/>
      <c r="C599" s="47"/>
      <c r="D599" s="49"/>
      <c r="E599" s="49"/>
      <c r="F599" s="49"/>
      <c r="G599" s="49"/>
      <c r="H599" s="49"/>
      <c r="I599" s="49"/>
      <c r="J599" s="49"/>
    </row>
    <row r="600">
      <c r="A600" s="47"/>
      <c r="B600" s="47"/>
      <c r="C600" s="47"/>
      <c r="D600" s="49"/>
      <c r="E600" s="49"/>
      <c r="F600" s="49"/>
      <c r="G600" s="49"/>
      <c r="H600" s="49"/>
      <c r="I600" s="49"/>
      <c r="J600" s="49"/>
    </row>
    <row r="601">
      <c r="A601" s="47"/>
      <c r="B601" s="47"/>
      <c r="C601" s="47"/>
      <c r="D601" s="49"/>
      <c r="E601" s="49"/>
      <c r="F601" s="49"/>
      <c r="G601" s="49"/>
      <c r="H601" s="49"/>
      <c r="I601" s="49"/>
      <c r="J601" s="49"/>
    </row>
    <row r="602">
      <c r="A602" s="47"/>
      <c r="B602" s="47"/>
      <c r="C602" s="47"/>
      <c r="D602" s="49"/>
      <c r="E602" s="49"/>
      <c r="F602" s="49"/>
      <c r="G602" s="49"/>
      <c r="H602" s="49"/>
      <c r="I602" s="49"/>
      <c r="J602" s="49"/>
    </row>
    <row r="603">
      <c r="A603" s="47"/>
      <c r="B603" s="47"/>
      <c r="C603" s="47"/>
      <c r="D603" s="49"/>
      <c r="E603" s="49"/>
      <c r="F603" s="49"/>
      <c r="G603" s="49"/>
      <c r="H603" s="49"/>
      <c r="I603" s="49"/>
      <c r="J603" s="49"/>
    </row>
    <row r="604">
      <c r="A604" s="47"/>
      <c r="B604" s="47"/>
      <c r="C604" s="47"/>
      <c r="D604" s="49"/>
      <c r="E604" s="49"/>
      <c r="F604" s="49"/>
      <c r="G604" s="49"/>
      <c r="H604" s="49"/>
      <c r="I604" s="49"/>
      <c r="J604" s="49"/>
    </row>
    <row r="605">
      <c r="A605" s="47"/>
      <c r="B605" s="47"/>
      <c r="C605" s="47"/>
      <c r="D605" s="49"/>
      <c r="E605" s="49"/>
      <c r="F605" s="49"/>
      <c r="G605" s="49"/>
      <c r="H605" s="49"/>
      <c r="I605" s="49"/>
      <c r="J605" s="49"/>
    </row>
    <row r="606">
      <c r="A606" s="47"/>
      <c r="B606" s="47"/>
      <c r="C606" s="47"/>
      <c r="D606" s="49"/>
      <c r="E606" s="49"/>
      <c r="F606" s="49"/>
      <c r="G606" s="49"/>
      <c r="H606" s="49"/>
      <c r="I606" s="49"/>
      <c r="J606" s="49"/>
    </row>
    <row r="607">
      <c r="A607" s="47"/>
      <c r="B607" s="47"/>
      <c r="C607" s="47"/>
      <c r="D607" s="49"/>
      <c r="E607" s="49"/>
      <c r="F607" s="49"/>
      <c r="G607" s="49"/>
      <c r="H607" s="49"/>
      <c r="I607" s="49"/>
      <c r="J607" s="49"/>
    </row>
    <row r="608">
      <c r="A608" s="47"/>
      <c r="B608" s="47"/>
      <c r="C608" s="47"/>
      <c r="D608" s="49"/>
      <c r="E608" s="49"/>
      <c r="F608" s="49"/>
      <c r="G608" s="49"/>
      <c r="H608" s="49"/>
      <c r="I608" s="49"/>
      <c r="J608" s="49"/>
    </row>
    <row r="609">
      <c r="A609" s="47"/>
      <c r="B609" s="47"/>
      <c r="C609" s="47"/>
      <c r="D609" s="49"/>
      <c r="E609" s="49"/>
      <c r="F609" s="49"/>
      <c r="G609" s="49"/>
      <c r="H609" s="49"/>
      <c r="I609" s="49"/>
      <c r="J609" s="49"/>
    </row>
    <row r="610">
      <c r="A610" s="47"/>
      <c r="B610" s="47"/>
      <c r="C610" s="47"/>
      <c r="D610" s="49"/>
      <c r="E610" s="49"/>
      <c r="F610" s="49"/>
      <c r="G610" s="49"/>
      <c r="H610" s="49"/>
      <c r="I610" s="49"/>
      <c r="J610" s="49"/>
    </row>
    <row r="611">
      <c r="A611" s="47"/>
      <c r="B611" s="47"/>
      <c r="C611" s="47"/>
      <c r="D611" s="49"/>
      <c r="E611" s="49"/>
      <c r="F611" s="49"/>
      <c r="G611" s="49"/>
      <c r="H611" s="49"/>
      <c r="I611" s="49"/>
      <c r="J611" s="49"/>
    </row>
    <row r="612">
      <c r="A612" s="47"/>
      <c r="B612" s="47"/>
      <c r="C612" s="47"/>
      <c r="D612" s="49"/>
      <c r="E612" s="49"/>
      <c r="F612" s="49"/>
      <c r="G612" s="49"/>
      <c r="H612" s="49"/>
      <c r="I612" s="49"/>
      <c r="J612" s="49"/>
    </row>
    <row r="613">
      <c r="A613" s="47"/>
      <c r="B613" s="47"/>
      <c r="C613" s="47"/>
      <c r="D613" s="49"/>
      <c r="E613" s="49"/>
      <c r="F613" s="49"/>
      <c r="G613" s="49"/>
      <c r="H613" s="49"/>
      <c r="I613" s="49"/>
      <c r="J613" s="49"/>
    </row>
    <row r="614">
      <c r="A614" s="47"/>
      <c r="B614" s="47"/>
      <c r="C614" s="47"/>
      <c r="D614" s="49"/>
      <c r="E614" s="49"/>
      <c r="F614" s="49"/>
      <c r="G614" s="49"/>
      <c r="H614" s="49"/>
      <c r="I614" s="49"/>
      <c r="J614" s="49"/>
    </row>
    <row r="615">
      <c r="A615" s="47"/>
      <c r="B615" s="47"/>
      <c r="C615" s="47"/>
      <c r="D615" s="49"/>
      <c r="E615" s="49"/>
      <c r="F615" s="49"/>
      <c r="G615" s="49"/>
      <c r="H615" s="49"/>
      <c r="I615" s="49"/>
      <c r="J615" s="49"/>
    </row>
    <row r="616">
      <c r="A616" s="47"/>
      <c r="B616" s="47"/>
      <c r="C616" s="47"/>
      <c r="D616" s="49"/>
      <c r="E616" s="49"/>
      <c r="F616" s="49"/>
      <c r="G616" s="49"/>
      <c r="H616" s="49"/>
      <c r="I616" s="49"/>
      <c r="J616" s="49"/>
    </row>
    <row r="617">
      <c r="A617" s="47"/>
      <c r="B617" s="47"/>
      <c r="C617" s="47"/>
      <c r="D617" s="49"/>
      <c r="E617" s="49"/>
      <c r="F617" s="49"/>
      <c r="G617" s="49"/>
      <c r="H617" s="49"/>
      <c r="I617" s="49"/>
      <c r="J617" s="49"/>
    </row>
    <row r="618">
      <c r="A618" s="47"/>
      <c r="B618" s="47"/>
      <c r="C618" s="47"/>
      <c r="D618" s="49"/>
      <c r="E618" s="49"/>
      <c r="F618" s="49"/>
      <c r="G618" s="49"/>
      <c r="H618" s="49"/>
      <c r="I618" s="49"/>
      <c r="J618" s="49"/>
    </row>
    <row r="619">
      <c r="A619" s="47"/>
      <c r="B619" s="47"/>
      <c r="C619" s="47"/>
      <c r="D619" s="49"/>
      <c r="E619" s="49"/>
      <c r="F619" s="49"/>
      <c r="G619" s="49"/>
      <c r="H619" s="49"/>
      <c r="I619" s="49"/>
      <c r="J619" s="49"/>
    </row>
    <row r="620">
      <c r="A620" s="47"/>
      <c r="B620" s="47"/>
      <c r="C620" s="47"/>
      <c r="D620" s="49"/>
      <c r="E620" s="49"/>
      <c r="F620" s="49"/>
      <c r="G620" s="49"/>
      <c r="H620" s="49"/>
      <c r="I620" s="49"/>
      <c r="J620" s="49"/>
    </row>
    <row r="621">
      <c r="A621" s="47"/>
      <c r="B621" s="47"/>
      <c r="C621" s="47"/>
      <c r="D621" s="49"/>
      <c r="E621" s="49"/>
      <c r="F621" s="49"/>
      <c r="G621" s="49"/>
      <c r="H621" s="49"/>
      <c r="I621" s="49"/>
      <c r="J621" s="49"/>
    </row>
    <row r="622">
      <c r="A622" s="47"/>
      <c r="B622" s="47"/>
      <c r="C622" s="47"/>
      <c r="D622" s="49"/>
      <c r="E622" s="49"/>
      <c r="F622" s="49"/>
      <c r="G622" s="49"/>
      <c r="H622" s="49"/>
      <c r="I622" s="49"/>
      <c r="J622" s="49"/>
    </row>
    <row r="623">
      <c r="A623" s="47"/>
      <c r="B623" s="47"/>
      <c r="C623" s="47"/>
      <c r="D623" s="49"/>
      <c r="E623" s="49"/>
      <c r="F623" s="49"/>
      <c r="G623" s="49"/>
      <c r="H623" s="49"/>
      <c r="I623" s="49"/>
      <c r="J623" s="49"/>
    </row>
    <row r="624">
      <c r="A624" s="47"/>
      <c r="B624" s="47"/>
      <c r="C624" s="47"/>
      <c r="D624" s="49"/>
      <c r="E624" s="49"/>
      <c r="F624" s="49"/>
      <c r="G624" s="49"/>
      <c r="H624" s="49"/>
      <c r="I624" s="49"/>
      <c r="J624" s="49"/>
    </row>
    <row r="625">
      <c r="A625" s="47"/>
      <c r="B625" s="47"/>
      <c r="C625" s="47"/>
      <c r="D625" s="49"/>
      <c r="E625" s="49"/>
      <c r="F625" s="49"/>
      <c r="G625" s="49"/>
      <c r="H625" s="49"/>
      <c r="I625" s="49"/>
      <c r="J625" s="49"/>
    </row>
    <row r="626">
      <c r="A626" s="47"/>
      <c r="B626" s="47"/>
      <c r="C626" s="47"/>
      <c r="D626" s="49"/>
      <c r="E626" s="49"/>
      <c r="F626" s="49"/>
      <c r="G626" s="49"/>
      <c r="H626" s="49"/>
      <c r="I626" s="49"/>
      <c r="J626" s="49"/>
    </row>
    <row r="627">
      <c r="A627" s="47"/>
      <c r="B627" s="47"/>
      <c r="C627" s="47"/>
      <c r="D627" s="49"/>
      <c r="E627" s="49"/>
      <c r="F627" s="49"/>
      <c r="G627" s="49"/>
      <c r="H627" s="49"/>
      <c r="I627" s="49"/>
      <c r="J627" s="49"/>
    </row>
    <row r="628">
      <c r="A628" s="47"/>
      <c r="B628" s="47"/>
      <c r="C628" s="47"/>
      <c r="D628" s="49"/>
      <c r="E628" s="49"/>
      <c r="F628" s="49"/>
      <c r="G628" s="49"/>
      <c r="H628" s="49"/>
      <c r="I628" s="49"/>
      <c r="J628" s="49"/>
    </row>
    <row r="629">
      <c r="A629" s="47"/>
      <c r="B629" s="47"/>
      <c r="C629" s="47"/>
      <c r="D629" s="49"/>
      <c r="E629" s="49"/>
      <c r="F629" s="49"/>
      <c r="G629" s="49"/>
      <c r="H629" s="49"/>
      <c r="I629" s="49"/>
      <c r="J629" s="49"/>
    </row>
    <row r="630">
      <c r="A630" s="47"/>
      <c r="B630" s="47"/>
      <c r="C630" s="47"/>
      <c r="D630" s="49"/>
      <c r="E630" s="49"/>
      <c r="F630" s="49"/>
      <c r="G630" s="49"/>
      <c r="H630" s="49"/>
      <c r="I630" s="49"/>
      <c r="J630" s="49"/>
    </row>
    <row r="631">
      <c r="A631" s="47"/>
      <c r="B631" s="47"/>
      <c r="C631" s="47"/>
      <c r="D631" s="49"/>
      <c r="E631" s="49"/>
      <c r="F631" s="49"/>
      <c r="G631" s="49"/>
      <c r="H631" s="49"/>
      <c r="I631" s="49"/>
      <c r="J631" s="49"/>
    </row>
    <row r="632">
      <c r="A632" s="47"/>
      <c r="B632" s="47"/>
      <c r="C632" s="47"/>
      <c r="D632" s="49"/>
      <c r="E632" s="49"/>
      <c r="F632" s="49"/>
      <c r="G632" s="49"/>
      <c r="H632" s="49"/>
      <c r="I632" s="49"/>
      <c r="J632" s="49"/>
    </row>
    <row r="633">
      <c r="A633" s="47"/>
      <c r="B633" s="47"/>
      <c r="C633" s="47"/>
      <c r="D633" s="49"/>
      <c r="E633" s="49"/>
      <c r="F633" s="49"/>
      <c r="G633" s="49"/>
      <c r="H633" s="49"/>
      <c r="I633" s="49"/>
      <c r="J633" s="49"/>
    </row>
    <row r="634">
      <c r="A634" s="47"/>
      <c r="B634" s="47"/>
      <c r="C634" s="47"/>
      <c r="D634" s="49"/>
      <c r="E634" s="49"/>
      <c r="F634" s="49"/>
      <c r="G634" s="49"/>
      <c r="H634" s="49"/>
      <c r="I634" s="49"/>
      <c r="J634" s="49"/>
    </row>
    <row r="635">
      <c r="A635" s="47"/>
      <c r="B635" s="47"/>
      <c r="C635" s="47"/>
      <c r="D635" s="49"/>
      <c r="E635" s="49"/>
      <c r="F635" s="49"/>
      <c r="G635" s="49"/>
      <c r="H635" s="49"/>
      <c r="I635" s="49"/>
      <c r="J635" s="49"/>
    </row>
    <row r="636">
      <c r="A636" s="47"/>
      <c r="B636" s="47"/>
      <c r="C636" s="47"/>
      <c r="D636" s="49"/>
      <c r="E636" s="49"/>
      <c r="F636" s="49"/>
      <c r="G636" s="49"/>
      <c r="H636" s="49"/>
      <c r="I636" s="49"/>
      <c r="J636" s="49"/>
    </row>
    <row r="637">
      <c r="A637" s="47"/>
      <c r="B637" s="47"/>
      <c r="C637" s="47"/>
      <c r="D637" s="49"/>
      <c r="E637" s="49"/>
      <c r="F637" s="49"/>
      <c r="G637" s="49"/>
      <c r="H637" s="49"/>
      <c r="I637" s="49"/>
      <c r="J637" s="49"/>
    </row>
    <row r="638">
      <c r="A638" s="47"/>
      <c r="B638" s="47"/>
      <c r="C638" s="47"/>
      <c r="D638" s="49"/>
      <c r="E638" s="49"/>
      <c r="F638" s="49"/>
      <c r="G638" s="49"/>
      <c r="H638" s="49"/>
      <c r="I638" s="49"/>
      <c r="J638" s="49"/>
    </row>
    <row r="639">
      <c r="A639" s="47"/>
      <c r="B639" s="47"/>
      <c r="C639" s="47"/>
      <c r="D639" s="49"/>
      <c r="E639" s="49"/>
      <c r="F639" s="49"/>
      <c r="G639" s="49"/>
      <c r="H639" s="49"/>
      <c r="I639" s="49"/>
      <c r="J639" s="49"/>
    </row>
    <row r="640">
      <c r="A640" s="47"/>
      <c r="B640" s="47"/>
      <c r="C640" s="47"/>
      <c r="D640" s="49"/>
      <c r="E640" s="49"/>
      <c r="F640" s="49"/>
      <c r="G640" s="49"/>
      <c r="H640" s="49"/>
      <c r="I640" s="49"/>
      <c r="J640" s="49"/>
    </row>
    <row r="641">
      <c r="A641" s="47"/>
      <c r="B641" s="47"/>
      <c r="C641" s="47"/>
      <c r="D641" s="49"/>
      <c r="E641" s="49"/>
      <c r="F641" s="49"/>
      <c r="G641" s="49"/>
      <c r="H641" s="49"/>
      <c r="I641" s="49"/>
      <c r="J641" s="49"/>
    </row>
    <row r="642">
      <c r="A642" s="47"/>
      <c r="B642" s="47"/>
      <c r="C642" s="47"/>
      <c r="D642" s="49"/>
      <c r="E642" s="49"/>
      <c r="F642" s="49"/>
      <c r="G642" s="49"/>
      <c r="H642" s="49"/>
      <c r="I642" s="49"/>
      <c r="J642" s="49"/>
    </row>
    <row r="643">
      <c r="A643" s="47"/>
      <c r="B643" s="47"/>
      <c r="C643" s="47"/>
      <c r="D643" s="49"/>
      <c r="E643" s="49"/>
      <c r="F643" s="49"/>
      <c r="G643" s="49"/>
      <c r="H643" s="49"/>
      <c r="I643" s="49"/>
      <c r="J643" s="49"/>
    </row>
    <row r="644">
      <c r="A644" s="47"/>
      <c r="B644" s="47"/>
      <c r="C644" s="47"/>
      <c r="D644" s="49"/>
      <c r="E644" s="49"/>
      <c r="F644" s="49"/>
      <c r="G644" s="49"/>
      <c r="H644" s="49"/>
      <c r="I644" s="49"/>
      <c r="J644" s="49"/>
    </row>
    <row r="645">
      <c r="A645" s="47"/>
      <c r="B645" s="47"/>
      <c r="C645" s="47"/>
      <c r="D645" s="49"/>
      <c r="E645" s="49"/>
      <c r="F645" s="49"/>
      <c r="G645" s="49"/>
      <c r="H645" s="49"/>
      <c r="I645" s="49"/>
      <c r="J645" s="49"/>
    </row>
    <row r="646">
      <c r="A646" s="47"/>
      <c r="B646" s="47"/>
      <c r="C646" s="47"/>
      <c r="D646" s="49"/>
      <c r="E646" s="49"/>
      <c r="F646" s="49"/>
      <c r="G646" s="49"/>
      <c r="H646" s="49"/>
      <c r="I646" s="49"/>
      <c r="J646" s="49"/>
    </row>
    <row r="647">
      <c r="A647" s="47"/>
      <c r="B647" s="47"/>
      <c r="C647" s="47"/>
      <c r="D647" s="49"/>
      <c r="E647" s="49"/>
      <c r="F647" s="49"/>
      <c r="G647" s="49"/>
      <c r="H647" s="49"/>
      <c r="I647" s="49"/>
      <c r="J647" s="49"/>
    </row>
    <row r="648">
      <c r="A648" s="47"/>
      <c r="B648" s="47"/>
      <c r="C648" s="47"/>
      <c r="D648" s="49"/>
      <c r="E648" s="49"/>
      <c r="F648" s="49"/>
      <c r="G648" s="49"/>
      <c r="H648" s="49"/>
      <c r="I648" s="49"/>
      <c r="J648" s="49"/>
    </row>
    <row r="649">
      <c r="A649" s="47"/>
      <c r="B649" s="47"/>
      <c r="C649" s="47"/>
      <c r="D649" s="49"/>
      <c r="E649" s="49"/>
      <c r="F649" s="49"/>
      <c r="G649" s="49"/>
      <c r="H649" s="49"/>
      <c r="I649" s="49"/>
      <c r="J649" s="49"/>
    </row>
    <row r="650">
      <c r="A650" s="47"/>
      <c r="B650" s="47"/>
      <c r="C650" s="47"/>
      <c r="D650" s="49"/>
      <c r="E650" s="49"/>
      <c r="F650" s="49"/>
      <c r="G650" s="49"/>
      <c r="H650" s="49"/>
      <c r="I650" s="49"/>
      <c r="J650" s="49"/>
    </row>
    <row r="651">
      <c r="A651" s="47"/>
      <c r="B651" s="47"/>
      <c r="C651" s="47"/>
      <c r="D651" s="49"/>
      <c r="E651" s="49"/>
      <c r="F651" s="49"/>
      <c r="G651" s="49"/>
      <c r="H651" s="49"/>
      <c r="I651" s="49"/>
      <c r="J651" s="49"/>
    </row>
    <row r="652">
      <c r="A652" s="47"/>
      <c r="B652" s="47"/>
      <c r="C652" s="47"/>
      <c r="D652" s="49"/>
      <c r="E652" s="49"/>
      <c r="F652" s="49"/>
      <c r="G652" s="49"/>
      <c r="H652" s="49"/>
      <c r="I652" s="49"/>
      <c r="J652" s="49"/>
    </row>
    <row r="653">
      <c r="A653" s="47"/>
      <c r="B653" s="47"/>
      <c r="C653" s="47"/>
      <c r="D653" s="49"/>
      <c r="E653" s="49"/>
      <c r="F653" s="49"/>
      <c r="G653" s="49"/>
      <c r="H653" s="49"/>
      <c r="I653" s="49"/>
      <c r="J653" s="49"/>
    </row>
    <row r="654">
      <c r="A654" s="47"/>
      <c r="B654" s="47"/>
      <c r="C654" s="47"/>
      <c r="D654" s="49"/>
      <c r="E654" s="49"/>
      <c r="F654" s="49"/>
      <c r="G654" s="49"/>
      <c r="H654" s="49"/>
      <c r="I654" s="49"/>
      <c r="J654" s="49"/>
    </row>
    <row r="655">
      <c r="A655" s="47"/>
      <c r="B655" s="47"/>
      <c r="C655" s="47"/>
      <c r="D655" s="49"/>
      <c r="E655" s="49"/>
      <c r="F655" s="49"/>
      <c r="G655" s="49"/>
      <c r="H655" s="49"/>
      <c r="I655" s="49"/>
      <c r="J655" s="49"/>
    </row>
    <row r="656">
      <c r="A656" s="47"/>
      <c r="B656" s="47"/>
      <c r="C656" s="47"/>
      <c r="D656" s="49"/>
      <c r="E656" s="49"/>
      <c r="F656" s="49"/>
      <c r="G656" s="49"/>
      <c r="H656" s="49"/>
      <c r="I656" s="49"/>
      <c r="J656" s="49"/>
    </row>
    <row r="657">
      <c r="A657" s="47"/>
      <c r="B657" s="47"/>
      <c r="C657" s="47"/>
      <c r="D657" s="49"/>
      <c r="E657" s="49"/>
      <c r="F657" s="49"/>
      <c r="G657" s="49"/>
      <c r="H657" s="49"/>
      <c r="I657" s="49"/>
      <c r="J657" s="49"/>
    </row>
    <row r="658">
      <c r="A658" s="47"/>
      <c r="B658" s="47"/>
      <c r="C658" s="47"/>
      <c r="D658" s="49"/>
      <c r="E658" s="49"/>
      <c r="F658" s="49"/>
      <c r="G658" s="49"/>
      <c r="H658" s="49"/>
      <c r="I658" s="49"/>
      <c r="J658" s="49"/>
    </row>
    <row r="659">
      <c r="A659" s="47"/>
      <c r="B659" s="47"/>
      <c r="C659" s="47"/>
      <c r="D659" s="49"/>
      <c r="E659" s="49"/>
      <c r="F659" s="49"/>
      <c r="G659" s="49"/>
      <c r="H659" s="49"/>
      <c r="I659" s="49"/>
      <c r="J659" s="49"/>
    </row>
    <row r="660">
      <c r="A660" s="47"/>
      <c r="B660" s="47"/>
      <c r="C660" s="47"/>
      <c r="D660" s="49"/>
      <c r="E660" s="49"/>
      <c r="F660" s="49"/>
      <c r="G660" s="49"/>
      <c r="H660" s="49"/>
      <c r="I660" s="49"/>
      <c r="J660" s="49"/>
    </row>
    <row r="661">
      <c r="A661" s="47"/>
      <c r="B661" s="47"/>
      <c r="C661" s="47"/>
      <c r="D661" s="49"/>
      <c r="E661" s="49"/>
      <c r="F661" s="49"/>
      <c r="G661" s="49"/>
      <c r="H661" s="49"/>
      <c r="I661" s="49"/>
      <c r="J661" s="49"/>
    </row>
    <row r="662">
      <c r="A662" s="47"/>
      <c r="B662" s="47"/>
      <c r="C662" s="47"/>
      <c r="D662" s="49"/>
      <c r="E662" s="49"/>
      <c r="F662" s="49"/>
      <c r="G662" s="49"/>
      <c r="H662" s="49"/>
      <c r="I662" s="49"/>
      <c r="J662" s="49"/>
    </row>
    <row r="663">
      <c r="A663" s="47"/>
      <c r="B663" s="47"/>
      <c r="C663" s="47"/>
      <c r="D663" s="49"/>
      <c r="E663" s="49"/>
      <c r="F663" s="49"/>
      <c r="G663" s="49"/>
      <c r="H663" s="49"/>
      <c r="I663" s="49"/>
      <c r="J663" s="49"/>
    </row>
    <row r="664">
      <c r="A664" s="47"/>
      <c r="B664" s="47"/>
      <c r="C664" s="47"/>
      <c r="D664" s="49"/>
      <c r="E664" s="49"/>
      <c r="F664" s="49"/>
      <c r="G664" s="49"/>
      <c r="H664" s="49"/>
      <c r="I664" s="49"/>
      <c r="J664" s="49"/>
    </row>
    <row r="665">
      <c r="A665" s="47"/>
      <c r="B665" s="47"/>
      <c r="C665" s="47"/>
      <c r="D665" s="49"/>
      <c r="E665" s="49"/>
      <c r="F665" s="49"/>
      <c r="G665" s="49"/>
      <c r="H665" s="49"/>
      <c r="I665" s="49"/>
      <c r="J665" s="49"/>
    </row>
    <row r="666">
      <c r="A666" s="47"/>
      <c r="B666" s="47"/>
      <c r="C666" s="47"/>
      <c r="D666" s="49"/>
      <c r="E666" s="49"/>
      <c r="F666" s="49"/>
      <c r="G666" s="49"/>
      <c r="H666" s="49"/>
      <c r="I666" s="49"/>
      <c r="J666" s="49"/>
    </row>
    <row r="667">
      <c r="A667" s="47"/>
      <c r="B667" s="47"/>
      <c r="C667" s="47"/>
      <c r="D667" s="49"/>
      <c r="E667" s="49"/>
      <c r="F667" s="49"/>
      <c r="G667" s="49"/>
      <c r="H667" s="49"/>
      <c r="I667" s="49"/>
      <c r="J667" s="49"/>
    </row>
    <row r="668">
      <c r="A668" s="47"/>
      <c r="B668" s="47"/>
      <c r="C668" s="47"/>
      <c r="D668" s="49"/>
      <c r="E668" s="49"/>
      <c r="F668" s="49"/>
      <c r="G668" s="49"/>
      <c r="H668" s="49"/>
      <c r="I668" s="49"/>
      <c r="J668" s="49"/>
    </row>
    <row r="669">
      <c r="A669" s="47"/>
      <c r="B669" s="47"/>
      <c r="C669" s="47"/>
      <c r="D669" s="49"/>
      <c r="E669" s="49"/>
      <c r="F669" s="49"/>
      <c r="G669" s="49"/>
      <c r="H669" s="49"/>
      <c r="I669" s="49"/>
      <c r="J669" s="49"/>
    </row>
    <row r="670">
      <c r="A670" s="47"/>
      <c r="B670" s="47"/>
      <c r="C670" s="47"/>
      <c r="D670" s="49"/>
      <c r="E670" s="49"/>
      <c r="F670" s="49"/>
      <c r="G670" s="49"/>
      <c r="H670" s="49"/>
      <c r="I670" s="49"/>
      <c r="J670" s="49"/>
    </row>
    <row r="671">
      <c r="A671" s="47"/>
      <c r="B671" s="47"/>
      <c r="C671" s="47"/>
      <c r="D671" s="49"/>
      <c r="E671" s="49"/>
      <c r="F671" s="49"/>
      <c r="G671" s="49"/>
      <c r="H671" s="49"/>
      <c r="I671" s="49"/>
      <c r="J671" s="49"/>
    </row>
    <row r="672">
      <c r="A672" s="47"/>
      <c r="B672" s="47"/>
      <c r="C672" s="47"/>
      <c r="D672" s="49"/>
      <c r="E672" s="49"/>
      <c r="F672" s="49"/>
      <c r="G672" s="49"/>
      <c r="H672" s="49"/>
      <c r="I672" s="49"/>
      <c r="J672" s="49"/>
    </row>
    <row r="673">
      <c r="A673" s="47"/>
      <c r="B673" s="47"/>
      <c r="C673" s="47"/>
      <c r="D673" s="49"/>
      <c r="E673" s="49"/>
      <c r="F673" s="49"/>
      <c r="G673" s="49"/>
      <c r="H673" s="49"/>
      <c r="I673" s="49"/>
      <c r="J673" s="49"/>
    </row>
    <row r="674">
      <c r="A674" s="47"/>
      <c r="B674" s="47"/>
      <c r="C674" s="47"/>
      <c r="D674" s="49"/>
      <c r="E674" s="49"/>
      <c r="F674" s="49"/>
      <c r="G674" s="49"/>
      <c r="H674" s="49"/>
      <c r="I674" s="49"/>
      <c r="J674" s="49"/>
    </row>
    <row r="675">
      <c r="A675" s="47"/>
      <c r="B675" s="47"/>
      <c r="C675" s="47"/>
      <c r="D675" s="49"/>
      <c r="E675" s="49"/>
      <c r="F675" s="49"/>
      <c r="G675" s="49"/>
      <c r="H675" s="49"/>
      <c r="I675" s="49"/>
      <c r="J675" s="49"/>
    </row>
    <row r="676">
      <c r="A676" s="47"/>
      <c r="B676" s="47"/>
      <c r="C676" s="47"/>
      <c r="D676" s="49"/>
      <c r="E676" s="49"/>
      <c r="F676" s="49"/>
      <c r="G676" s="49"/>
      <c r="H676" s="49"/>
      <c r="I676" s="49"/>
      <c r="J676" s="49"/>
    </row>
    <row r="677">
      <c r="A677" s="47"/>
      <c r="B677" s="47"/>
      <c r="C677" s="47"/>
      <c r="D677" s="49"/>
      <c r="E677" s="49"/>
      <c r="F677" s="49"/>
      <c r="G677" s="49"/>
      <c r="H677" s="49"/>
      <c r="I677" s="49"/>
      <c r="J677" s="49"/>
    </row>
    <row r="678">
      <c r="A678" s="47"/>
      <c r="B678" s="47"/>
      <c r="C678" s="47"/>
      <c r="D678" s="49"/>
      <c r="E678" s="49"/>
      <c r="F678" s="49"/>
      <c r="G678" s="49"/>
      <c r="H678" s="49"/>
      <c r="I678" s="49"/>
      <c r="J678" s="49"/>
    </row>
    <row r="679">
      <c r="A679" s="47"/>
      <c r="B679" s="47"/>
      <c r="C679" s="47"/>
      <c r="D679" s="49"/>
      <c r="E679" s="49"/>
      <c r="F679" s="49"/>
      <c r="G679" s="49"/>
      <c r="H679" s="49"/>
      <c r="I679" s="49"/>
      <c r="J679" s="49"/>
    </row>
    <row r="680">
      <c r="A680" s="47"/>
      <c r="B680" s="47"/>
      <c r="C680" s="47"/>
      <c r="D680" s="49"/>
      <c r="E680" s="49"/>
      <c r="F680" s="49"/>
      <c r="G680" s="49"/>
      <c r="H680" s="49"/>
      <c r="I680" s="49"/>
      <c r="J680" s="49"/>
    </row>
    <row r="681">
      <c r="A681" s="47"/>
      <c r="B681" s="47"/>
      <c r="C681" s="47"/>
      <c r="D681" s="49"/>
      <c r="E681" s="49"/>
      <c r="F681" s="49"/>
      <c r="G681" s="49"/>
      <c r="H681" s="49"/>
      <c r="I681" s="49"/>
      <c r="J681" s="49"/>
    </row>
    <row r="682">
      <c r="A682" s="47"/>
      <c r="B682" s="47"/>
      <c r="C682" s="47"/>
      <c r="D682" s="49"/>
      <c r="E682" s="49"/>
      <c r="F682" s="49"/>
      <c r="G682" s="49"/>
      <c r="H682" s="49"/>
      <c r="I682" s="49"/>
      <c r="J682" s="49"/>
    </row>
    <row r="683">
      <c r="A683" s="47"/>
      <c r="B683" s="47"/>
      <c r="C683" s="47"/>
      <c r="D683" s="49"/>
      <c r="E683" s="49"/>
      <c r="F683" s="49"/>
      <c r="G683" s="49"/>
      <c r="H683" s="49"/>
      <c r="I683" s="49"/>
      <c r="J683" s="49"/>
    </row>
    <row r="684">
      <c r="A684" s="47"/>
      <c r="B684" s="47"/>
      <c r="C684" s="47"/>
      <c r="D684" s="49"/>
      <c r="E684" s="49"/>
      <c r="F684" s="49"/>
      <c r="G684" s="49"/>
      <c r="H684" s="49"/>
      <c r="I684" s="49"/>
      <c r="J684" s="49"/>
    </row>
    <row r="685">
      <c r="A685" s="47"/>
      <c r="B685" s="47"/>
      <c r="C685" s="47"/>
      <c r="D685" s="49"/>
      <c r="E685" s="49"/>
      <c r="F685" s="49"/>
      <c r="G685" s="49"/>
      <c r="H685" s="49"/>
      <c r="I685" s="49"/>
      <c r="J685" s="49"/>
    </row>
    <row r="686">
      <c r="A686" s="47"/>
      <c r="B686" s="47"/>
      <c r="C686" s="47"/>
      <c r="D686" s="49"/>
      <c r="E686" s="49"/>
      <c r="F686" s="49"/>
      <c r="G686" s="49"/>
      <c r="H686" s="49"/>
      <c r="I686" s="49"/>
      <c r="J686" s="49"/>
    </row>
    <row r="687">
      <c r="A687" s="47"/>
      <c r="B687" s="47"/>
      <c r="C687" s="47"/>
      <c r="D687" s="49"/>
      <c r="E687" s="49"/>
      <c r="F687" s="49"/>
      <c r="G687" s="49"/>
      <c r="H687" s="49"/>
      <c r="I687" s="49"/>
      <c r="J687" s="49"/>
    </row>
    <row r="688">
      <c r="A688" s="47"/>
      <c r="B688" s="47"/>
      <c r="C688" s="47"/>
      <c r="D688" s="49"/>
      <c r="E688" s="49"/>
      <c r="F688" s="49"/>
      <c r="G688" s="49"/>
      <c r="H688" s="49"/>
      <c r="I688" s="49"/>
      <c r="J688" s="49"/>
    </row>
    <row r="689">
      <c r="A689" s="47"/>
      <c r="B689" s="47"/>
      <c r="C689" s="47"/>
      <c r="D689" s="49"/>
      <c r="E689" s="49"/>
      <c r="F689" s="49"/>
      <c r="G689" s="49"/>
      <c r="H689" s="49"/>
      <c r="I689" s="49"/>
      <c r="J689" s="49"/>
    </row>
    <row r="690">
      <c r="A690" s="47"/>
      <c r="B690" s="47"/>
      <c r="C690" s="47"/>
      <c r="D690" s="49"/>
      <c r="E690" s="49"/>
      <c r="F690" s="49"/>
      <c r="G690" s="49"/>
      <c r="H690" s="49"/>
      <c r="I690" s="49"/>
      <c r="J690" s="49"/>
    </row>
    <row r="691">
      <c r="A691" s="47"/>
      <c r="B691" s="47"/>
      <c r="C691" s="47"/>
      <c r="D691" s="49"/>
      <c r="E691" s="49"/>
      <c r="F691" s="49"/>
      <c r="G691" s="49"/>
      <c r="H691" s="49"/>
      <c r="I691" s="49"/>
      <c r="J691" s="49"/>
    </row>
    <row r="692">
      <c r="A692" s="47"/>
      <c r="B692" s="47"/>
      <c r="C692" s="47"/>
      <c r="D692" s="49"/>
      <c r="E692" s="49"/>
      <c r="F692" s="49"/>
      <c r="G692" s="49"/>
      <c r="H692" s="49"/>
      <c r="I692" s="49"/>
      <c r="J692" s="49"/>
    </row>
    <row r="693">
      <c r="A693" s="47"/>
      <c r="B693" s="47"/>
      <c r="C693" s="47"/>
      <c r="D693" s="49"/>
      <c r="E693" s="49"/>
      <c r="F693" s="49"/>
      <c r="G693" s="49"/>
      <c r="H693" s="49"/>
      <c r="I693" s="49"/>
      <c r="J693" s="49"/>
    </row>
    <row r="694">
      <c r="A694" s="47"/>
      <c r="B694" s="47"/>
      <c r="C694" s="47"/>
      <c r="D694" s="49"/>
      <c r="E694" s="49"/>
      <c r="F694" s="49"/>
      <c r="G694" s="49"/>
      <c r="H694" s="49"/>
      <c r="I694" s="49"/>
      <c r="J694" s="49"/>
    </row>
    <row r="695">
      <c r="A695" s="47"/>
      <c r="B695" s="47"/>
      <c r="C695" s="47"/>
      <c r="D695" s="49"/>
      <c r="E695" s="49"/>
      <c r="F695" s="49"/>
      <c r="G695" s="49"/>
      <c r="H695" s="49"/>
      <c r="I695" s="49"/>
      <c r="J695" s="49"/>
    </row>
    <row r="696">
      <c r="A696" s="47"/>
      <c r="B696" s="47"/>
      <c r="C696" s="47"/>
      <c r="D696" s="49"/>
      <c r="E696" s="49"/>
      <c r="F696" s="49"/>
      <c r="G696" s="49"/>
      <c r="H696" s="49"/>
      <c r="I696" s="49"/>
      <c r="J696" s="49"/>
    </row>
    <row r="697">
      <c r="A697" s="47"/>
      <c r="B697" s="47"/>
      <c r="C697" s="47"/>
      <c r="D697" s="49"/>
      <c r="E697" s="49"/>
      <c r="F697" s="49"/>
      <c r="G697" s="49"/>
      <c r="H697" s="49"/>
      <c r="I697" s="49"/>
      <c r="J697" s="49"/>
    </row>
    <row r="698">
      <c r="A698" s="47"/>
      <c r="B698" s="47"/>
      <c r="C698" s="47"/>
      <c r="D698" s="49"/>
      <c r="E698" s="49"/>
      <c r="F698" s="49"/>
      <c r="G698" s="49"/>
      <c r="H698" s="49"/>
      <c r="I698" s="49"/>
      <c r="J698" s="49"/>
    </row>
    <row r="699">
      <c r="A699" s="47"/>
      <c r="B699" s="47"/>
      <c r="C699" s="47"/>
      <c r="D699" s="49"/>
      <c r="E699" s="49"/>
      <c r="F699" s="49"/>
      <c r="G699" s="49"/>
      <c r="H699" s="49"/>
      <c r="I699" s="49"/>
      <c r="J699" s="49"/>
    </row>
    <row r="700">
      <c r="A700" s="47"/>
      <c r="B700" s="47"/>
      <c r="C700" s="47"/>
      <c r="D700" s="49"/>
      <c r="E700" s="49"/>
      <c r="F700" s="49"/>
      <c r="G700" s="49"/>
      <c r="H700" s="49"/>
      <c r="I700" s="49"/>
      <c r="J700" s="49"/>
    </row>
    <row r="701">
      <c r="A701" s="47"/>
      <c r="B701" s="47"/>
      <c r="C701" s="47"/>
      <c r="D701" s="49"/>
      <c r="E701" s="49"/>
      <c r="F701" s="49"/>
      <c r="G701" s="49"/>
      <c r="H701" s="49"/>
      <c r="I701" s="49"/>
      <c r="J701" s="49"/>
    </row>
    <row r="702">
      <c r="A702" s="47"/>
      <c r="B702" s="47"/>
      <c r="C702" s="47"/>
      <c r="D702" s="49"/>
      <c r="E702" s="49"/>
      <c r="F702" s="49"/>
      <c r="G702" s="49"/>
      <c r="H702" s="49"/>
      <c r="I702" s="49"/>
      <c r="J702" s="49"/>
    </row>
    <row r="703">
      <c r="A703" s="47"/>
      <c r="B703" s="47"/>
      <c r="C703" s="47"/>
      <c r="D703" s="49"/>
      <c r="E703" s="49"/>
      <c r="F703" s="49"/>
      <c r="G703" s="49"/>
      <c r="H703" s="49"/>
      <c r="I703" s="49"/>
      <c r="J703" s="49"/>
    </row>
    <row r="704">
      <c r="A704" s="47"/>
      <c r="B704" s="47"/>
      <c r="C704" s="47"/>
      <c r="D704" s="49"/>
      <c r="E704" s="49"/>
      <c r="F704" s="49"/>
      <c r="G704" s="49"/>
      <c r="H704" s="49"/>
      <c r="I704" s="49"/>
      <c r="J704" s="49"/>
    </row>
    <row r="705">
      <c r="A705" s="47"/>
      <c r="B705" s="47"/>
      <c r="C705" s="47"/>
      <c r="D705" s="49"/>
      <c r="E705" s="49"/>
      <c r="F705" s="49"/>
      <c r="G705" s="49"/>
      <c r="H705" s="49"/>
      <c r="I705" s="49"/>
      <c r="J705" s="49"/>
    </row>
    <row r="706">
      <c r="A706" s="47"/>
      <c r="B706" s="47"/>
      <c r="C706" s="47"/>
      <c r="D706" s="49"/>
      <c r="E706" s="49"/>
      <c r="F706" s="49"/>
      <c r="G706" s="49"/>
      <c r="H706" s="49"/>
      <c r="I706" s="49"/>
      <c r="J706" s="49"/>
    </row>
    <row r="707">
      <c r="A707" s="47"/>
      <c r="B707" s="47"/>
      <c r="C707" s="47"/>
      <c r="D707" s="49"/>
      <c r="E707" s="49"/>
      <c r="F707" s="49"/>
      <c r="G707" s="49"/>
      <c r="H707" s="49"/>
      <c r="I707" s="49"/>
      <c r="J707" s="49"/>
    </row>
    <row r="708">
      <c r="A708" s="47"/>
      <c r="B708" s="47"/>
      <c r="C708" s="47"/>
      <c r="D708" s="49"/>
      <c r="E708" s="49"/>
      <c r="F708" s="49"/>
      <c r="G708" s="49"/>
      <c r="H708" s="49"/>
      <c r="I708" s="49"/>
      <c r="J708" s="49"/>
    </row>
    <row r="709">
      <c r="A709" s="47"/>
      <c r="B709" s="47"/>
      <c r="C709" s="47"/>
      <c r="D709" s="49"/>
      <c r="E709" s="49"/>
      <c r="F709" s="49"/>
      <c r="G709" s="49"/>
      <c r="H709" s="49"/>
      <c r="I709" s="49"/>
      <c r="J709" s="49"/>
    </row>
    <row r="710">
      <c r="A710" s="47"/>
      <c r="B710" s="47"/>
      <c r="C710" s="47"/>
      <c r="D710" s="49"/>
      <c r="E710" s="49"/>
      <c r="F710" s="49"/>
      <c r="G710" s="49"/>
      <c r="H710" s="49"/>
      <c r="I710" s="49"/>
      <c r="J710" s="49"/>
    </row>
    <row r="711">
      <c r="A711" s="47"/>
      <c r="B711" s="47"/>
      <c r="C711" s="47"/>
      <c r="D711" s="49"/>
      <c r="E711" s="49"/>
      <c r="F711" s="49"/>
      <c r="G711" s="49"/>
      <c r="H711" s="49"/>
      <c r="I711" s="49"/>
      <c r="J711" s="49"/>
    </row>
    <row r="712">
      <c r="A712" s="47"/>
      <c r="B712" s="47"/>
      <c r="C712" s="47"/>
      <c r="D712" s="49"/>
      <c r="E712" s="49"/>
      <c r="F712" s="49"/>
      <c r="G712" s="49"/>
      <c r="H712" s="49"/>
      <c r="I712" s="49"/>
      <c r="J712" s="49"/>
    </row>
    <row r="713">
      <c r="A713" s="47"/>
      <c r="B713" s="47"/>
      <c r="C713" s="47"/>
      <c r="D713" s="49"/>
      <c r="E713" s="49"/>
      <c r="F713" s="49"/>
      <c r="G713" s="49"/>
      <c r="H713" s="49"/>
      <c r="I713" s="49"/>
      <c r="J713" s="49"/>
    </row>
    <row r="714">
      <c r="A714" s="47"/>
      <c r="B714" s="47"/>
      <c r="C714" s="47"/>
      <c r="D714" s="49"/>
      <c r="E714" s="49"/>
      <c r="F714" s="49"/>
      <c r="G714" s="49"/>
      <c r="H714" s="49"/>
      <c r="I714" s="49"/>
      <c r="J714" s="49"/>
    </row>
    <row r="715">
      <c r="A715" s="47"/>
      <c r="B715" s="47"/>
      <c r="C715" s="47"/>
      <c r="D715" s="49"/>
      <c r="E715" s="49"/>
      <c r="F715" s="49"/>
      <c r="G715" s="49"/>
      <c r="H715" s="49"/>
      <c r="I715" s="49"/>
      <c r="J715" s="49"/>
    </row>
    <row r="716">
      <c r="A716" s="47"/>
      <c r="B716" s="47"/>
      <c r="C716" s="47"/>
      <c r="D716" s="49"/>
      <c r="E716" s="49"/>
      <c r="F716" s="49"/>
      <c r="G716" s="49"/>
      <c r="H716" s="49"/>
      <c r="I716" s="49"/>
      <c r="J716" s="49"/>
    </row>
    <row r="717">
      <c r="A717" s="47"/>
      <c r="B717" s="47"/>
      <c r="C717" s="47"/>
      <c r="D717" s="49"/>
      <c r="E717" s="49"/>
      <c r="F717" s="49"/>
      <c r="G717" s="49"/>
      <c r="H717" s="49"/>
      <c r="I717" s="49"/>
      <c r="J717" s="49"/>
    </row>
    <row r="718">
      <c r="A718" s="47"/>
      <c r="B718" s="47"/>
      <c r="C718" s="47"/>
      <c r="D718" s="49"/>
      <c r="E718" s="49"/>
      <c r="F718" s="49"/>
      <c r="G718" s="49"/>
      <c r="H718" s="49"/>
      <c r="I718" s="49"/>
      <c r="J718" s="49"/>
    </row>
    <row r="719">
      <c r="A719" s="47"/>
      <c r="B719" s="47"/>
      <c r="C719" s="47"/>
      <c r="D719" s="49"/>
      <c r="E719" s="49"/>
      <c r="F719" s="49"/>
      <c r="G719" s="49"/>
      <c r="H719" s="49"/>
      <c r="I719" s="49"/>
      <c r="J719" s="49"/>
    </row>
    <row r="720">
      <c r="A720" s="47"/>
      <c r="B720" s="47"/>
      <c r="C720" s="47"/>
      <c r="D720" s="49"/>
      <c r="E720" s="49"/>
      <c r="F720" s="49"/>
      <c r="G720" s="49"/>
      <c r="H720" s="49"/>
      <c r="I720" s="49"/>
      <c r="J720" s="49"/>
    </row>
    <row r="721">
      <c r="A721" s="47"/>
      <c r="B721" s="47"/>
      <c r="C721" s="47"/>
      <c r="D721" s="49"/>
      <c r="E721" s="49"/>
      <c r="F721" s="49"/>
      <c r="G721" s="49"/>
      <c r="H721" s="49"/>
      <c r="I721" s="49"/>
      <c r="J721" s="49"/>
    </row>
    <row r="722">
      <c r="A722" s="47"/>
      <c r="B722" s="47"/>
      <c r="C722" s="47"/>
      <c r="D722" s="49"/>
      <c r="E722" s="49"/>
      <c r="F722" s="49"/>
      <c r="G722" s="49"/>
      <c r="H722" s="49"/>
      <c r="I722" s="49"/>
      <c r="J722" s="49"/>
    </row>
    <row r="723">
      <c r="A723" s="47"/>
      <c r="B723" s="47"/>
      <c r="C723" s="47"/>
      <c r="D723" s="49"/>
      <c r="E723" s="49"/>
      <c r="F723" s="49"/>
      <c r="G723" s="49"/>
      <c r="H723" s="49"/>
      <c r="I723" s="49"/>
      <c r="J723" s="49"/>
    </row>
    <row r="724">
      <c r="A724" s="47"/>
      <c r="B724" s="47"/>
      <c r="C724" s="47"/>
      <c r="D724" s="49"/>
      <c r="E724" s="49"/>
      <c r="F724" s="49"/>
      <c r="G724" s="49"/>
      <c r="H724" s="49"/>
      <c r="I724" s="49"/>
      <c r="J724" s="49"/>
    </row>
    <row r="725">
      <c r="A725" s="47"/>
      <c r="B725" s="47"/>
      <c r="C725" s="47"/>
      <c r="D725" s="49"/>
      <c r="E725" s="49"/>
      <c r="F725" s="49"/>
      <c r="G725" s="49"/>
      <c r="H725" s="49"/>
      <c r="I725" s="49"/>
      <c r="J725" s="49"/>
    </row>
    <row r="726">
      <c r="A726" s="47"/>
      <c r="B726" s="47"/>
      <c r="C726" s="47"/>
      <c r="D726" s="49"/>
      <c r="E726" s="49"/>
      <c r="F726" s="49"/>
      <c r="G726" s="49"/>
      <c r="H726" s="49"/>
      <c r="I726" s="49"/>
      <c r="J726" s="49"/>
    </row>
    <row r="727">
      <c r="A727" s="47"/>
      <c r="B727" s="47"/>
      <c r="C727" s="47"/>
      <c r="D727" s="49"/>
      <c r="E727" s="49"/>
      <c r="F727" s="49"/>
      <c r="G727" s="49"/>
      <c r="H727" s="49"/>
      <c r="I727" s="49"/>
      <c r="J727" s="49"/>
    </row>
    <row r="728">
      <c r="A728" s="47"/>
      <c r="B728" s="47"/>
      <c r="C728" s="47"/>
      <c r="D728" s="49"/>
      <c r="E728" s="49"/>
      <c r="F728" s="49"/>
      <c r="G728" s="49"/>
      <c r="H728" s="49"/>
      <c r="I728" s="49"/>
      <c r="J728" s="49"/>
    </row>
    <row r="729">
      <c r="A729" s="47"/>
      <c r="B729" s="47"/>
      <c r="C729" s="47"/>
      <c r="D729" s="49"/>
      <c r="E729" s="49"/>
      <c r="F729" s="49"/>
      <c r="G729" s="49"/>
      <c r="H729" s="49"/>
      <c r="I729" s="49"/>
      <c r="J729" s="49"/>
    </row>
    <row r="730">
      <c r="A730" s="47"/>
      <c r="B730" s="47"/>
      <c r="C730" s="47"/>
      <c r="D730" s="49"/>
      <c r="E730" s="49"/>
      <c r="F730" s="49"/>
      <c r="G730" s="49"/>
      <c r="H730" s="49"/>
      <c r="I730" s="49"/>
      <c r="J730" s="49"/>
    </row>
    <row r="731">
      <c r="A731" s="47"/>
      <c r="B731" s="47"/>
      <c r="C731" s="47"/>
      <c r="D731" s="49"/>
      <c r="E731" s="49"/>
      <c r="F731" s="49"/>
      <c r="G731" s="49"/>
      <c r="H731" s="49"/>
      <c r="I731" s="49"/>
      <c r="J731" s="49"/>
    </row>
    <row r="732">
      <c r="A732" s="47"/>
      <c r="B732" s="47"/>
      <c r="C732" s="47"/>
      <c r="D732" s="49"/>
      <c r="E732" s="49"/>
      <c r="F732" s="49"/>
      <c r="G732" s="49"/>
      <c r="H732" s="49"/>
      <c r="I732" s="49"/>
      <c r="J732" s="49"/>
    </row>
    <row r="733">
      <c r="A733" s="47"/>
      <c r="B733" s="47"/>
      <c r="C733" s="47"/>
      <c r="D733" s="49"/>
      <c r="E733" s="49"/>
      <c r="F733" s="49"/>
      <c r="G733" s="49"/>
      <c r="H733" s="49"/>
      <c r="I733" s="49"/>
      <c r="J733" s="49"/>
    </row>
    <row r="734">
      <c r="A734" s="47"/>
      <c r="B734" s="47"/>
      <c r="C734" s="47"/>
      <c r="D734" s="49"/>
      <c r="E734" s="49"/>
      <c r="F734" s="49"/>
      <c r="G734" s="49"/>
      <c r="H734" s="49"/>
      <c r="I734" s="49"/>
      <c r="J734" s="49"/>
    </row>
    <row r="735">
      <c r="A735" s="47"/>
      <c r="B735" s="47"/>
      <c r="C735" s="47"/>
      <c r="D735" s="49"/>
      <c r="E735" s="49"/>
      <c r="F735" s="49"/>
      <c r="G735" s="49"/>
      <c r="H735" s="49"/>
      <c r="I735" s="49"/>
      <c r="J735" s="49"/>
    </row>
    <row r="736">
      <c r="A736" s="47"/>
      <c r="B736" s="47"/>
      <c r="C736" s="47"/>
      <c r="D736" s="49"/>
      <c r="E736" s="49"/>
      <c r="F736" s="49"/>
      <c r="G736" s="49"/>
      <c r="H736" s="49"/>
      <c r="I736" s="49"/>
      <c r="J736" s="49"/>
    </row>
    <row r="737">
      <c r="A737" s="47"/>
      <c r="B737" s="47"/>
      <c r="C737" s="47"/>
      <c r="D737" s="49"/>
      <c r="E737" s="49"/>
      <c r="F737" s="49"/>
      <c r="G737" s="49"/>
      <c r="H737" s="49"/>
      <c r="I737" s="49"/>
      <c r="J737" s="49"/>
    </row>
    <row r="738">
      <c r="A738" s="47"/>
      <c r="B738" s="47"/>
      <c r="C738" s="47"/>
      <c r="D738" s="49"/>
      <c r="E738" s="49"/>
      <c r="F738" s="49"/>
      <c r="G738" s="49"/>
      <c r="H738" s="49"/>
      <c r="I738" s="49"/>
      <c r="J738" s="49"/>
    </row>
    <row r="739">
      <c r="A739" s="47"/>
      <c r="B739" s="47"/>
      <c r="C739" s="47"/>
      <c r="D739" s="49"/>
      <c r="E739" s="49"/>
      <c r="F739" s="49"/>
      <c r="G739" s="49"/>
      <c r="H739" s="49"/>
      <c r="I739" s="49"/>
      <c r="J739" s="49"/>
    </row>
    <row r="740">
      <c r="A740" s="47"/>
      <c r="B740" s="47"/>
      <c r="C740" s="47"/>
      <c r="D740" s="49"/>
      <c r="E740" s="49"/>
      <c r="F740" s="49"/>
      <c r="G740" s="49"/>
      <c r="H740" s="49"/>
      <c r="I740" s="49"/>
      <c r="J740" s="49"/>
    </row>
    <row r="741">
      <c r="A741" s="47"/>
      <c r="B741" s="47"/>
      <c r="C741" s="47"/>
      <c r="D741" s="49"/>
      <c r="E741" s="49"/>
      <c r="F741" s="49"/>
      <c r="G741" s="49"/>
      <c r="H741" s="49"/>
      <c r="I741" s="49"/>
      <c r="J741" s="49"/>
    </row>
    <row r="742">
      <c r="A742" s="47"/>
      <c r="B742" s="47"/>
      <c r="C742" s="47"/>
      <c r="D742" s="49"/>
      <c r="E742" s="49"/>
      <c r="F742" s="49"/>
      <c r="G742" s="49"/>
      <c r="H742" s="49"/>
      <c r="I742" s="49"/>
      <c r="J742" s="49"/>
    </row>
    <row r="743">
      <c r="A743" s="47"/>
      <c r="B743" s="47"/>
      <c r="C743" s="47"/>
      <c r="D743" s="49"/>
      <c r="E743" s="49"/>
      <c r="F743" s="49"/>
      <c r="G743" s="49"/>
      <c r="H743" s="49"/>
      <c r="I743" s="49"/>
      <c r="J743" s="49"/>
    </row>
    <row r="744">
      <c r="A744" s="47"/>
      <c r="B744" s="47"/>
      <c r="C744" s="47"/>
      <c r="D744" s="49"/>
      <c r="E744" s="49"/>
      <c r="F744" s="49"/>
      <c r="G744" s="49"/>
      <c r="H744" s="49"/>
      <c r="I744" s="49"/>
      <c r="J744" s="49"/>
    </row>
    <row r="745">
      <c r="A745" s="47"/>
      <c r="B745" s="47"/>
      <c r="C745" s="47"/>
      <c r="D745" s="49"/>
      <c r="E745" s="49"/>
      <c r="F745" s="49"/>
      <c r="G745" s="49"/>
      <c r="H745" s="49"/>
      <c r="I745" s="49"/>
      <c r="J745" s="49"/>
    </row>
    <row r="746">
      <c r="A746" s="47"/>
      <c r="B746" s="47"/>
      <c r="C746" s="47"/>
      <c r="D746" s="49"/>
      <c r="E746" s="49"/>
      <c r="F746" s="49"/>
      <c r="G746" s="49"/>
      <c r="H746" s="49"/>
      <c r="I746" s="49"/>
      <c r="J746" s="49"/>
    </row>
    <row r="747">
      <c r="A747" s="47"/>
      <c r="B747" s="47"/>
      <c r="C747" s="47"/>
      <c r="D747" s="49"/>
      <c r="E747" s="49"/>
      <c r="F747" s="49"/>
      <c r="G747" s="49"/>
      <c r="H747" s="49"/>
      <c r="I747" s="49"/>
      <c r="J747" s="49"/>
    </row>
    <row r="748">
      <c r="A748" s="47"/>
      <c r="B748" s="47"/>
      <c r="C748" s="47"/>
      <c r="D748" s="49"/>
      <c r="E748" s="49"/>
      <c r="F748" s="49"/>
      <c r="G748" s="49"/>
      <c r="H748" s="49"/>
      <c r="I748" s="49"/>
      <c r="J748" s="49"/>
    </row>
    <row r="749">
      <c r="A749" s="47"/>
      <c r="B749" s="47"/>
      <c r="C749" s="47"/>
      <c r="D749" s="49"/>
      <c r="E749" s="49"/>
      <c r="F749" s="49"/>
      <c r="G749" s="49"/>
      <c r="H749" s="49"/>
      <c r="I749" s="49"/>
      <c r="J749" s="49"/>
    </row>
    <row r="750">
      <c r="A750" s="47"/>
      <c r="B750" s="47"/>
      <c r="C750" s="47"/>
      <c r="D750" s="49"/>
      <c r="E750" s="49"/>
      <c r="F750" s="49"/>
      <c r="G750" s="49"/>
      <c r="H750" s="49"/>
      <c r="I750" s="49"/>
      <c r="J750" s="49"/>
    </row>
    <row r="751">
      <c r="A751" s="47"/>
      <c r="B751" s="47"/>
      <c r="C751" s="47"/>
      <c r="D751" s="49"/>
      <c r="E751" s="49"/>
      <c r="F751" s="49"/>
      <c r="G751" s="49"/>
      <c r="H751" s="49"/>
      <c r="I751" s="49"/>
      <c r="J751" s="49"/>
    </row>
    <row r="752">
      <c r="A752" s="47"/>
      <c r="B752" s="47"/>
      <c r="C752" s="47"/>
      <c r="D752" s="49"/>
      <c r="E752" s="49"/>
      <c r="F752" s="49"/>
      <c r="G752" s="49"/>
      <c r="H752" s="49"/>
      <c r="I752" s="49"/>
      <c r="J752" s="49"/>
    </row>
    <row r="753">
      <c r="A753" s="47"/>
      <c r="B753" s="47"/>
      <c r="C753" s="47"/>
      <c r="D753" s="49"/>
      <c r="E753" s="49"/>
      <c r="F753" s="49"/>
      <c r="G753" s="49"/>
      <c r="H753" s="49"/>
      <c r="I753" s="49"/>
      <c r="J753" s="49"/>
    </row>
    <row r="754">
      <c r="A754" s="47"/>
      <c r="B754" s="47"/>
      <c r="C754" s="47"/>
      <c r="D754" s="49"/>
      <c r="E754" s="49"/>
      <c r="F754" s="49"/>
      <c r="G754" s="49"/>
      <c r="H754" s="49"/>
      <c r="I754" s="49"/>
      <c r="J754" s="49"/>
    </row>
    <row r="755">
      <c r="A755" s="47"/>
      <c r="B755" s="47"/>
      <c r="C755" s="47"/>
      <c r="D755" s="49"/>
      <c r="E755" s="49"/>
      <c r="F755" s="49"/>
      <c r="G755" s="49"/>
      <c r="H755" s="49"/>
      <c r="I755" s="49"/>
      <c r="J755" s="49"/>
    </row>
    <row r="756">
      <c r="A756" s="47"/>
      <c r="B756" s="47"/>
      <c r="C756" s="47"/>
      <c r="D756" s="49"/>
      <c r="E756" s="49"/>
      <c r="F756" s="49"/>
      <c r="G756" s="49"/>
      <c r="H756" s="49"/>
      <c r="I756" s="49"/>
      <c r="J756" s="49"/>
    </row>
    <row r="757">
      <c r="A757" s="47"/>
      <c r="B757" s="47"/>
      <c r="C757" s="47"/>
      <c r="D757" s="49"/>
      <c r="E757" s="49"/>
      <c r="F757" s="49"/>
      <c r="G757" s="49"/>
      <c r="H757" s="49"/>
      <c r="I757" s="49"/>
      <c r="J757" s="49"/>
    </row>
    <row r="758">
      <c r="A758" s="47"/>
      <c r="B758" s="47"/>
      <c r="C758" s="47"/>
      <c r="D758" s="49"/>
      <c r="E758" s="49"/>
      <c r="F758" s="49"/>
      <c r="G758" s="49"/>
      <c r="H758" s="49"/>
      <c r="I758" s="49"/>
      <c r="J758" s="49"/>
    </row>
    <row r="759">
      <c r="A759" s="47"/>
      <c r="B759" s="47"/>
      <c r="C759" s="47"/>
      <c r="D759" s="49"/>
      <c r="E759" s="49"/>
      <c r="F759" s="49"/>
      <c r="G759" s="49"/>
      <c r="H759" s="49"/>
      <c r="I759" s="49"/>
      <c r="J759" s="49"/>
    </row>
    <row r="760">
      <c r="A760" s="47"/>
      <c r="B760" s="47"/>
      <c r="C760" s="47"/>
      <c r="D760" s="49"/>
      <c r="E760" s="49"/>
      <c r="F760" s="49"/>
      <c r="G760" s="49"/>
      <c r="H760" s="49"/>
      <c r="I760" s="49"/>
      <c r="J760" s="49"/>
    </row>
    <row r="761">
      <c r="A761" s="47"/>
      <c r="B761" s="47"/>
      <c r="C761" s="47"/>
      <c r="D761" s="49"/>
      <c r="E761" s="49"/>
      <c r="F761" s="49"/>
      <c r="G761" s="49"/>
      <c r="H761" s="49"/>
      <c r="I761" s="49"/>
      <c r="J761" s="49"/>
    </row>
    <row r="762">
      <c r="A762" s="47"/>
      <c r="B762" s="47"/>
      <c r="C762" s="47"/>
      <c r="D762" s="49"/>
      <c r="E762" s="49"/>
      <c r="F762" s="49"/>
      <c r="G762" s="49"/>
      <c r="H762" s="49"/>
      <c r="I762" s="49"/>
      <c r="J762" s="49"/>
    </row>
    <row r="763">
      <c r="A763" s="47"/>
      <c r="B763" s="47"/>
      <c r="C763" s="47"/>
      <c r="D763" s="49"/>
      <c r="E763" s="49"/>
      <c r="F763" s="49"/>
      <c r="G763" s="49"/>
      <c r="H763" s="49"/>
      <c r="I763" s="49"/>
      <c r="J763" s="49"/>
    </row>
    <row r="764">
      <c r="A764" s="47"/>
      <c r="B764" s="47"/>
      <c r="C764" s="47"/>
      <c r="D764" s="49"/>
      <c r="E764" s="49"/>
      <c r="F764" s="49"/>
      <c r="G764" s="49"/>
      <c r="H764" s="49"/>
      <c r="I764" s="49"/>
      <c r="J764" s="49"/>
    </row>
    <row r="765">
      <c r="A765" s="47"/>
      <c r="B765" s="47"/>
      <c r="C765" s="47"/>
      <c r="D765" s="49"/>
      <c r="E765" s="49"/>
      <c r="F765" s="49"/>
      <c r="G765" s="49"/>
      <c r="H765" s="49"/>
      <c r="I765" s="49"/>
      <c r="J765" s="49"/>
    </row>
    <row r="766">
      <c r="A766" s="47"/>
      <c r="B766" s="47"/>
      <c r="C766" s="47"/>
      <c r="D766" s="49"/>
      <c r="E766" s="49"/>
      <c r="F766" s="49"/>
      <c r="G766" s="49"/>
      <c r="H766" s="49"/>
      <c r="I766" s="49"/>
      <c r="J766" s="49"/>
    </row>
    <row r="767">
      <c r="A767" s="47"/>
      <c r="B767" s="47"/>
      <c r="C767" s="47"/>
      <c r="D767" s="49"/>
      <c r="E767" s="49"/>
      <c r="F767" s="49"/>
      <c r="G767" s="49"/>
      <c r="H767" s="49"/>
      <c r="I767" s="49"/>
      <c r="J767" s="49"/>
    </row>
    <row r="768">
      <c r="A768" s="47"/>
      <c r="B768" s="47"/>
      <c r="C768" s="47"/>
      <c r="D768" s="49"/>
      <c r="E768" s="49"/>
      <c r="F768" s="49"/>
      <c r="G768" s="49"/>
      <c r="H768" s="49"/>
      <c r="I768" s="49"/>
      <c r="J768" s="49"/>
    </row>
    <row r="769">
      <c r="A769" s="47"/>
      <c r="B769" s="47"/>
      <c r="C769" s="47"/>
      <c r="D769" s="49"/>
      <c r="E769" s="49"/>
      <c r="F769" s="49"/>
      <c r="G769" s="49"/>
      <c r="H769" s="49"/>
      <c r="I769" s="49"/>
      <c r="J769" s="49"/>
    </row>
    <row r="770">
      <c r="A770" s="47"/>
      <c r="B770" s="47"/>
      <c r="C770" s="47"/>
      <c r="D770" s="49"/>
      <c r="E770" s="49"/>
      <c r="F770" s="49"/>
      <c r="G770" s="49"/>
      <c r="H770" s="49"/>
      <c r="I770" s="49"/>
      <c r="J770" s="49"/>
    </row>
    <row r="771">
      <c r="A771" s="47"/>
      <c r="B771" s="47"/>
      <c r="C771" s="47"/>
      <c r="D771" s="49"/>
      <c r="E771" s="49"/>
      <c r="F771" s="49"/>
      <c r="G771" s="49"/>
      <c r="H771" s="49"/>
      <c r="I771" s="49"/>
      <c r="J771" s="49"/>
    </row>
    <row r="772">
      <c r="A772" s="47"/>
      <c r="B772" s="47"/>
      <c r="C772" s="47"/>
      <c r="D772" s="49"/>
      <c r="E772" s="49"/>
      <c r="F772" s="49"/>
      <c r="G772" s="49"/>
      <c r="H772" s="49"/>
      <c r="I772" s="49"/>
      <c r="J772" s="49"/>
    </row>
    <row r="773">
      <c r="A773" s="47"/>
      <c r="B773" s="47"/>
      <c r="C773" s="47"/>
      <c r="D773" s="49"/>
      <c r="E773" s="49"/>
      <c r="F773" s="49"/>
      <c r="G773" s="49"/>
      <c r="H773" s="49"/>
      <c r="I773" s="49"/>
      <c r="J773" s="49"/>
    </row>
    <row r="774">
      <c r="A774" s="47"/>
      <c r="B774" s="47"/>
      <c r="C774" s="47"/>
      <c r="D774" s="49"/>
      <c r="E774" s="49"/>
      <c r="F774" s="49"/>
      <c r="G774" s="49"/>
      <c r="H774" s="49"/>
      <c r="I774" s="49"/>
      <c r="J774" s="49"/>
    </row>
    <row r="775">
      <c r="A775" s="47"/>
      <c r="B775" s="47"/>
      <c r="C775" s="47"/>
      <c r="D775" s="49"/>
      <c r="E775" s="49"/>
      <c r="F775" s="49"/>
      <c r="G775" s="49"/>
      <c r="H775" s="49"/>
      <c r="I775" s="49"/>
      <c r="J775" s="49"/>
    </row>
    <row r="776">
      <c r="A776" s="47"/>
      <c r="B776" s="47"/>
      <c r="C776" s="47"/>
      <c r="D776" s="49"/>
      <c r="E776" s="49"/>
      <c r="F776" s="49"/>
      <c r="G776" s="49"/>
      <c r="H776" s="49"/>
      <c r="I776" s="49"/>
      <c r="J776" s="49"/>
    </row>
    <row r="777">
      <c r="A777" s="47"/>
      <c r="B777" s="47"/>
      <c r="C777" s="47"/>
      <c r="D777" s="49"/>
      <c r="E777" s="49"/>
      <c r="F777" s="49"/>
      <c r="G777" s="49"/>
      <c r="H777" s="49"/>
      <c r="I777" s="49"/>
      <c r="J777" s="49"/>
    </row>
    <row r="778">
      <c r="A778" s="47"/>
      <c r="B778" s="47"/>
      <c r="C778" s="47"/>
      <c r="D778" s="49"/>
      <c r="E778" s="49"/>
      <c r="F778" s="49"/>
      <c r="G778" s="49"/>
      <c r="H778" s="49"/>
      <c r="I778" s="49"/>
      <c r="J778" s="49"/>
    </row>
    <row r="779">
      <c r="A779" s="47"/>
      <c r="B779" s="47"/>
      <c r="C779" s="47"/>
      <c r="D779" s="49"/>
      <c r="E779" s="49"/>
      <c r="F779" s="49"/>
      <c r="G779" s="49"/>
      <c r="H779" s="49"/>
      <c r="I779" s="49"/>
      <c r="J779" s="49"/>
    </row>
    <row r="780">
      <c r="A780" s="47"/>
      <c r="B780" s="47"/>
      <c r="C780" s="47"/>
      <c r="D780" s="49"/>
      <c r="E780" s="49"/>
      <c r="F780" s="49"/>
      <c r="G780" s="49"/>
      <c r="H780" s="49"/>
      <c r="I780" s="49"/>
      <c r="J780" s="49"/>
    </row>
    <row r="781">
      <c r="A781" s="47"/>
      <c r="B781" s="47"/>
      <c r="C781" s="47"/>
      <c r="D781" s="49"/>
      <c r="E781" s="49"/>
      <c r="F781" s="49"/>
      <c r="G781" s="49"/>
      <c r="H781" s="49"/>
      <c r="I781" s="49"/>
      <c r="J781" s="49"/>
    </row>
    <row r="782">
      <c r="A782" s="47"/>
      <c r="B782" s="47"/>
      <c r="C782" s="47"/>
      <c r="D782" s="49"/>
      <c r="E782" s="49"/>
      <c r="F782" s="49"/>
      <c r="G782" s="49"/>
      <c r="H782" s="49"/>
      <c r="I782" s="49"/>
      <c r="J782" s="49"/>
    </row>
    <row r="783">
      <c r="A783" s="47"/>
      <c r="B783" s="47"/>
      <c r="C783" s="47"/>
      <c r="D783" s="49"/>
      <c r="E783" s="49"/>
      <c r="F783" s="49"/>
      <c r="G783" s="49"/>
      <c r="H783" s="49"/>
      <c r="I783" s="49"/>
      <c r="J783" s="49"/>
    </row>
    <row r="784">
      <c r="A784" s="47"/>
      <c r="B784" s="47"/>
      <c r="C784" s="47"/>
      <c r="D784" s="49"/>
      <c r="E784" s="49"/>
      <c r="F784" s="49"/>
      <c r="G784" s="49"/>
      <c r="H784" s="49"/>
      <c r="I784" s="49"/>
      <c r="J784" s="49"/>
    </row>
    <row r="785">
      <c r="A785" s="47"/>
      <c r="B785" s="47"/>
      <c r="C785" s="47"/>
      <c r="D785" s="49"/>
      <c r="E785" s="49"/>
      <c r="F785" s="49"/>
      <c r="G785" s="49"/>
      <c r="H785" s="49"/>
      <c r="I785" s="49"/>
      <c r="J785" s="49"/>
    </row>
    <row r="786">
      <c r="A786" s="47"/>
      <c r="B786" s="47"/>
      <c r="C786" s="47"/>
      <c r="D786" s="49"/>
      <c r="E786" s="49"/>
      <c r="F786" s="49"/>
      <c r="G786" s="49"/>
      <c r="H786" s="49"/>
      <c r="I786" s="49"/>
      <c r="J786" s="49"/>
    </row>
    <row r="787">
      <c r="A787" s="47"/>
      <c r="B787" s="47"/>
      <c r="C787" s="47"/>
      <c r="D787" s="49"/>
      <c r="E787" s="49"/>
      <c r="F787" s="49"/>
      <c r="G787" s="49"/>
      <c r="H787" s="49"/>
      <c r="I787" s="49"/>
      <c r="J787" s="49"/>
    </row>
    <row r="788">
      <c r="A788" s="47"/>
      <c r="B788" s="47"/>
      <c r="C788" s="47"/>
      <c r="D788" s="49"/>
      <c r="E788" s="49"/>
      <c r="F788" s="49"/>
      <c r="G788" s="49"/>
      <c r="H788" s="49"/>
      <c r="I788" s="49"/>
      <c r="J788" s="49"/>
    </row>
    <row r="789">
      <c r="A789" s="47"/>
      <c r="B789" s="47"/>
      <c r="C789" s="47"/>
      <c r="D789" s="49"/>
      <c r="E789" s="49"/>
      <c r="F789" s="49"/>
      <c r="G789" s="49"/>
      <c r="H789" s="49"/>
      <c r="I789" s="49"/>
      <c r="J789" s="49"/>
    </row>
    <row r="790">
      <c r="A790" s="47"/>
      <c r="B790" s="47"/>
      <c r="C790" s="47"/>
      <c r="D790" s="49"/>
      <c r="E790" s="49"/>
      <c r="F790" s="49"/>
      <c r="G790" s="49"/>
      <c r="H790" s="49"/>
      <c r="I790" s="49"/>
      <c r="J790" s="49"/>
    </row>
    <row r="791">
      <c r="A791" s="47"/>
      <c r="B791" s="47"/>
      <c r="C791" s="47"/>
      <c r="D791" s="49"/>
      <c r="E791" s="49"/>
      <c r="F791" s="49"/>
      <c r="G791" s="49"/>
      <c r="H791" s="49"/>
      <c r="I791" s="49"/>
      <c r="J791" s="49"/>
    </row>
    <row r="792">
      <c r="A792" s="47"/>
      <c r="B792" s="47"/>
      <c r="C792" s="47"/>
      <c r="D792" s="49"/>
      <c r="E792" s="49"/>
      <c r="F792" s="49"/>
      <c r="G792" s="49"/>
      <c r="H792" s="49"/>
      <c r="I792" s="49"/>
      <c r="J792" s="49"/>
    </row>
    <row r="793">
      <c r="A793" s="47"/>
      <c r="B793" s="47"/>
      <c r="C793" s="47"/>
      <c r="D793" s="49"/>
      <c r="E793" s="49"/>
      <c r="F793" s="49"/>
      <c r="G793" s="49"/>
      <c r="H793" s="49"/>
      <c r="I793" s="49"/>
      <c r="J793" s="49"/>
    </row>
    <row r="794">
      <c r="A794" s="47"/>
      <c r="B794" s="47"/>
      <c r="C794" s="47"/>
      <c r="D794" s="49"/>
      <c r="E794" s="49"/>
      <c r="F794" s="49"/>
      <c r="G794" s="49"/>
      <c r="H794" s="49"/>
      <c r="I794" s="49"/>
      <c r="J794" s="49"/>
    </row>
    <row r="795">
      <c r="A795" s="47"/>
      <c r="B795" s="47"/>
      <c r="C795" s="47"/>
      <c r="D795" s="49"/>
      <c r="E795" s="49"/>
      <c r="F795" s="49"/>
      <c r="G795" s="49"/>
      <c r="H795" s="49"/>
      <c r="I795" s="49"/>
      <c r="J795" s="49"/>
    </row>
    <row r="796">
      <c r="A796" s="47"/>
      <c r="B796" s="47"/>
      <c r="C796" s="47"/>
      <c r="D796" s="49"/>
      <c r="E796" s="49"/>
      <c r="F796" s="49"/>
      <c r="G796" s="49"/>
      <c r="H796" s="49"/>
      <c r="I796" s="49"/>
      <c r="J796" s="49"/>
    </row>
    <row r="797">
      <c r="A797" s="47"/>
      <c r="B797" s="47"/>
      <c r="C797" s="47"/>
      <c r="D797" s="49"/>
      <c r="E797" s="49"/>
      <c r="F797" s="49"/>
      <c r="G797" s="49"/>
      <c r="H797" s="49"/>
      <c r="I797" s="49"/>
      <c r="J797" s="49"/>
    </row>
    <row r="798">
      <c r="A798" s="47"/>
      <c r="B798" s="47"/>
      <c r="C798" s="47"/>
      <c r="D798" s="49"/>
      <c r="E798" s="49"/>
      <c r="F798" s="49"/>
      <c r="G798" s="49"/>
      <c r="H798" s="49"/>
      <c r="I798" s="49"/>
      <c r="J798" s="49"/>
    </row>
    <row r="799">
      <c r="A799" s="47"/>
      <c r="B799" s="47"/>
      <c r="C799" s="47"/>
      <c r="D799" s="49"/>
      <c r="E799" s="49"/>
      <c r="F799" s="49"/>
      <c r="G799" s="49"/>
      <c r="H799" s="49"/>
      <c r="I799" s="49"/>
      <c r="J799" s="49"/>
    </row>
    <row r="800">
      <c r="A800" s="47"/>
      <c r="B800" s="47"/>
      <c r="C800" s="47"/>
      <c r="D800" s="49"/>
      <c r="E800" s="49"/>
      <c r="F800" s="49"/>
      <c r="G800" s="49"/>
      <c r="H800" s="49"/>
      <c r="I800" s="49"/>
      <c r="J800" s="49"/>
    </row>
    <row r="801">
      <c r="A801" s="47"/>
      <c r="B801" s="47"/>
      <c r="C801" s="47"/>
      <c r="D801" s="49"/>
      <c r="E801" s="49"/>
      <c r="F801" s="49"/>
      <c r="G801" s="49"/>
      <c r="H801" s="49"/>
      <c r="I801" s="49"/>
      <c r="J801" s="49"/>
    </row>
    <row r="802">
      <c r="A802" s="47"/>
      <c r="B802" s="47"/>
      <c r="C802" s="47"/>
      <c r="D802" s="49"/>
      <c r="E802" s="49"/>
      <c r="F802" s="49"/>
      <c r="G802" s="49"/>
      <c r="H802" s="49"/>
      <c r="I802" s="49"/>
      <c r="J802" s="49"/>
    </row>
    <row r="803">
      <c r="A803" s="47"/>
      <c r="B803" s="47"/>
      <c r="C803" s="47"/>
      <c r="D803" s="49"/>
      <c r="E803" s="49"/>
      <c r="F803" s="49"/>
      <c r="G803" s="49"/>
      <c r="H803" s="49"/>
      <c r="I803" s="49"/>
      <c r="J803" s="49"/>
    </row>
    <row r="804">
      <c r="A804" s="47"/>
      <c r="B804" s="47"/>
      <c r="C804" s="47"/>
      <c r="D804" s="49"/>
      <c r="E804" s="49"/>
      <c r="F804" s="49"/>
      <c r="G804" s="49"/>
      <c r="H804" s="49"/>
      <c r="I804" s="49"/>
      <c r="J804" s="49"/>
    </row>
    <row r="805">
      <c r="A805" s="47"/>
      <c r="B805" s="47"/>
      <c r="C805" s="47"/>
      <c r="D805" s="49"/>
      <c r="E805" s="49"/>
      <c r="F805" s="49"/>
      <c r="G805" s="49"/>
      <c r="H805" s="49"/>
      <c r="I805" s="49"/>
      <c r="J805" s="49"/>
    </row>
    <row r="806">
      <c r="A806" s="47"/>
      <c r="B806" s="47"/>
      <c r="C806" s="47"/>
      <c r="D806" s="49"/>
      <c r="E806" s="49"/>
      <c r="F806" s="49"/>
      <c r="G806" s="49"/>
      <c r="H806" s="49"/>
      <c r="I806" s="49"/>
      <c r="J806" s="49"/>
    </row>
    <row r="807">
      <c r="A807" s="47"/>
      <c r="B807" s="47"/>
      <c r="C807" s="47"/>
      <c r="D807" s="49"/>
      <c r="E807" s="49"/>
      <c r="F807" s="49"/>
      <c r="G807" s="49"/>
      <c r="H807" s="49"/>
      <c r="I807" s="49"/>
      <c r="J807" s="49"/>
    </row>
    <row r="808">
      <c r="A808" s="47"/>
      <c r="B808" s="47"/>
      <c r="C808" s="47"/>
      <c r="D808" s="49"/>
      <c r="E808" s="49"/>
      <c r="F808" s="49"/>
      <c r="G808" s="49"/>
      <c r="H808" s="49"/>
      <c r="I808" s="49"/>
      <c r="J808" s="49"/>
    </row>
    <row r="809">
      <c r="A809" s="47"/>
      <c r="B809" s="47"/>
      <c r="C809" s="47"/>
      <c r="D809" s="49"/>
      <c r="E809" s="49"/>
      <c r="F809" s="49"/>
      <c r="G809" s="49"/>
      <c r="H809" s="49"/>
      <c r="I809" s="49"/>
      <c r="J809" s="49"/>
    </row>
    <row r="810">
      <c r="A810" s="47"/>
      <c r="B810" s="47"/>
      <c r="C810" s="47"/>
      <c r="D810" s="49"/>
      <c r="E810" s="49"/>
      <c r="F810" s="49"/>
      <c r="G810" s="49"/>
      <c r="H810" s="49"/>
      <c r="I810" s="49"/>
      <c r="J810" s="49"/>
    </row>
    <row r="811">
      <c r="A811" s="47"/>
      <c r="B811" s="47"/>
      <c r="C811" s="47"/>
      <c r="D811" s="49"/>
      <c r="E811" s="49"/>
      <c r="F811" s="49"/>
      <c r="G811" s="49"/>
      <c r="H811" s="49"/>
      <c r="I811" s="49"/>
      <c r="J811" s="49"/>
    </row>
    <row r="812">
      <c r="A812" s="47"/>
      <c r="B812" s="47"/>
      <c r="C812" s="47"/>
      <c r="D812" s="49"/>
      <c r="E812" s="49"/>
      <c r="F812" s="49"/>
      <c r="G812" s="49"/>
      <c r="H812" s="49"/>
      <c r="I812" s="49"/>
      <c r="J812" s="49"/>
    </row>
    <row r="813">
      <c r="A813" s="47"/>
      <c r="B813" s="47"/>
      <c r="C813" s="47"/>
      <c r="D813" s="49"/>
      <c r="E813" s="49"/>
      <c r="F813" s="49"/>
      <c r="G813" s="49"/>
      <c r="H813" s="49"/>
      <c r="I813" s="49"/>
      <c r="J813" s="49"/>
    </row>
    <row r="814">
      <c r="A814" s="47"/>
      <c r="B814" s="47"/>
      <c r="C814" s="47"/>
      <c r="D814" s="49"/>
      <c r="E814" s="49"/>
      <c r="F814" s="49"/>
      <c r="G814" s="49"/>
      <c r="H814" s="49"/>
      <c r="I814" s="49"/>
      <c r="J814" s="49"/>
    </row>
    <row r="815">
      <c r="A815" s="47"/>
      <c r="B815" s="47"/>
      <c r="C815" s="47"/>
      <c r="D815" s="49"/>
      <c r="E815" s="49"/>
      <c r="F815" s="49"/>
      <c r="G815" s="49"/>
      <c r="H815" s="49"/>
      <c r="I815" s="49"/>
      <c r="J815" s="49"/>
    </row>
    <row r="816">
      <c r="A816" s="47"/>
      <c r="B816" s="47"/>
      <c r="C816" s="47"/>
      <c r="D816" s="49"/>
      <c r="E816" s="49"/>
      <c r="F816" s="49"/>
      <c r="G816" s="49"/>
      <c r="H816" s="49"/>
      <c r="I816" s="49"/>
      <c r="J816" s="49"/>
    </row>
    <row r="817">
      <c r="A817" s="47"/>
      <c r="B817" s="47"/>
      <c r="C817" s="47"/>
      <c r="D817" s="49"/>
      <c r="E817" s="49"/>
      <c r="F817" s="49"/>
      <c r="G817" s="49"/>
      <c r="H817" s="49"/>
      <c r="I817" s="49"/>
      <c r="J817" s="49"/>
    </row>
    <row r="818">
      <c r="A818" s="47"/>
      <c r="B818" s="47"/>
      <c r="C818" s="47"/>
      <c r="D818" s="49"/>
      <c r="E818" s="49"/>
      <c r="F818" s="49"/>
      <c r="G818" s="49"/>
      <c r="H818" s="49"/>
      <c r="I818" s="49"/>
      <c r="J818" s="49"/>
    </row>
    <row r="819">
      <c r="A819" s="47"/>
      <c r="B819" s="47"/>
      <c r="C819" s="47"/>
      <c r="D819" s="49"/>
      <c r="E819" s="49"/>
      <c r="F819" s="49"/>
      <c r="G819" s="49"/>
      <c r="H819" s="49"/>
      <c r="I819" s="49"/>
      <c r="J819" s="49"/>
    </row>
    <row r="820">
      <c r="A820" s="47"/>
      <c r="B820" s="47"/>
      <c r="C820" s="47"/>
      <c r="D820" s="49"/>
      <c r="E820" s="49"/>
      <c r="F820" s="49"/>
      <c r="G820" s="49"/>
      <c r="H820" s="49"/>
      <c r="I820" s="49"/>
      <c r="J820" s="49"/>
    </row>
    <row r="821">
      <c r="A821" s="47"/>
      <c r="B821" s="47"/>
      <c r="C821" s="47"/>
      <c r="D821" s="49"/>
      <c r="E821" s="49"/>
      <c r="F821" s="49"/>
      <c r="G821" s="49"/>
      <c r="H821" s="49"/>
      <c r="I821" s="49"/>
      <c r="J821" s="49"/>
    </row>
    <row r="822">
      <c r="A822" s="47"/>
      <c r="B822" s="47"/>
      <c r="C822" s="47"/>
      <c r="D822" s="49"/>
      <c r="E822" s="49"/>
      <c r="F822" s="49"/>
      <c r="G822" s="49"/>
      <c r="H822" s="49"/>
      <c r="I822" s="49"/>
      <c r="J822" s="49"/>
    </row>
    <row r="823">
      <c r="A823" s="47"/>
      <c r="B823" s="47"/>
      <c r="C823" s="47"/>
      <c r="D823" s="49"/>
      <c r="E823" s="49"/>
      <c r="F823" s="49"/>
      <c r="G823" s="49"/>
      <c r="H823" s="49"/>
      <c r="I823" s="49"/>
      <c r="J823" s="49"/>
    </row>
    <row r="824">
      <c r="A824" s="47"/>
      <c r="B824" s="47"/>
      <c r="C824" s="47"/>
      <c r="D824" s="49"/>
      <c r="E824" s="49"/>
      <c r="F824" s="49"/>
      <c r="G824" s="49"/>
      <c r="H824" s="49"/>
      <c r="I824" s="49"/>
      <c r="J824" s="49"/>
    </row>
    <row r="825">
      <c r="A825" s="47"/>
      <c r="B825" s="47"/>
      <c r="C825" s="47"/>
      <c r="D825" s="49"/>
      <c r="E825" s="49"/>
      <c r="F825" s="49"/>
      <c r="G825" s="49"/>
      <c r="H825" s="49"/>
      <c r="I825" s="49"/>
      <c r="J825" s="49"/>
    </row>
    <row r="826">
      <c r="A826" s="47"/>
      <c r="B826" s="47"/>
      <c r="C826" s="47"/>
      <c r="D826" s="49"/>
      <c r="E826" s="49"/>
      <c r="F826" s="49"/>
      <c r="G826" s="49"/>
      <c r="H826" s="49"/>
      <c r="I826" s="49"/>
      <c r="J826" s="49"/>
    </row>
    <row r="827">
      <c r="A827" s="47"/>
      <c r="B827" s="47"/>
      <c r="C827" s="47"/>
      <c r="D827" s="49"/>
      <c r="E827" s="49"/>
      <c r="F827" s="49"/>
      <c r="G827" s="49"/>
      <c r="H827" s="49"/>
      <c r="I827" s="49"/>
      <c r="J827" s="49"/>
    </row>
    <row r="828">
      <c r="A828" s="47"/>
      <c r="B828" s="47"/>
      <c r="C828" s="47"/>
      <c r="D828" s="49"/>
      <c r="E828" s="49"/>
      <c r="F828" s="49"/>
      <c r="G828" s="49"/>
      <c r="H828" s="49"/>
      <c r="I828" s="49"/>
      <c r="J828" s="49"/>
    </row>
    <row r="829">
      <c r="A829" s="47"/>
      <c r="B829" s="47"/>
      <c r="C829" s="47"/>
      <c r="D829" s="49"/>
      <c r="E829" s="49"/>
      <c r="F829" s="49"/>
      <c r="G829" s="49"/>
      <c r="H829" s="49"/>
      <c r="I829" s="49"/>
      <c r="J829" s="49"/>
    </row>
    <row r="830">
      <c r="A830" s="47"/>
      <c r="B830" s="47"/>
      <c r="C830" s="47"/>
      <c r="D830" s="49"/>
      <c r="E830" s="49"/>
      <c r="F830" s="49"/>
      <c r="G830" s="49"/>
      <c r="H830" s="49"/>
      <c r="I830" s="49"/>
      <c r="J830" s="49"/>
    </row>
    <row r="831">
      <c r="A831" s="47"/>
      <c r="B831" s="47"/>
      <c r="C831" s="47"/>
      <c r="D831" s="49"/>
      <c r="E831" s="49"/>
      <c r="F831" s="49"/>
      <c r="G831" s="49"/>
      <c r="H831" s="49"/>
      <c r="I831" s="49"/>
      <c r="J831" s="49"/>
    </row>
    <row r="832">
      <c r="A832" s="47"/>
      <c r="B832" s="47"/>
      <c r="C832" s="47"/>
      <c r="D832" s="49"/>
      <c r="E832" s="49"/>
      <c r="F832" s="49"/>
      <c r="G832" s="49"/>
      <c r="H832" s="49"/>
      <c r="I832" s="49"/>
      <c r="J832" s="49"/>
    </row>
    <row r="833">
      <c r="A833" s="47"/>
      <c r="B833" s="47"/>
      <c r="C833" s="47"/>
      <c r="D833" s="49"/>
      <c r="E833" s="49"/>
      <c r="F833" s="49"/>
      <c r="G833" s="49"/>
      <c r="H833" s="49"/>
      <c r="I833" s="49"/>
      <c r="J833" s="49"/>
    </row>
    <row r="834">
      <c r="A834" s="47"/>
      <c r="B834" s="47"/>
      <c r="C834" s="47"/>
      <c r="D834" s="49"/>
      <c r="E834" s="49"/>
      <c r="F834" s="49"/>
      <c r="G834" s="49"/>
      <c r="H834" s="49"/>
      <c r="I834" s="49"/>
      <c r="J834" s="49"/>
    </row>
    <row r="835">
      <c r="A835" s="47"/>
      <c r="B835" s="47"/>
      <c r="C835" s="47"/>
      <c r="D835" s="49"/>
      <c r="E835" s="49"/>
      <c r="F835" s="49"/>
      <c r="G835" s="49"/>
      <c r="H835" s="49"/>
      <c r="I835" s="49"/>
      <c r="J835" s="49"/>
    </row>
    <row r="836">
      <c r="A836" s="47"/>
      <c r="B836" s="47"/>
      <c r="C836" s="47"/>
      <c r="D836" s="49"/>
      <c r="E836" s="49"/>
      <c r="F836" s="49"/>
      <c r="G836" s="49"/>
      <c r="H836" s="49"/>
      <c r="I836" s="49"/>
      <c r="J836" s="49"/>
    </row>
    <row r="837">
      <c r="A837" s="47"/>
      <c r="B837" s="47"/>
      <c r="C837" s="47"/>
      <c r="D837" s="49"/>
      <c r="E837" s="49"/>
      <c r="F837" s="49"/>
      <c r="G837" s="49"/>
      <c r="H837" s="49"/>
      <c r="I837" s="49"/>
      <c r="J837" s="49"/>
    </row>
    <row r="838">
      <c r="A838" s="47"/>
      <c r="B838" s="47"/>
      <c r="C838" s="47"/>
      <c r="D838" s="49"/>
      <c r="E838" s="49"/>
      <c r="F838" s="49"/>
      <c r="G838" s="49"/>
      <c r="H838" s="49"/>
      <c r="I838" s="49"/>
      <c r="J838" s="49"/>
    </row>
    <row r="839">
      <c r="A839" s="47"/>
      <c r="B839" s="47"/>
      <c r="C839" s="47"/>
      <c r="D839" s="49"/>
      <c r="E839" s="49"/>
      <c r="F839" s="49"/>
      <c r="G839" s="49"/>
      <c r="H839" s="49"/>
      <c r="I839" s="49"/>
      <c r="J839" s="49"/>
    </row>
    <row r="840">
      <c r="A840" s="47"/>
      <c r="B840" s="47"/>
      <c r="C840" s="47"/>
      <c r="D840" s="49"/>
      <c r="E840" s="49"/>
      <c r="F840" s="49"/>
      <c r="G840" s="49"/>
      <c r="H840" s="49"/>
      <c r="I840" s="49"/>
      <c r="J840" s="49"/>
    </row>
    <row r="841">
      <c r="A841" s="47"/>
      <c r="B841" s="47"/>
      <c r="C841" s="47"/>
      <c r="D841" s="49"/>
      <c r="E841" s="49"/>
      <c r="F841" s="49"/>
      <c r="G841" s="49"/>
      <c r="H841" s="49"/>
      <c r="I841" s="49"/>
      <c r="J841" s="49"/>
    </row>
    <row r="842">
      <c r="A842" s="47"/>
      <c r="B842" s="47"/>
      <c r="C842" s="47"/>
      <c r="D842" s="49"/>
      <c r="E842" s="49"/>
      <c r="F842" s="49"/>
      <c r="G842" s="49"/>
      <c r="H842" s="49"/>
      <c r="I842" s="49"/>
      <c r="J842" s="49"/>
    </row>
    <row r="843">
      <c r="A843" s="47"/>
      <c r="B843" s="47"/>
      <c r="C843" s="47"/>
      <c r="D843" s="49"/>
      <c r="E843" s="49"/>
      <c r="F843" s="49"/>
      <c r="G843" s="49"/>
      <c r="H843" s="49"/>
      <c r="I843" s="49"/>
      <c r="J843" s="49"/>
    </row>
    <row r="844">
      <c r="A844" s="47"/>
      <c r="B844" s="47"/>
      <c r="C844" s="47"/>
      <c r="D844" s="49"/>
      <c r="E844" s="49"/>
      <c r="F844" s="49"/>
      <c r="G844" s="49"/>
      <c r="H844" s="49"/>
      <c r="I844" s="49"/>
      <c r="J844" s="49"/>
    </row>
    <row r="845">
      <c r="A845" s="47"/>
      <c r="B845" s="47"/>
      <c r="C845" s="47"/>
      <c r="D845" s="49"/>
      <c r="E845" s="49"/>
      <c r="F845" s="49"/>
      <c r="G845" s="49"/>
      <c r="H845" s="49"/>
      <c r="I845" s="49"/>
      <c r="J845" s="49"/>
    </row>
    <row r="846">
      <c r="A846" s="47"/>
      <c r="B846" s="47"/>
      <c r="C846" s="47"/>
      <c r="D846" s="49"/>
      <c r="E846" s="49"/>
      <c r="F846" s="49"/>
      <c r="G846" s="49"/>
      <c r="H846" s="49"/>
      <c r="I846" s="49"/>
      <c r="J846" s="49"/>
    </row>
    <row r="847">
      <c r="A847" s="47"/>
      <c r="B847" s="47"/>
      <c r="C847" s="47"/>
      <c r="D847" s="49"/>
      <c r="E847" s="49"/>
      <c r="F847" s="49"/>
      <c r="G847" s="49"/>
      <c r="H847" s="49"/>
      <c r="I847" s="49"/>
      <c r="J847" s="49"/>
    </row>
    <row r="848">
      <c r="A848" s="47"/>
      <c r="B848" s="47"/>
      <c r="C848" s="47"/>
      <c r="D848" s="49"/>
      <c r="E848" s="49"/>
      <c r="F848" s="49"/>
      <c r="G848" s="49"/>
      <c r="H848" s="49"/>
      <c r="I848" s="49"/>
      <c r="J848" s="49"/>
    </row>
    <row r="849">
      <c r="A849" s="47"/>
      <c r="B849" s="47"/>
      <c r="C849" s="47"/>
      <c r="D849" s="49"/>
      <c r="E849" s="49"/>
      <c r="F849" s="49"/>
      <c r="G849" s="49"/>
      <c r="H849" s="49"/>
      <c r="I849" s="49"/>
      <c r="J849" s="49"/>
    </row>
    <row r="850">
      <c r="A850" s="47"/>
      <c r="B850" s="47"/>
      <c r="C850" s="47"/>
      <c r="D850" s="49"/>
      <c r="E850" s="49"/>
      <c r="F850" s="49"/>
      <c r="G850" s="49"/>
      <c r="H850" s="49"/>
      <c r="I850" s="49"/>
      <c r="J850" s="49"/>
    </row>
    <row r="851">
      <c r="A851" s="47"/>
      <c r="B851" s="47"/>
      <c r="C851" s="47"/>
      <c r="D851" s="49"/>
      <c r="E851" s="49"/>
      <c r="F851" s="49"/>
      <c r="G851" s="49"/>
      <c r="H851" s="49"/>
      <c r="I851" s="49"/>
      <c r="J851" s="49"/>
    </row>
    <row r="852">
      <c r="A852" s="47"/>
      <c r="B852" s="47"/>
      <c r="C852" s="47"/>
      <c r="D852" s="49"/>
      <c r="E852" s="49"/>
      <c r="F852" s="49"/>
      <c r="G852" s="49"/>
      <c r="H852" s="49"/>
      <c r="I852" s="49"/>
      <c r="J852" s="49"/>
    </row>
    <row r="853">
      <c r="A853" s="47"/>
      <c r="B853" s="47"/>
      <c r="C853" s="47"/>
      <c r="D853" s="49"/>
      <c r="E853" s="49"/>
      <c r="F853" s="49"/>
      <c r="G853" s="49"/>
      <c r="H853" s="49"/>
      <c r="I853" s="49"/>
      <c r="J853" s="49"/>
    </row>
    <row r="854">
      <c r="A854" s="47"/>
      <c r="B854" s="47"/>
      <c r="C854" s="47"/>
      <c r="D854" s="49"/>
      <c r="E854" s="49"/>
      <c r="F854" s="49"/>
      <c r="G854" s="49"/>
      <c r="H854" s="49"/>
      <c r="I854" s="49"/>
      <c r="J854" s="49"/>
    </row>
    <row r="855">
      <c r="A855" s="47"/>
      <c r="B855" s="47"/>
      <c r="C855" s="47"/>
      <c r="D855" s="49"/>
      <c r="E855" s="49"/>
      <c r="F855" s="49"/>
      <c r="G855" s="49"/>
      <c r="H855" s="49"/>
      <c r="I855" s="49"/>
      <c r="J855" s="49"/>
    </row>
    <row r="856">
      <c r="A856" s="47"/>
      <c r="B856" s="47"/>
      <c r="C856" s="47"/>
      <c r="D856" s="49"/>
      <c r="E856" s="49"/>
      <c r="F856" s="49"/>
      <c r="G856" s="49"/>
      <c r="H856" s="49"/>
      <c r="I856" s="49"/>
      <c r="J856" s="49"/>
    </row>
    <row r="857">
      <c r="A857" s="47"/>
      <c r="B857" s="47"/>
      <c r="C857" s="47"/>
      <c r="D857" s="49"/>
      <c r="E857" s="49"/>
      <c r="F857" s="49"/>
      <c r="G857" s="49"/>
      <c r="H857" s="49"/>
      <c r="I857" s="49"/>
      <c r="J857" s="49"/>
    </row>
    <row r="858">
      <c r="A858" s="47"/>
      <c r="B858" s="47"/>
      <c r="C858" s="47"/>
      <c r="D858" s="49"/>
      <c r="E858" s="49"/>
      <c r="F858" s="49"/>
      <c r="G858" s="49"/>
      <c r="H858" s="49"/>
      <c r="I858" s="49"/>
      <c r="J858" s="49"/>
    </row>
    <row r="859">
      <c r="A859" s="47"/>
      <c r="B859" s="47"/>
      <c r="C859" s="47"/>
      <c r="D859" s="49"/>
      <c r="E859" s="49"/>
      <c r="F859" s="49"/>
      <c r="G859" s="49"/>
      <c r="H859" s="49"/>
      <c r="I859" s="49"/>
      <c r="J859" s="49"/>
    </row>
    <row r="860">
      <c r="A860" s="47"/>
      <c r="B860" s="47"/>
      <c r="C860" s="47"/>
      <c r="D860" s="49"/>
      <c r="E860" s="49"/>
      <c r="F860" s="49"/>
      <c r="G860" s="49"/>
      <c r="H860" s="49"/>
      <c r="I860" s="49"/>
      <c r="J860" s="49"/>
    </row>
    <row r="861">
      <c r="A861" s="47"/>
      <c r="B861" s="47"/>
      <c r="C861" s="47"/>
      <c r="D861" s="49"/>
      <c r="E861" s="49"/>
      <c r="F861" s="49"/>
      <c r="G861" s="49"/>
      <c r="H861" s="49"/>
      <c r="I861" s="49"/>
      <c r="J861" s="49"/>
    </row>
    <row r="862">
      <c r="A862" s="47"/>
      <c r="B862" s="47"/>
      <c r="C862" s="47"/>
      <c r="D862" s="49"/>
      <c r="E862" s="49"/>
      <c r="F862" s="49"/>
      <c r="G862" s="49"/>
      <c r="H862" s="49"/>
      <c r="I862" s="49"/>
      <c r="J862" s="49"/>
    </row>
    <row r="863">
      <c r="A863" s="47"/>
      <c r="B863" s="47"/>
      <c r="C863" s="47"/>
      <c r="D863" s="49"/>
      <c r="E863" s="49"/>
      <c r="F863" s="49"/>
      <c r="G863" s="49"/>
      <c r="H863" s="49"/>
      <c r="I863" s="49"/>
      <c r="J863" s="49"/>
    </row>
    <row r="864">
      <c r="A864" s="47"/>
      <c r="B864" s="47"/>
      <c r="C864" s="47"/>
      <c r="D864" s="49"/>
      <c r="E864" s="49"/>
      <c r="F864" s="49"/>
      <c r="G864" s="49"/>
      <c r="H864" s="49"/>
      <c r="I864" s="49"/>
      <c r="J864" s="49"/>
    </row>
    <row r="865">
      <c r="A865" s="47"/>
      <c r="B865" s="47"/>
      <c r="C865" s="47"/>
      <c r="D865" s="49"/>
      <c r="E865" s="49"/>
      <c r="F865" s="49"/>
      <c r="G865" s="49"/>
      <c r="H865" s="49"/>
      <c r="I865" s="49"/>
      <c r="J865" s="49"/>
    </row>
    <row r="866">
      <c r="A866" s="47"/>
      <c r="B866" s="47"/>
      <c r="C866" s="47"/>
      <c r="D866" s="49"/>
      <c r="E866" s="49"/>
      <c r="F866" s="49"/>
      <c r="G866" s="49"/>
      <c r="H866" s="49"/>
      <c r="I866" s="49"/>
      <c r="J866" s="49"/>
    </row>
    <row r="867">
      <c r="A867" s="47"/>
      <c r="B867" s="47"/>
      <c r="C867" s="47"/>
      <c r="D867" s="49"/>
      <c r="E867" s="49"/>
      <c r="F867" s="49"/>
      <c r="G867" s="49"/>
      <c r="H867" s="49"/>
      <c r="I867" s="49"/>
      <c r="J867" s="49"/>
    </row>
    <row r="868">
      <c r="A868" s="47"/>
      <c r="B868" s="47"/>
      <c r="C868" s="47"/>
      <c r="D868" s="49"/>
      <c r="E868" s="49"/>
      <c r="F868" s="49"/>
      <c r="G868" s="49"/>
      <c r="H868" s="49"/>
      <c r="I868" s="49"/>
      <c r="J868" s="49"/>
    </row>
    <row r="869">
      <c r="A869" s="47"/>
      <c r="B869" s="47"/>
      <c r="C869" s="47"/>
      <c r="D869" s="49"/>
      <c r="E869" s="49"/>
      <c r="F869" s="49"/>
      <c r="G869" s="49"/>
      <c r="H869" s="49"/>
      <c r="I869" s="49"/>
      <c r="J869" s="49"/>
    </row>
    <row r="870">
      <c r="A870" s="47"/>
      <c r="B870" s="47"/>
      <c r="C870" s="47"/>
      <c r="D870" s="49"/>
      <c r="E870" s="49"/>
      <c r="F870" s="49"/>
      <c r="G870" s="49"/>
      <c r="H870" s="49"/>
      <c r="I870" s="49"/>
      <c r="J870" s="49"/>
    </row>
    <row r="871">
      <c r="A871" s="47"/>
      <c r="B871" s="47"/>
      <c r="C871" s="47"/>
      <c r="D871" s="49"/>
      <c r="E871" s="49"/>
      <c r="F871" s="49"/>
      <c r="G871" s="49"/>
      <c r="H871" s="49"/>
      <c r="I871" s="49"/>
      <c r="J871" s="49"/>
    </row>
    <row r="872">
      <c r="A872" s="47"/>
      <c r="B872" s="47"/>
      <c r="C872" s="47"/>
      <c r="D872" s="49"/>
      <c r="E872" s="49"/>
      <c r="F872" s="49"/>
      <c r="G872" s="49"/>
      <c r="H872" s="49"/>
      <c r="I872" s="49"/>
      <c r="J872" s="49"/>
    </row>
    <row r="873">
      <c r="A873" s="47"/>
      <c r="B873" s="47"/>
      <c r="C873" s="47"/>
      <c r="D873" s="49"/>
      <c r="E873" s="49"/>
      <c r="F873" s="49"/>
      <c r="G873" s="49"/>
      <c r="H873" s="49"/>
      <c r="I873" s="49"/>
      <c r="J873" s="49"/>
    </row>
    <row r="874">
      <c r="A874" s="47"/>
      <c r="B874" s="47"/>
      <c r="C874" s="47"/>
      <c r="D874" s="49"/>
      <c r="E874" s="49"/>
      <c r="F874" s="49"/>
      <c r="G874" s="49"/>
      <c r="H874" s="49"/>
      <c r="I874" s="49"/>
      <c r="J874" s="49"/>
    </row>
    <row r="875">
      <c r="A875" s="47"/>
      <c r="B875" s="47"/>
      <c r="C875" s="47"/>
      <c r="D875" s="49"/>
      <c r="E875" s="49"/>
      <c r="F875" s="49"/>
      <c r="G875" s="49"/>
      <c r="H875" s="49"/>
      <c r="I875" s="49"/>
      <c r="J875" s="49"/>
    </row>
    <row r="876">
      <c r="A876" s="47"/>
      <c r="B876" s="47"/>
      <c r="C876" s="47"/>
      <c r="D876" s="49"/>
      <c r="E876" s="49"/>
      <c r="F876" s="49"/>
      <c r="G876" s="49"/>
      <c r="H876" s="49"/>
      <c r="I876" s="49"/>
      <c r="J876" s="49"/>
    </row>
    <row r="877">
      <c r="A877" s="47"/>
      <c r="B877" s="47"/>
      <c r="C877" s="47"/>
      <c r="D877" s="49"/>
      <c r="E877" s="49"/>
      <c r="F877" s="49"/>
      <c r="G877" s="49"/>
      <c r="H877" s="49"/>
      <c r="I877" s="49"/>
      <c r="J877" s="49"/>
    </row>
    <row r="878">
      <c r="A878" s="47"/>
      <c r="B878" s="47"/>
      <c r="C878" s="47"/>
      <c r="D878" s="49"/>
      <c r="E878" s="49"/>
      <c r="F878" s="49"/>
      <c r="G878" s="49"/>
      <c r="H878" s="49"/>
      <c r="I878" s="49"/>
      <c r="J878" s="49"/>
    </row>
    <row r="879">
      <c r="A879" s="47"/>
      <c r="B879" s="47"/>
      <c r="C879" s="47"/>
      <c r="D879" s="49"/>
      <c r="E879" s="49"/>
      <c r="F879" s="49"/>
      <c r="G879" s="49"/>
      <c r="H879" s="49"/>
      <c r="I879" s="49"/>
      <c r="J879" s="49"/>
    </row>
    <row r="880">
      <c r="A880" s="47"/>
      <c r="B880" s="47"/>
      <c r="C880" s="47"/>
      <c r="D880" s="49"/>
      <c r="E880" s="49"/>
      <c r="F880" s="49"/>
      <c r="G880" s="49"/>
      <c r="H880" s="49"/>
      <c r="I880" s="49"/>
      <c r="J880" s="49"/>
    </row>
    <row r="881">
      <c r="A881" s="47"/>
      <c r="B881" s="47"/>
      <c r="C881" s="47"/>
      <c r="D881" s="49"/>
      <c r="E881" s="49"/>
      <c r="F881" s="49"/>
      <c r="G881" s="49"/>
      <c r="H881" s="49"/>
      <c r="I881" s="49"/>
      <c r="J881" s="49"/>
    </row>
    <row r="882">
      <c r="A882" s="47"/>
      <c r="B882" s="47"/>
      <c r="C882" s="47"/>
      <c r="D882" s="49"/>
      <c r="E882" s="49"/>
      <c r="F882" s="49"/>
      <c r="G882" s="49"/>
      <c r="H882" s="49"/>
      <c r="I882" s="49"/>
      <c r="J882" s="49"/>
    </row>
    <row r="883">
      <c r="A883" s="47"/>
      <c r="B883" s="47"/>
      <c r="C883" s="47"/>
      <c r="D883" s="49"/>
      <c r="E883" s="49"/>
      <c r="F883" s="49"/>
      <c r="G883" s="49"/>
      <c r="H883" s="49"/>
      <c r="I883" s="49"/>
      <c r="J883" s="49"/>
    </row>
    <row r="884">
      <c r="A884" s="47"/>
      <c r="B884" s="47"/>
      <c r="C884" s="47"/>
      <c r="D884" s="49"/>
      <c r="E884" s="49"/>
      <c r="F884" s="49"/>
      <c r="G884" s="49"/>
      <c r="H884" s="49"/>
      <c r="I884" s="49"/>
      <c r="J884" s="49"/>
    </row>
    <row r="885">
      <c r="A885" s="47"/>
      <c r="B885" s="47"/>
      <c r="C885" s="47"/>
      <c r="D885" s="49"/>
      <c r="E885" s="49"/>
      <c r="F885" s="49"/>
      <c r="G885" s="49"/>
      <c r="H885" s="49"/>
      <c r="I885" s="49"/>
      <c r="J885" s="49"/>
    </row>
    <row r="886">
      <c r="A886" s="47"/>
      <c r="B886" s="47"/>
      <c r="C886" s="47"/>
      <c r="D886" s="49"/>
      <c r="E886" s="49"/>
      <c r="F886" s="49"/>
      <c r="G886" s="49"/>
      <c r="H886" s="49"/>
      <c r="I886" s="49"/>
      <c r="J886" s="49"/>
    </row>
    <row r="887">
      <c r="A887" s="47"/>
      <c r="B887" s="47"/>
      <c r="C887" s="47"/>
      <c r="D887" s="49"/>
      <c r="E887" s="49"/>
      <c r="F887" s="49"/>
      <c r="G887" s="49"/>
      <c r="H887" s="49"/>
      <c r="I887" s="49"/>
      <c r="J887" s="49"/>
    </row>
    <row r="888">
      <c r="A888" s="47"/>
      <c r="B888" s="47"/>
      <c r="C888" s="47"/>
      <c r="D888" s="49"/>
      <c r="E888" s="49"/>
      <c r="F888" s="49"/>
      <c r="G888" s="49"/>
      <c r="H888" s="49"/>
      <c r="I888" s="49"/>
      <c r="J888" s="49"/>
    </row>
    <row r="889">
      <c r="A889" s="47"/>
      <c r="B889" s="47"/>
      <c r="C889" s="47"/>
      <c r="D889" s="49"/>
      <c r="E889" s="49"/>
      <c r="F889" s="49"/>
      <c r="G889" s="49"/>
      <c r="H889" s="49"/>
      <c r="I889" s="49"/>
      <c r="J889" s="49"/>
    </row>
    <row r="890">
      <c r="A890" s="47"/>
      <c r="B890" s="47"/>
      <c r="C890" s="47"/>
      <c r="D890" s="49"/>
      <c r="E890" s="49"/>
      <c r="F890" s="49"/>
      <c r="G890" s="49"/>
      <c r="H890" s="49"/>
      <c r="I890" s="49"/>
      <c r="J890" s="49"/>
    </row>
    <row r="891">
      <c r="A891" s="47"/>
      <c r="B891" s="47"/>
      <c r="C891" s="47"/>
      <c r="D891" s="49"/>
      <c r="E891" s="49"/>
      <c r="F891" s="49"/>
      <c r="G891" s="49"/>
      <c r="H891" s="49"/>
      <c r="I891" s="49"/>
      <c r="J891" s="49"/>
    </row>
    <row r="892">
      <c r="A892" s="47"/>
      <c r="B892" s="47"/>
      <c r="C892" s="47"/>
      <c r="D892" s="49"/>
      <c r="E892" s="49"/>
      <c r="F892" s="49"/>
      <c r="G892" s="49"/>
      <c r="H892" s="49"/>
      <c r="I892" s="49"/>
      <c r="J892" s="49"/>
    </row>
    <row r="893">
      <c r="A893" s="47"/>
      <c r="B893" s="47"/>
      <c r="C893" s="47"/>
      <c r="D893" s="49"/>
      <c r="E893" s="49"/>
      <c r="F893" s="49"/>
      <c r="G893" s="49"/>
      <c r="H893" s="49"/>
      <c r="I893" s="49"/>
      <c r="J893" s="49"/>
    </row>
    <row r="894">
      <c r="A894" s="47"/>
      <c r="B894" s="47"/>
      <c r="C894" s="47"/>
      <c r="D894" s="49"/>
      <c r="E894" s="49"/>
      <c r="F894" s="49"/>
      <c r="G894" s="49"/>
      <c r="H894" s="49"/>
      <c r="I894" s="49"/>
      <c r="J894" s="49"/>
    </row>
    <row r="895">
      <c r="A895" s="47"/>
      <c r="B895" s="47"/>
      <c r="C895" s="47"/>
      <c r="D895" s="49"/>
      <c r="E895" s="49"/>
      <c r="F895" s="49"/>
      <c r="G895" s="49"/>
      <c r="H895" s="49"/>
      <c r="I895" s="49"/>
      <c r="J895" s="49"/>
    </row>
    <row r="896">
      <c r="A896" s="47"/>
      <c r="B896" s="47"/>
      <c r="C896" s="47"/>
      <c r="D896" s="49"/>
      <c r="E896" s="49"/>
      <c r="F896" s="49"/>
      <c r="G896" s="49"/>
      <c r="H896" s="49"/>
      <c r="I896" s="49"/>
      <c r="J896" s="49"/>
    </row>
    <row r="897">
      <c r="A897" s="47"/>
      <c r="B897" s="47"/>
      <c r="C897" s="47"/>
      <c r="D897" s="49"/>
      <c r="E897" s="49"/>
      <c r="F897" s="49"/>
      <c r="G897" s="49"/>
      <c r="H897" s="49"/>
      <c r="I897" s="49"/>
      <c r="J897" s="49"/>
    </row>
    <row r="898">
      <c r="A898" s="47"/>
      <c r="B898" s="47"/>
      <c r="C898" s="47"/>
      <c r="D898" s="49"/>
      <c r="E898" s="49"/>
      <c r="F898" s="49"/>
      <c r="G898" s="49"/>
      <c r="H898" s="49"/>
      <c r="I898" s="49"/>
      <c r="J898" s="49"/>
    </row>
    <row r="899">
      <c r="A899" s="47"/>
      <c r="B899" s="47"/>
      <c r="C899" s="47"/>
      <c r="D899" s="49"/>
      <c r="E899" s="49"/>
      <c r="F899" s="49"/>
      <c r="G899" s="49"/>
      <c r="H899" s="49"/>
      <c r="I899" s="49"/>
      <c r="J899" s="49"/>
    </row>
    <row r="900">
      <c r="A900" s="47"/>
      <c r="B900" s="47"/>
      <c r="C900" s="47"/>
      <c r="D900" s="49"/>
      <c r="E900" s="49"/>
      <c r="F900" s="49"/>
      <c r="G900" s="49"/>
      <c r="H900" s="49"/>
      <c r="I900" s="49"/>
      <c r="J900" s="49"/>
    </row>
    <row r="901">
      <c r="A901" s="47"/>
      <c r="B901" s="47"/>
      <c r="C901" s="47"/>
      <c r="D901" s="49"/>
      <c r="E901" s="49"/>
      <c r="F901" s="49"/>
      <c r="G901" s="49"/>
      <c r="H901" s="49"/>
      <c r="I901" s="49"/>
      <c r="J901" s="49"/>
    </row>
    <row r="902">
      <c r="A902" s="47"/>
      <c r="B902" s="47"/>
      <c r="C902" s="47"/>
      <c r="D902" s="49"/>
      <c r="E902" s="49"/>
      <c r="F902" s="49"/>
      <c r="G902" s="49"/>
      <c r="H902" s="49"/>
      <c r="I902" s="49"/>
      <c r="J902" s="49"/>
    </row>
    <row r="903">
      <c r="A903" s="47"/>
      <c r="B903" s="47"/>
      <c r="C903" s="47"/>
      <c r="D903" s="49"/>
      <c r="E903" s="49"/>
      <c r="F903" s="49"/>
      <c r="G903" s="49"/>
      <c r="H903" s="49"/>
      <c r="I903" s="49"/>
      <c r="J903" s="49"/>
    </row>
    <row r="904">
      <c r="A904" s="47"/>
      <c r="B904" s="47"/>
      <c r="C904" s="47"/>
      <c r="D904" s="49"/>
      <c r="E904" s="49"/>
      <c r="F904" s="49"/>
      <c r="G904" s="49"/>
      <c r="H904" s="49"/>
      <c r="I904" s="49"/>
      <c r="J904" s="49"/>
    </row>
    <row r="905">
      <c r="A905" s="47"/>
      <c r="B905" s="47"/>
      <c r="C905" s="47"/>
      <c r="D905" s="49"/>
      <c r="E905" s="49"/>
      <c r="F905" s="49"/>
      <c r="G905" s="49"/>
      <c r="H905" s="49"/>
      <c r="I905" s="49"/>
      <c r="J905" s="49"/>
    </row>
    <row r="906">
      <c r="A906" s="47"/>
      <c r="B906" s="47"/>
      <c r="C906" s="47"/>
      <c r="D906" s="49"/>
      <c r="E906" s="49"/>
      <c r="F906" s="49"/>
      <c r="G906" s="49"/>
      <c r="H906" s="49"/>
      <c r="I906" s="49"/>
      <c r="J906" s="49"/>
    </row>
    <row r="907">
      <c r="A907" s="47"/>
      <c r="B907" s="47"/>
      <c r="C907" s="47"/>
      <c r="D907" s="49"/>
      <c r="E907" s="49"/>
      <c r="F907" s="49"/>
      <c r="G907" s="49"/>
      <c r="H907" s="49"/>
      <c r="I907" s="49"/>
      <c r="J907" s="49"/>
    </row>
    <row r="908">
      <c r="A908" s="47"/>
      <c r="B908" s="47"/>
      <c r="C908" s="47"/>
      <c r="D908" s="49"/>
      <c r="E908" s="49"/>
      <c r="F908" s="49"/>
      <c r="G908" s="49"/>
      <c r="H908" s="49"/>
      <c r="I908" s="49"/>
      <c r="J908" s="49"/>
    </row>
    <row r="909">
      <c r="A909" s="47"/>
      <c r="B909" s="47"/>
      <c r="C909" s="47"/>
      <c r="D909" s="49"/>
      <c r="E909" s="49"/>
      <c r="F909" s="49"/>
      <c r="G909" s="49"/>
      <c r="H909" s="49"/>
      <c r="I909" s="49"/>
      <c r="J909" s="49"/>
    </row>
    <row r="910">
      <c r="A910" s="47"/>
      <c r="B910" s="47"/>
      <c r="C910" s="47"/>
      <c r="D910" s="49"/>
      <c r="E910" s="49"/>
      <c r="F910" s="49"/>
      <c r="G910" s="49"/>
      <c r="H910" s="49"/>
      <c r="I910" s="49"/>
      <c r="J910" s="49"/>
    </row>
    <row r="911">
      <c r="A911" s="47"/>
      <c r="B911" s="47"/>
      <c r="C911" s="47"/>
      <c r="D911" s="49"/>
      <c r="E911" s="49"/>
      <c r="F911" s="49"/>
      <c r="G911" s="49"/>
      <c r="H911" s="49"/>
      <c r="I911" s="49"/>
      <c r="J911" s="49"/>
    </row>
    <row r="912">
      <c r="A912" s="47"/>
      <c r="B912" s="47"/>
      <c r="C912" s="47"/>
      <c r="D912" s="49"/>
      <c r="E912" s="49"/>
      <c r="F912" s="49"/>
      <c r="G912" s="49"/>
      <c r="H912" s="49"/>
      <c r="I912" s="49"/>
      <c r="J912" s="49"/>
    </row>
    <row r="913">
      <c r="A913" s="47"/>
      <c r="B913" s="47"/>
      <c r="C913" s="47"/>
      <c r="D913" s="49"/>
      <c r="E913" s="49"/>
      <c r="F913" s="49"/>
      <c r="G913" s="49"/>
      <c r="H913" s="49"/>
      <c r="I913" s="49"/>
      <c r="J913" s="49"/>
    </row>
    <row r="914">
      <c r="A914" s="47"/>
      <c r="B914" s="47"/>
      <c r="C914" s="47"/>
      <c r="D914" s="49"/>
      <c r="E914" s="49"/>
      <c r="F914" s="49"/>
      <c r="G914" s="49"/>
      <c r="H914" s="49"/>
      <c r="I914" s="49"/>
      <c r="J914" s="49"/>
    </row>
    <row r="915">
      <c r="A915" s="47"/>
      <c r="B915" s="47"/>
      <c r="C915" s="47"/>
      <c r="D915" s="49"/>
      <c r="E915" s="49"/>
      <c r="F915" s="49"/>
      <c r="G915" s="49"/>
      <c r="H915" s="49"/>
      <c r="I915" s="49"/>
      <c r="J915" s="49"/>
    </row>
    <row r="916">
      <c r="A916" s="47"/>
      <c r="B916" s="47"/>
      <c r="C916" s="47"/>
      <c r="D916" s="49"/>
      <c r="E916" s="49"/>
      <c r="F916" s="49"/>
      <c r="G916" s="49"/>
      <c r="H916" s="49"/>
      <c r="I916" s="49"/>
      <c r="J916" s="49"/>
    </row>
    <row r="917">
      <c r="A917" s="47"/>
      <c r="B917" s="47"/>
      <c r="C917" s="47"/>
      <c r="D917" s="49"/>
      <c r="E917" s="49"/>
      <c r="F917" s="49"/>
      <c r="G917" s="49"/>
      <c r="H917" s="49"/>
      <c r="I917" s="49"/>
      <c r="J917" s="49"/>
    </row>
    <row r="918">
      <c r="A918" s="47"/>
      <c r="B918" s="47"/>
      <c r="C918" s="47"/>
      <c r="D918" s="49"/>
      <c r="E918" s="49"/>
      <c r="F918" s="49"/>
      <c r="G918" s="49"/>
      <c r="H918" s="49"/>
      <c r="I918" s="49"/>
      <c r="J918" s="49"/>
    </row>
    <row r="919">
      <c r="A919" s="47"/>
      <c r="B919" s="47"/>
      <c r="C919" s="47"/>
      <c r="D919" s="49"/>
      <c r="E919" s="49"/>
      <c r="F919" s="49"/>
      <c r="G919" s="49"/>
      <c r="H919" s="49"/>
      <c r="I919" s="49"/>
      <c r="J919" s="49"/>
    </row>
    <row r="920">
      <c r="A920" s="47"/>
      <c r="B920" s="47"/>
      <c r="C920" s="47"/>
      <c r="D920" s="49"/>
      <c r="E920" s="49"/>
      <c r="F920" s="49"/>
      <c r="G920" s="49"/>
      <c r="H920" s="49"/>
      <c r="I920" s="49"/>
      <c r="J920" s="49"/>
    </row>
    <row r="921">
      <c r="A921" s="47"/>
      <c r="B921" s="47"/>
      <c r="C921" s="47"/>
      <c r="D921" s="49"/>
      <c r="E921" s="49"/>
      <c r="F921" s="49"/>
      <c r="G921" s="49"/>
      <c r="H921" s="49"/>
      <c r="I921" s="49"/>
      <c r="J921" s="49"/>
    </row>
    <row r="922">
      <c r="A922" s="47"/>
      <c r="B922" s="47"/>
      <c r="C922" s="47"/>
      <c r="D922" s="49"/>
      <c r="E922" s="49"/>
      <c r="F922" s="49"/>
      <c r="G922" s="49"/>
      <c r="H922" s="49"/>
      <c r="I922" s="49"/>
      <c r="J922" s="49"/>
    </row>
    <row r="923">
      <c r="A923" s="47"/>
      <c r="B923" s="47"/>
      <c r="C923" s="47"/>
      <c r="D923" s="49"/>
      <c r="E923" s="49"/>
      <c r="F923" s="49"/>
      <c r="G923" s="49"/>
      <c r="H923" s="49"/>
      <c r="I923" s="49"/>
      <c r="J923" s="49"/>
    </row>
    <row r="924">
      <c r="A924" s="47"/>
      <c r="B924" s="47"/>
      <c r="C924" s="47"/>
      <c r="D924" s="49"/>
      <c r="E924" s="49"/>
      <c r="F924" s="49"/>
      <c r="G924" s="49"/>
      <c r="H924" s="49"/>
      <c r="I924" s="49"/>
      <c r="J924" s="49"/>
    </row>
    <row r="925">
      <c r="A925" s="47"/>
      <c r="B925" s="47"/>
      <c r="C925" s="47"/>
      <c r="D925" s="49"/>
      <c r="E925" s="49"/>
      <c r="F925" s="49"/>
      <c r="G925" s="49"/>
      <c r="H925" s="49"/>
      <c r="I925" s="49"/>
      <c r="J925" s="49"/>
    </row>
    <row r="926">
      <c r="A926" s="47"/>
      <c r="B926" s="47"/>
      <c r="C926" s="47"/>
      <c r="D926" s="49"/>
      <c r="E926" s="49"/>
      <c r="F926" s="49"/>
      <c r="G926" s="49"/>
      <c r="H926" s="49"/>
      <c r="I926" s="49"/>
      <c r="J926" s="49"/>
    </row>
    <row r="927">
      <c r="A927" s="47"/>
      <c r="B927" s="47"/>
      <c r="C927" s="47"/>
      <c r="D927" s="49"/>
      <c r="E927" s="49"/>
      <c r="F927" s="49"/>
      <c r="G927" s="49"/>
      <c r="H927" s="49"/>
      <c r="I927" s="49"/>
      <c r="J927" s="49"/>
    </row>
    <row r="928">
      <c r="A928" s="47"/>
      <c r="B928" s="47"/>
      <c r="C928" s="47"/>
      <c r="D928" s="49"/>
      <c r="E928" s="49"/>
      <c r="F928" s="49"/>
      <c r="G928" s="49"/>
      <c r="H928" s="49"/>
      <c r="I928" s="49"/>
      <c r="J928" s="49"/>
    </row>
    <row r="929">
      <c r="A929" s="47"/>
      <c r="B929" s="47"/>
      <c r="C929" s="47"/>
      <c r="D929" s="49"/>
      <c r="E929" s="49"/>
      <c r="F929" s="49"/>
      <c r="G929" s="49"/>
      <c r="H929" s="49"/>
      <c r="I929" s="49"/>
      <c r="J929" s="49"/>
    </row>
    <row r="930">
      <c r="A930" s="47"/>
      <c r="B930" s="47"/>
      <c r="C930" s="47"/>
      <c r="D930" s="49"/>
      <c r="E930" s="49"/>
      <c r="F930" s="49"/>
      <c r="G930" s="49"/>
      <c r="H930" s="49"/>
      <c r="I930" s="49"/>
      <c r="J930" s="49"/>
    </row>
    <row r="931">
      <c r="A931" s="47"/>
      <c r="B931" s="47"/>
      <c r="C931" s="47"/>
      <c r="D931" s="49"/>
      <c r="E931" s="49"/>
      <c r="F931" s="49"/>
      <c r="G931" s="49"/>
      <c r="H931" s="49"/>
      <c r="I931" s="49"/>
      <c r="J931" s="49"/>
    </row>
    <row r="932">
      <c r="A932" s="47"/>
      <c r="B932" s="47"/>
      <c r="C932" s="47"/>
      <c r="D932" s="49"/>
      <c r="E932" s="49"/>
      <c r="F932" s="49"/>
      <c r="G932" s="49"/>
      <c r="H932" s="49"/>
      <c r="I932" s="49"/>
      <c r="J932" s="49"/>
    </row>
    <row r="933">
      <c r="A933" s="47"/>
      <c r="B933" s="47"/>
      <c r="C933" s="47"/>
      <c r="D933" s="49"/>
      <c r="E933" s="49"/>
      <c r="F933" s="49"/>
      <c r="G933" s="49"/>
      <c r="H933" s="49"/>
      <c r="I933" s="49"/>
      <c r="J933" s="49"/>
    </row>
    <row r="934">
      <c r="A934" s="47"/>
      <c r="B934" s="47"/>
      <c r="C934" s="47"/>
      <c r="D934" s="49"/>
      <c r="E934" s="49"/>
      <c r="F934" s="49"/>
      <c r="G934" s="49"/>
      <c r="H934" s="49"/>
      <c r="I934" s="49"/>
      <c r="J934" s="49"/>
    </row>
    <row r="935">
      <c r="A935" s="47"/>
      <c r="B935" s="47"/>
      <c r="C935" s="47"/>
      <c r="D935" s="49"/>
      <c r="E935" s="49"/>
      <c r="F935" s="49"/>
      <c r="G935" s="49"/>
      <c r="H935" s="49"/>
      <c r="I935" s="49"/>
      <c r="J935" s="49"/>
    </row>
    <row r="936">
      <c r="A936" s="47"/>
      <c r="B936" s="47"/>
      <c r="C936" s="47"/>
      <c r="D936" s="49"/>
      <c r="E936" s="49"/>
      <c r="F936" s="49"/>
      <c r="G936" s="49"/>
      <c r="H936" s="49"/>
      <c r="I936" s="49"/>
      <c r="J936" s="49"/>
    </row>
    <row r="937">
      <c r="A937" s="47"/>
      <c r="B937" s="47"/>
      <c r="C937" s="47"/>
      <c r="D937" s="49"/>
      <c r="E937" s="49"/>
      <c r="F937" s="49"/>
      <c r="G937" s="49"/>
      <c r="H937" s="49"/>
      <c r="I937" s="49"/>
      <c r="J937" s="49"/>
    </row>
    <row r="938">
      <c r="A938" s="47"/>
      <c r="B938" s="47"/>
      <c r="C938" s="47"/>
      <c r="D938" s="49"/>
      <c r="E938" s="49"/>
      <c r="F938" s="49"/>
      <c r="G938" s="49"/>
      <c r="H938" s="49"/>
      <c r="I938" s="49"/>
      <c r="J938" s="49"/>
    </row>
    <row r="939">
      <c r="A939" s="47"/>
      <c r="B939" s="47"/>
      <c r="C939" s="47"/>
      <c r="D939" s="49"/>
      <c r="E939" s="49"/>
      <c r="F939" s="49"/>
      <c r="G939" s="49"/>
      <c r="H939" s="49"/>
      <c r="I939" s="49"/>
      <c r="J939" s="49"/>
    </row>
    <row r="940">
      <c r="A940" s="47"/>
      <c r="B940" s="47"/>
      <c r="C940" s="47"/>
      <c r="D940" s="49"/>
      <c r="E940" s="49"/>
      <c r="F940" s="49"/>
      <c r="G940" s="49"/>
      <c r="H940" s="49"/>
      <c r="I940" s="49"/>
      <c r="J940" s="49"/>
    </row>
    <row r="941">
      <c r="A941" s="47"/>
      <c r="B941" s="47"/>
      <c r="C941" s="47"/>
      <c r="D941" s="49"/>
      <c r="E941" s="49"/>
      <c r="F941" s="49"/>
      <c r="G941" s="49"/>
      <c r="H941" s="49"/>
      <c r="I941" s="49"/>
      <c r="J941" s="49"/>
    </row>
    <row r="942">
      <c r="A942" s="47"/>
      <c r="B942" s="47"/>
      <c r="C942" s="47"/>
      <c r="D942" s="49"/>
      <c r="E942" s="49"/>
      <c r="F942" s="49"/>
      <c r="G942" s="49"/>
      <c r="H942" s="49"/>
      <c r="I942" s="49"/>
      <c r="J942" s="49"/>
    </row>
    <row r="943">
      <c r="A943" s="47"/>
      <c r="B943" s="47"/>
      <c r="C943" s="47"/>
      <c r="D943" s="49"/>
      <c r="E943" s="49"/>
      <c r="F943" s="49"/>
      <c r="G943" s="49"/>
      <c r="H943" s="49"/>
      <c r="I943" s="49"/>
      <c r="J943" s="49"/>
    </row>
    <row r="944">
      <c r="A944" s="47"/>
      <c r="B944" s="47"/>
      <c r="C944" s="47"/>
      <c r="D944" s="49"/>
      <c r="E944" s="49"/>
      <c r="F944" s="49"/>
      <c r="G944" s="49"/>
      <c r="H944" s="49"/>
      <c r="I944" s="49"/>
      <c r="J944" s="49"/>
    </row>
    <row r="945">
      <c r="A945" s="47"/>
      <c r="B945" s="47"/>
      <c r="C945" s="47"/>
      <c r="D945" s="49"/>
      <c r="E945" s="49"/>
      <c r="F945" s="49"/>
      <c r="G945" s="49"/>
      <c r="H945" s="49"/>
      <c r="I945" s="49"/>
      <c r="J945" s="49"/>
    </row>
    <row r="946">
      <c r="A946" s="47"/>
      <c r="B946" s="47"/>
      <c r="C946" s="47"/>
      <c r="D946" s="49"/>
      <c r="E946" s="49"/>
      <c r="F946" s="49"/>
      <c r="G946" s="49"/>
      <c r="H946" s="49"/>
      <c r="I946" s="49"/>
      <c r="J946" s="49"/>
    </row>
    <row r="947">
      <c r="A947" s="47"/>
      <c r="B947" s="47"/>
      <c r="C947" s="47"/>
      <c r="D947" s="49"/>
      <c r="E947" s="49"/>
      <c r="F947" s="49"/>
      <c r="G947" s="49"/>
      <c r="H947" s="49"/>
      <c r="I947" s="49"/>
      <c r="J947" s="49"/>
    </row>
    <row r="948">
      <c r="A948" s="47"/>
      <c r="B948" s="47"/>
      <c r="C948" s="47"/>
      <c r="D948" s="49"/>
      <c r="E948" s="49"/>
      <c r="F948" s="49"/>
      <c r="G948" s="49"/>
      <c r="H948" s="49"/>
      <c r="I948" s="49"/>
      <c r="J948" s="49"/>
    </row>
    <row r="949">
      <c r="A949" s="47"/>
      <c r="B949" s="47"/>
      <c r="C949" s="47"/>
      <c r="D949" s="49"/>
      <c r="E949" s="49"/>
      <c r="F949" s="49"/>
      <c r="G949" s="49"/>
      <c r="H949" s="49"/>
      <c r="I949" s="49"/>
      <c r="J949" s="49"/>
    </row>
    <row r="950">
      <c r="A950" s="47"/>
      <c r="B950" s="47"/>
      <c r="C950" s="47"/>
      <c r="D950" s="49"/>
      <c r="E950" s="49"/>
      <c r="F950" s="49"/>
      <c r="G950" s="49"/>
      <c r="H950" s="49"/>
      <c r="I950" s="49"/>
      <c r="J950" s="49"/>
    </row>
    <row r="951">
      <c r="A951" s="47"/>
      <c r="B951" s="47"/>
      <c r="C951" s="47"/>
      <c r="D951" s="49"/>
      <c r="E951" s="49"/>
      <c r="F951" s="49"/>
      <c r="G951" s="49"/>
      <c r="H951" s="49"/>
      <c r="I951" s="49"/>
      <c r="J951" s="49"/>
    </row>
    <row r="952">
      <c r="A952" s="47"/>
      <c r="B952" s="47"/>
      <c r="C952" s="47"/>
      <c r="D952" s="49"/>
      <c r="E952" s="49"/>
      <c r="F952" s="49"/>
      <c r="G952" s="49"/>
      <c r="H952" s="49"/>
      <c r="I952" s="49"/>
      <c r="J952" s="49"/>
    </row>
    <row r="953">
      <c r="A953" s="47"/>
      <c r="B953" s="47"/>
      <c r="C953" s="47"/>
      <c r="D953" s="49"/>
      <c r="E953" s="49"/>
      <c r="F953" s="49"/>
      <c r="G953" s="49"/>
      <c r="H953" s="49"/>
      <c r="I953" s="49"/>
      <c r="J953" s="49"/>
    </row>
    <row r="954">
      <c r="A954" s="47"/>
      <c r="B954" s="47"/>
      <c r="C954" s="47"/>
      <c r="D954" s="49"/>
      <c r="E954" s="49"/>
      <c r="F954" s="49"/>
      <c r="G954" s="49"/>
      <c r="H954" s="49"/>
      <c r="I954" s="49"/>
      <c r="J954" s="49"/>
    </row>
    <row r="955">
      <c r="A955" s="47"/>
      <c r="B955" s="47"/>
      <c r="C955" s="47"/>
      <c r="D955" s="49"/>
      <c r="E955" s="49"/>
      <c r="F955" s="49"/>
      <c r="G955" s="49"/>
      <c r="H955" s="49"/>
      <c r="I955" s="49"/>
      <c r="J955" s="49"/>
    </row>
    <row r="956">
      <c r="A956" s="47"/>
      <c r="B956" s="47"/>
      <c r="C956" s="47"/>
      <c r="D956" s="49"/>
      <c r="E956" s="49"/>
      <c r="F956" s="49"/>
      <c r="G956" s="49"/>
      <c r="H956" s="49"/>
      <c r="I956" s="49"/>
      <c r="J956" s="49"/>
    </row>
    <row r="957">
      <c r="A957" s="47"/>
      <c r="B957" s="47"/>
      <c r="C957" s="47"/>
      <c r="D957" s="49"/>
      <c r="E957" s="49"/>
      <c r="F957" s="49"/>
      <c r="G957" s="49"/>
      <c r="H957" s="49"/>
      <c r="I957" s="49"/>
      <c r="J957" s="49"/>
    </row>
    <row r="958">
      <c r="A958" s="47"/>
      <c r="B958" s="47"/>
      <c r="C958" s="47"/>
      <c r="D958" s="49"/>
      <c r="E958" s="49"/>
      <c r="F958" s="49"/>
      <c r="G958" s="49"/>
      <c r="H958" s="49"/>
      <c r="I958" s="49"/>
      <c r="J958" s="49"/>
    </row>
    <row r="959">
      <c r="A959" s="47"/>
      <c r="B959" s="47"/>
      <c r="C959" s="47"/>
      <c r="D959" s="49"/>
      <c r="E959" s="49"/>
      <c r="F959" s="49"/>
      <c r="G959" s="49"/>
      <c r="H959" s="49"/>
      <c r="I959" s="49"/>
      <c r="J959" s="49"/>
    </row>
    <row r="960">
      <c r="A960" s="47"/>
      <c r="B960" s="47"/>
      <c r="C960" s="47"/>
      <c r="D960" s="49"/>
      <c r="E960" s="49"/>
      <c r="F960" s="49"/>
      <c r="G960" s="49"/>
      <c r="H960" s="49"/>
      <c r="I960" s="49"/>
      <c r="J960" s="49"/>
    </row>
    <row r="961">
      <c r="A961" s="47"/>
      <c r="B961" s="47"/>
      <c r="C961" s="47"/>
      <c r="D961" s="49"/>
      <c r="E961" s="49"/>
      <c r="F961" s="49"/>
      <c r="G961" s="49"/>
      <c r="H961" s="49"/>
      <c r="I961" s="49"/>
      <c r="J961" s="49"/>
    </row>
    <row r="962">
      <c r="A962" s="47"/>
      <c r="B962" s="47"/>
      <c r="C962" s="47"/>
      <c r="D962" s="49"/>
      <c r="E962" s="49"/>
      <c r="F962" s="49"/>
      <c r="G962" s="49"/>
      <c r="H962" s="49"/>
      <c r="I962" s="49"/>
      <c r="J962" s="49"/>
    </row>
    <row r="963">
      <c r="A963" s="47"/>
      <c r="B963" s="47"/>
      <c r="C963" s="47"/>
      <c r="D963" s="49"/>
      <c r="E963" s="49"/>
      <c r="F963" s="49"/>
      <c r="G963" s="49"/>
      <c r="H963" s="49"/>
      <c r="I963" s="49"/>
      <c r="J963" s="49"/>
    </row>
    <row r="964">
      <c r="A964" s="47"/>
      <c r="B964" s="47"/>
      <c r="C964" s="47"/>
      <c r="D964" s="49"/>
      <c r="E964" s="49"/>
      <c r="F964" s="49"/>
      <c r="G964" s="49"/>
      <c r="H964" s="49"/>
      <c r="I964" s="49"/>
      <c r="J964" s="49"/>
    </row>
    <row r="965">
      <c r="A965" s="47"/>
      <c r="B965" s="47"/>
      <c r="C965" s="47"/>
      <c r="D965" s="49"/>
      <c r="E965" s="49"/>
      <c r="F965" s="49"/>
      <c r="G965" s="49"/>
      <c r="H965" s="49"/>
      <c r="I965" s="49"/>
      <c r="J965" s="49"/>
    </row>
    <row r="966">
      <c r="A966" s="47"/>
      <c r="B966" s="47"/>
      <c r="C966" s="47"/>
      <c r="D966" s="49"/>
      <c r="E966" s="49"/>
      <c r="F966" s="49"/>
      <c r="G966" s="49"/>
      <c r="H966" s="49"/>
      <c r="I966" s="49"/>
      <c r="J966" s="49"/>
    </row>
    <row r="967">
      <c r="A967" s="47"/>
      <c r="B967" s="47"/>
      <c r="C967" s="47"/>
      <c r="D967" s="49"/>
      <c r="E967" s="49"/>
      <c r="F967" s="49"/>
      <c r="G967" s="49"/>
      <c r="H967" s="49"/>
      <c r="I967" s="49"/>
      <c r="J967" s="49"/>
    </row>
    <row r="968">
      <c r="A968" s="47"/>
      <c r="B968" s="47"/>
      <c r="C968" s="47"/>
      <c r="D968" s="49"/>
      <c r="E968" s="49"/>
      <c r="F968" s="49"/>
      <c r="G968" s="49"/>
      <c r="H968" s="49"/>
      <c r="I968" s="49"/>
      <c r="J968" s="49"/>
    </row>
    <row r="969">
      <c r="A969" s="47"/>
      <c r="B969" s="47"/>
      <c r="C969" s="47"/>
      <c r="D969" s="49"/>
      <c r="E969" s="49"/>
      <c r="F969" s="49"/>
      <c r="G969" s="49"/>
      <c r="H969" s="49"/>
      <c r="I969" s="49"/>
      <c r="J969" s="49"/>
    </row>
    <row r="970">
      <c r="A970" s="47"/>
      <c r="B970" s="47"/>
      <c r="C970" s="47"/>
      <c r="D970" s="49"/>
      <c r="E970" s="49"/>
      <c r="F970" s="49"/>
      <c r="G970" s="49"/>
      <c r="H970" s="49"/>
      <c r="I970" s="49"/>
      <c r="J970" s="49"/>
    </row>
    <row r="971">
      <c r="A971" s="47"/>
      <c r="B971" s="47"/>
      <c r="C971" s="47"/>
      <c r="D971" s="49"/>
      <c r="E971" s="49"/>
      <c r="F971" s="49"/>
      <c r="G971" s="49"/>
      <c r="H971" s="49"/>
      <c r="I971" s="49"/>
      <c r="J971" s="49"/>
    </row>
    <row r="972">
      <c r="A972" s="47"/>
      <c r="B972" s="47"/>
      <c r="C972" s="47"/>
      <c r="D972" s="49"/>
      <c r="E972" s="49"/>
      <c r="F972" s="49"/>
      <c r="G972" s="49"/>
      <c r="H972" s="49"/>
      <c r="I972" s="49"/>
      <c r="J972" s="49"/>
    </row>
    <row r="973">
      <c r="A973" s="47"/>
      <c r="B973" s="47"/>
      <c r="C973" s="47"/>
      <c r="D973" s="49"/>
      <c r="E973" s="49"/>
      <c r="F973" s="49"/>
      <c r="G973" s="49"/>
      <c r="H973" s="49"/>
      <c r="I973" s="49"/>
      <c r="J973" s="49"/>
    </row>
    <row r="974">
      <c r="A974" s="47"/>
      <c r="B974" s="47"/>
      <c r="C974" s="47"/>
      <c r="D974" s="49"/>
      <c r="E974" s="49"/>
      <c r="F974" s="49"/>
      <c r="G974" s="49"/>
      <c r="H974" s="49"/>
      <c r="I974" s="49"/>
      <c r="J974" s="49"/>
    </row>
    <row r="975">
      <c r="A975" s="47"/>
      <c r="B975" s="47"/>
      <c r="C975" s="47"/>
      <c r="D975" s="49"/>
      <c r="E975" s="49"/>
      <c r="F975" s="49"/>
      <c r="G975" s="49"/>
      <c r="H975" s="49"/>
      <c r="I975" s="49"/>
      <c r="J975" s="49"/>
    </row>
    <row r="976">
      <c r="A976" s="47"/>
      <c r="B976" s="47"/>
      <c r="C976" s="47"/>
      <c r="D976" s="49"/>
      <c r="E976" s="49"/>
      <c r="F976" s="49"/>
      <c r="G976" s="49"/>
      <c r="H976" s="49"/>
      <c r="I976" s="49"/>
      <c r="J976" s="49"/>
    </row>
    <row r="977">
      <c r="A977" s="47"/>
      <c r="B977" s="47"/>
      <c r="C977" s="47"/>
      <c r="D977" s="49"/>
      <c r="E977" s="49"/>
      <c r="F977" s="49"/>
      <c r="G977" s="49"/>
      <c r="H977" s="49"/>
      <c r="I977" s="49"/>
      <c r="J977" s="49"/>
    </row>
    <row r="978">
      <c r="A978" s="47"/>
      <c r="B978" s="47"/>
      <c r="C978" s="47"/>
      <c r="D978" s="49"/>
      <c r="E978" s="49"/>
      <c r="F978" s="49"/>
      <c r="G978" s="49"/>
      <c r="H978" s="49"/>
      <c r="I978" s="49"/>
      <c r="J978" s="49"/>
    </row>
    <row r="979">
      <c r="A979" s="47"/>
      <c r="B979" s="47"/>
      <c r="C979" s="47"/>
      <c r="D979" s="49"/>
      <c r="E979" s="49"/>
      <c r="F979" s="49"/>
      <c r="G979" s="49"/>
      <c r="H979" s="49"/>
      <c r="I979" s="49"/>
      <c r="J979" s="49"/>
    </row>
    <row r="980">
      <c r="A980" s="47"/>
      <c r="B980" s="47"/>
      <c r="C980" s="47"/>
      <c r="D980" s="49"/>
      <c r="E980" s="49"/>
      <c r="F980" s="49"/>
      <c r="G980" s="49"/>
      <c r="H980" s="49"/>
      <c r="I980" s="49"/>
      <c r="J980" s="49"/>
    </row>
    <row r="981">
      <c r="A981" s="47"/>
      <c r="B981" s="47"/>
      <c r="C981" s="47"/>
      <c r="D981" s="49"/>
      <c r="E981" s="49"/>
      <c r="F981" s="49"/>
      <c r="G981" s="49"/>
      <c r="H981" s="49"/>
      <c r="I981" s="49"/>
      <c r="J981" s="49"/>
    </row>
    <row r="982">
      <c r="A982" s="47"/>
      <c r="B982" s="47"/>
      <c r="C982" s="47"/>
      <c r="D982" s="49"/>
      <c r="E982" s="49"/>
      <c r="F982" s="49"/>
      <c r="G982" s="49"/>
      <c r="H982" s="49"/>
      <c r="I982" s="49"/>
      <c r="J982" s="49"/>
    </row>
    <row r="983">
      <c r="A983" s="47"/>
      <c r="B983" s="47"/>
      <c r="C983" s="47"/>
      <c r="D983" s="49"/>
      <c r="E983" s="49"/>
      <c r="F983" s="49"/>
      <c r="G983" s="49"/>
      <c r="H983" s="49"/>
      <c r="I983" s="49"/>
      <c r="J983" s="49"/>
    </row>
    <row r="984">
      <c r="A984" s="47"/>
      <c r="B984" s="47"/>
      <c r="C984" s="47"/>
      <c r="D984" s="49"/>
      <c r="E984" s="49"/>
      <c r="F984" s="49"/>
      <c r="G984" s="49"/>
      <c r="H984" s="49"/>
      <c r="I984" s="49"/>
      <c r="J984" s="49"/>
    </row>
    <row r="985">
      <c r="A985" s="47"/>
      <c r="B985" s="47"/>
      <c r="C985" s="47"/>
      <c r="D985" s="49"/>
      <c r="E985" s="49"/>
      <c r="F985" s="49"/>
      <c r="G985" s="49"/>
      <c r="H985" s="49"/>
      <c r="I985" s="49"/>
      <c r="J985" s="49"/>
    </row>
    <row r="986">
      <c r="A986" s="47"/>
      <c r="B986" s="47"/>
      <c r="C986" s="47"/>
      <c r="D986" s="49"/>
      <c r="E986" s="49"/>
      <c r="F986" s="49"/>
      <c r="G986" s="49"/>
      <c r="H986" s="49"/>
      <c r="I986" s="49"/>
      <c r="J986" s="49"/>
    </row>
    <row r="987">
      <c r="A987" s="47"/>
      <c r="B987" s="47"/>
      <c r="C987" s="47"/>
      <c r="D987" s="49"/>
      <c r="E987" s="49"/>
      <c r="F987" s="49"/>
      <c r="G987" s="49"/>
      <c r="H987" s="49"/>
      <c r="I987" s="49"/>
      <c r="J987" s="49"/>
    </row>
    <row r="988">
      <c r="A988" s="47"/>
      <c r="B988" s="47"/>
      <c r="C988" s="47"/>
      <c r="D988" s="49"/>
      <c r="E988" s="49"/>
      <c r="F988" s="49"/>
      <c r="G988" s="49"/>
      <c r="H988" s="49"/>
      <c r="I988" s="49"/>
      <c r="J988" s="49"/>
    </row>
    <row r="989">
      <c r="A989" s="47"/>
      <c r="B989" s="47"/>
      <c r="C989" s="47"/>
      <c r="D989" s="49"/>
      <c r="E989" s="49"/>
      <c r="F989" s="49"/>
      <c r="G989" s="49"/>
      <c r="H989" s="49"/>
      <c r="I989" s="49"/>
      <c r="J989" s="49"/>
    </row>
    <row r="990">
      <c r="A990" s="47"/>
      <c r="B990" s="47"/>
      <c r="C990" s="47"/>
      <c r="D990" s="49"/>
      <c r="E990" s="49"/>
      <c r="F990" s="49"/>
      <c r="G990" s="49"/>
      <c r="H990" s="49"/>
      <c r="I990" s="49"/>
      <c r="J990" s="49"/>
    </row>
    <row r="991">
      <c r="A991" s="47"/>
      <c r="B991" s="47"/>
      <c r="C991" s="47"/>
      <c r="D991" s="49"/>
      <c r="E991" s="49"/>
      <c r="F991" s="49"/>
      <c r="G991" s="49"/>
      <c r="H991" s="49"/>
      <c r="I991" s="49"/>
      <c r="J991" s="49"/>
    </row>
    <row r="992">
      <c r="A992" s="47"/>
      <c r="B992" s="47"/>
      <c r="C992" s="47"/>
      <c r="D992" s="49"/>
      <c r="E992" s="49"/>
      <c r="F992" s="49"/>
      <c r="G992" s="49"/>
      <c r="H992" s="49"/>
      <c r="I992" s="49"/>
      <c r="J992" s="49"/>
    </row>
    <row r="993">
      <c r="A993" s="47"/>
      <c r="B993" s="47"/>
      <c r="C993" s="47"/>
      <c r="D993" s="49"/>
      <c r="E993" s="49"/>
      <c r="F993" s="49"/>
      <c r="G993" s="49"/>
      <c r="H993" s="49"/>
      <c r="I993" s="49"/>
      <c r="J993" s="49"/>
    </row>
    <row r="994">
      <c r="A994" s="47"/>
      <c r="B994" s="47"/>
      <c r="C994" s="47"/>
      <c r="D994" s="49"/>
      <c r="E994" s="49"/>
      <c r="F994" s="49"/>
      <c r="G994" s="49"/>
      <c r="H994" s="49"/>
      <c r="I994" s="49"/>
      <c r="J994" s="49"/>
    </row>
    <row r="995">
      <c r="A995" s="47"/>
      <c r="B995" s="47"/>
      <c r="C995" s="47"/>
      <c r="D995" s="49"/>
      <c r="E995" s="49"/>
      <c r="F995" s="49"/>
      <c r="G995" s="49"/>
      <c r="H995" s="49"/>
      <c r="I995" s="49"/>
      <c r="J995" s="49"/>
    </row>
    <row r="996">
      <c r="A996" s="47"/>
      <c r="B996" s="47"/>
      <c r="C996" s="47"/>
      <c r="D996" s="49"/>
      <c r="E996" s="49"/>
      <c r="F996" s="49"/>
      <c r="G996" s="49"/>
      <c r="H996" s="49"/>
      <c r="I996" s="49"/>
      <c r="J996" s="49"/>
    </row>
    <row r="997">
      <c r="A997" s="47"/>
      <c r="B997" s="47"/>
      <c r="C997" s="47"/>
      <c r="D997" s="49"/>
      <c r="E997" s="49"/>
      <c r="F997" s="49"/>
      <c r="G997" s="49"/>
      <c r="H997" s="49"/>
      <c r="I997" s="49"/>
      <c r="J997" s="49"/>
    </row>
    <row r="998">
      <c r="A998" s="47"/>
      <c r="B998" s="47"/>
      <c r="C998" s="47"/>
      <c r="D998" s="49"/>
      <c r="E998" s="49"/>
      <c r="F998" s="49"/>
      <c r="G998" s="49"/>
      <c r="H998" s="49"/>
      <c r="I998" s="49"/>
      <c r="J998" s="49"/>
    </row>
    <row r="999">
      <c r="A999" s="47"/>
      <c r="B999" s="47"/>
      <c r="C999" s="47"/>
      <c r="D999" s="49"/>
      <c r="E999" s="49"/>
      <c r="F999" s="49"/>
      <c r="G999" s="49"/>
      <c r="H999" s="49"/>
      <c r="I999" s="49"/>
      <c r="J999" s="49"/>
    </row>
    <row r="1000">
      <c r="A1000" s="47"/>
      <c r="B1000" s="47"/>
      <c r="C1000" s="47"/>
      <c r="D1000" s="49"/>
      <c r="E1000" s="49"/>
      <c r="F1000" s="49"/>
      <c r="G1000" s="49"/>
      <c r="H1000" s="49"/>
      <c r="I1000" s="49"/>
      <c r="J1000" s="49"/>
    </row>
  </sheetData>
  <hyperlinks>
    <hyperlink display="RETURN TO DASHBOARD" location="Dashboard!A1" ref="A1"/>
    <hyperlink r:id="rId1" ref="J2"/>
    <hyperlink r:id="rId2" ref="J3"/>
    <hyperlink r:id="rId3" ref="J4"/>
    <hyperlink r:id="rId4" ref="J6"/>
    <hyperlink r:id="rId5" ref="J7"/>
    <hyperlink r:id="rId6" ref="J12"/>
    <hyperlink r:id="rId7" ref="J13"/>
    <hyperlink r:id="rId8" ref="J17"/>
    <hyperlink r:id="rId9" ref="J18"/>
    <hyperlink r:id="rId10" ref="J19"/>
    <hyperlink r:id="rId11" ref="J21"/>
    <hyperlink r:id="rId12" ref="J22"/>
    <hyperlink r:id="rId13" ref="J23"/>
    <hyperlink r:id="rId14" ref="J24"/>
    <hyperlink r:id="rId15" ref="J25"/>
    <hyperlink r:id="rId16" ref="J26"/>
    <hyperlink r:id="rId17" ref="J27"/>
    <hyperlink r:id="rId18" ref="J29"/>
    <hyperlink r:id="rId19" ref="J30"/>
    <hyperlink r:id="rId20" ref="J31"/>
    <hyperlink r:id="rId21" ref="J32"/>
    <hyperlink r:id="rId22" ref="J33"/>
    <hyperlink r:id="rId23" ref="J34"/>
    <hyperlink r:id="rId24" ref="J35"/>
    <hyperlink r:id="rId25" ref="J36"/>
    <hyperlink r:id="rId26" ref="J37"/>
    <hyperlink r:id="rId27" ref="J38"/>
    <hyperlink r:id="rId28" ref="J39"/>
    <hyperlink r:id="rId29" ref="J40"/>
    <hyperlink r:id="rId30" ref="J41"/>
    <hyperlink r:id="rId31" ref="J42"/>
    <hyperlink r:id="rId32" ref="J45"/>
    <hyperlink r:id="rId33" ref="J46"/>
    <hyperlink r:id="rId34" ref="J47"/>
    <hyperlink r:id="rId35" ref="J48"/>
    <hyperlink r:id="rId36" ref="J50"/>
    <hyperlink r:id="rId37" ref="J51"/>
    <hyperlink r:id="rId38" ref="J52"/>
    <hyperlink r:id="rId39" ref="J53"/>
    <hyperlink r:id="rId40" ref="J54"/>
    <hyperlink r:id="rId41" ref="J55"/>
    <hyperlink r:id="rId42" ref="J56"/>
    <hyperlink r:id="rId43" ref="J59"/>
    <hyperlink r:id="rId44" ref="J63"/>
    <hyperlink r:id="rId45" ref="J64"/>
    <hyperlink r:id="rId46" ref="J65"/>
    <hyperlink r:id="rId47" ref="J66"/>
    <hyperlink r:id="rId48" ref="J67"/>
    <hyperlink r:id="rId49" ref="J68"/>
    <hyperlink r:id="rId50" ref="J69"/>
    <hyperlink r:id="rId51" ref="J70"/>
    <hyperlink r:id="rId52" ref="J71"/>
    <hyperlink r:id="rId53" ref="J72"/>
    <hyperlink r:id="rId54" ref="J73"/>
    <hyperlink r:id="rId55" ref="J74"/>
    <hyperlink r:id="rId56" ref="J75"/>
    <hyperlink r:id="rId57" ref="J76"/>
    <hyperlink r:id="rId58" ref="J77"/>
    <hyperlink r:id="rId59" ref="J78"/>
    <hyperlink r:id="rId60" ref="J81"/>
    <hyperlink r:id="rId61" ref="J82"/>
    <hyperlink r:id="rId62" ref="J85"/>
    <hyperlink r:id="rId63" ref="J86"/>
    <hyperlink r:id="rId64" ref="J90"/>
    <hyperlink r:id="rId65" ref="J92"/>
    <hyperlink r:id="rId66" ref="J93"/>
    <hyperlink r:id="rId67" ref="J94"/>
    <hyperlink r:id="rId68" ref="J96"/>
    <hyperlink r:id="rId69" ref="J97"/>
    <hyperlink r:id="rId70" ref="J98"/>
    <hyperlink r:id="rId71" ref="J99"/>
  </hyperlinks>
  <drawing r:id="rId7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0"/>
    <col customWidth="1" min="2" max="2" width="10.0"/>
    <col customWidth="1" min="3" max="3" width="10.13"/>
    <col customWidth="1" min="4" max="4" width="17.5"/>
    <col customWidth="1" min="5" max="5" width="19.0"/>
    <col customWidth="1" min="6" max="6" width="12.25"/>
    <col customWidth="1" min="7" max="7" width="70.13"/>
    <col customWidth="1" min="8" max="8" width="19.0"/>
    <col customWidth="1" min="9" max="9" width="24.88"/>
  </cols>
  <sheetData>
    <row r="1">
      <c r="A1" s="51" t="s">
        <v>1258</v>
      </c>
      <c r="B1" s="45" t="str">
        <f>IFERROR(__xludf.DUMMYFUNCTION("QUERY('Form Responses 1'!A:AAC, ""SELECT CM, CN, CO, CP, CQ, CR, CS, CT WHERE C = 'MoU Signing Ceremony'"", 1)"),"Date")</f>
        <v>Date</v>
      </c>
      <c r="C1" s="45" t="str">
        <f>IFERROR(__xludf.DUMMYFUNCTION("""COMPUTED_VALUE"""),"Type")</f>
        <v>Type</v>
      </c>
      <c r="D1" s="45" t="str">
        <f>IFERROR(__xludf.DUMMYFUNCTION("""COMPUTED_VALUE"""),"Visitor's Name &amp; Details")</f>
        <v>Visitor's Name &amp; Details</v>
      </c>
      <c r="E1" s="45" t="str">
        <f>IFERROR(__xludf.DUMMYFUNCTION("""COMPUTED_VALUE"""),"University Name")</f>
        <v>University Name</v>
      </c>
      <c r="F1" s="45" t="str">
        <f>IFERROR(__xludf.DUMMYFUNCTION("""COMPUTED_VALUE"""),"Department ")</f>
        <v>Department </v>
      </c>
      <c r="G1" s="45" t="str">
        <f>IFERROR(__xludf.DUMMYFUNCTION("""COMPUTED_VALUE"""),"Event Summary")</f>
        <v>Event Summary</v>
      </c>
      <c r="H1" s="45" t="str">
        <f>IFERROR(__xludf.DUMMYFUNCTION("""COMPUTED_VALUE"""),"Campus")</f>
        <v>Campus</v>
      </c>
      <c r="I1" s="45" t="str">
        <f>IFERROR(__xludf.DUMMYFUNCTION("""COMPUTED_VALUE"""),"MoU Signing Ceremony    Upload Zip FIle")</f>
        <v>MoU Signing Ceremony    Upload Zip FIle</v>
      </c>
      <c r="J1" s="46"/>
      <c r="K1" s="46"/>
      <c r="L1" s="46"/>
      <c r="M1" s="46"/>
      <c r="N1" s="46"/>
      <c r="O1" s="46"/>
      <c r="P1" s="46"/>
      <c r="Q1" s="46"/>
      <c r="R1" s="46"/>
      <c r="S1" s="46"/>
      <c r="T1" s="46"/>
      <c r="U1" s="46"/>
      <c r="V1" s="46"/>
      <c r="W1" s="46"/>
      <c r="X1" s="46"/>
      <c r="Y1" s="46"/>
      <c r="Z1" s="46"/>
      <c r="AA1" s="46"/>
    </row>
    <row r="2">
      <c r="A2" s="52"/>
      <c r="B2" s="53">
        <f>IFERROR(__xludf.DUMMYFUNCTION("""COMPUTED_VALUE"""),45008.0)</f>
        <v>45008</v>
      </c>
      <c r="C2" s="49" t="str">
        <f>IFERROR(__xludf.DUMMYFUNCTION("""COMPUTED_VALUE"""),"University")</f>
        <v>University</v>
      </c>
      <c r="D2" s="49" t="str">
        <f>IFERROR(__xludf.DUMMYFUNCTION("""COMPUTED_VALUE"""),"Dr. Dan Heimmermann,Chancellor")</f>
        <v>Dr. Dan Heimmermann,Chancellor</v>
      </c>
      <c r="E2" s="49" t="str">
        <f>IFERROR(__xludf.DUMMYFUNCTION("""COMPUTED_VALUE"""),"University of South Carolina Aiken, USA")</f>
        <v>University of South Carolina Aiken, USA</v>
      </c>
      <c r="F2" s="49" t="str">
        <f>IFERROR(__xludf.DUMMYFUNCTION("""COMPUTED_VALUE"""),"SCMS-PG")</f>
        <v>SCMS-PG</v>
      </c>
      <c r="G2" s="49" t="str">
        <f>IFERROR(__xludf.DUMMYFUNCTION("""COMPUTED_VALUE"""),"Dayananda Sagar University, International Affairs Department organized an event “Welcome - Meet and Greet and Partnership Program” on March 23, 2023. The program started with a welcome dance organised by Ms. Shyamantha Surya Prakash and Team, followed by "&amp;"Meet and Greet.
Welcome with Dr. Dan Heimmermann and Mr. Ani Agnihotri
The program then followed with a welcome address by Dr. Amit Bhatt, Pro Vice Chancellor, DSU. The dignitaries on the Dias were Dr. Dan Heimmermann, Chancellor, University of South"&amp;" Carolina Aiken, USA, Mr. Ani Agnihotri, Co-Founder and CEO at Marshall Automation America, Inc, Dr. K N Balasubrmanya Murthy, Vice Chancellor, DSU, Dr. Puttamadappa C, Registrar, DSU, Ms. Supriya Mathew, Vice president of International affairs &amp; Admissio"&amp;"ns DSU, Dr. Uday Kumar Reddy, Dean SoE, CSE, Dr.Girisha G S, Chairperson, CSE, Dr. Pramod Naik, Associate Prof, CSE, Dr. M K Banga, Dean, CSE, Dr. Basavaraj N Hiremath, Prof, DSU, Dr. Niranjan Appaswamy, Associate Prof, DSU, Dr. Shaila S.G, Chairperson, D"&amp;"S, DSU , Dr. M Shahina Parveen, Chairperson, CST, DSU.
")</f>
        <v>Dayananda Sagar University, International Affairs Department organized an event “Welcome - Meet and Greet and Partnership Program” on March 23, 2023. The program started with a welcome dance organised by Ms. Shyamantha Surya Prakash and Team, followed by Meet and Greet.
Welcome with Dr. Dan Heimmermann and Mr. Ani Agnihotri
The program then followed with a welcome address by Dr. Amit Bhatt, Pro Vice Chancellor, DSU. The dignitaries on the Dias were Dr. Dan Heimmermann, Chancellor, University of South Carolina Aiken, USA, Mr. Ani Agnihotri, Co-Founder and CEO at Marshall Automation America, Inc, Dr. K N Balasubrmanya Murthy, Vice Chancellor, DSU, Dr. Puttamadappa C, Registrar, DSU, Ms. Supriya Mathew, Vice president of International affairs &amp; Admissions DSU, Dr. Uday Kumar Reddy, Dean SoE, CSE, Dr.Girisha G S, Chairperson, CSE, Dr. Pramod Naik, Associate Prof, CSE, Dr. M K Banga, Dean, CSE, Dr. Basavaraj N Hiremath, Prof, DSU, Dr. Niranjan Appaswamy, Associate Prof, DSU, Dr. Shaila S.G, Chairperson, DS, DSU , Dr. M Shahina Parveen, Chairperson, CST, DSU.
</v>
      </c>
      <c r="H2" s="49" t="str">
        <f>IFERROR(__xludf.DUMMYFUNCTION("""COMPUTED_VALUE"""),"Kudlu Gate")</f>
        <v>Kudlu Gate</v>
      </c>
      <c r="I2" s="50" t="str">
        <f>IFERROR(__xludf.DUMMYFUNCTION("""COMPUTED_VALUE"""),"https://drive.google.com/open?id=1Tku65075BPt66QbeZjYqPRyK1YbveU22")</f>
        <v>https://drive.google.com/open?id=1Tku65075BPt66QbeZjYqPRyK1YbveU22</v>
      </c>
    </row>
    <row r="3">
      <c r="A3" s="49"/>
      <c r="B3" s="53">
        <f>IFERROR(__xludf.DUMMYFUNCTION("""COMPUTED_VALUE"""),45035.0)</f>
        <v>45035</v>
      </c>
      <c r="C3" s="49" t="str">
        <f>IFERROR(__xludf.DUMMYFUNCTION("""COMPUTED_VALUE"""),"University")</f>
        <v>University</v>
      </c>
      <c r="D3" s="49" t="str">
        <f>IFERROR(__xludf.DUMMYFUNCTION("""COMPUTED_VALUE"""),"Dr. Aleksandr Balashov, Attache &amp; Dr. Natalya Kartushina, professor")</f>
        <v>Dr. Aleksandr Balashov, Attache &amp; Dr. Natalya Kartushina, professor</v>
      </c>
      <c r="E3" s="49" t="str">
        <f>IFERROR(__xludf.DUMMYFUNCTION("""COMPUTED_VALUE"""),"MIET , RUSSIA")</f>
        <v>MIET , RUSSIA</v>
      </c>
      <c r="F3" s="49" t="str">
        <f>IFERROR(__xludf.DUMMYFUNCTION("""COMPUTED_VALUE"""),"SCMS UG")</f>
        <v>SCMS UG</v>
      </c>
      <c r="G3" s="49" t="str">
        <f>IFERROR(__xludf.DUMMYFUNCTION("""COMPUTED_VALUE"""),"Dayananda Sagar University, International Affairs Department organized a Meeting on April 19th, 2023 in Board room with National Research University of Electronic Technology.
Meeting with Dr. Aleksandr Balashov and Dr. Natalya Kartushina
The meeting"&amp;" started with a welcome address by Ms. Supriya Mathew, Vice president of International affairs &amp; Admissions DSU. The dignitaries on the Dias were Dr. K N Balasubrmanya Murthy, Vice Chancellor, DSU, Dr. Amit Bhatt, Pro Vice Chancellor, DSU Dr. Uday Kumar R"&amp;"eddy, Dean SoE, CSE, Dr.Kiran B Malagi, Chairman, Data Science AI &amp; Image, Dr. M. K. Banga, Dean, Research and Dr. Sampatrao L Pinjare , Prof, NMIT.
Introduction on MIET by Dr. Aleksandr Balashov and Dr. Natalya Kartushina, wonderfully explained Internat"&amp;"ional Study Opportunities at Russia, all the programs available, the importance of Collaboration between Universities, scholarships for DSU students.
")</f>
        <v>Dayananda Sagar University, International Affairs Department organized a Meeting on April 19th, 2023 in Board room with National Research University of Electronic Technology.
Meeting with Dr. Aleksandr Balashov and Dr. Natalya Kartushina
The meeting started with a welcome address by Ms. Supriya Mathew, Vice president of International affairs &amp; Admissions DSU. The dignitaries on the Dias were Dr. K N Balasubrmanya Murthy, Vice Chancellor, DSU, Dr. Amit Bhatt, Pro Vice Chancellor, DSU Dr. Uday Kumar Reddy, Dean SoE, CSE, Dr.Kiran B Malagi, Chairman, Data Science AI &amp; Image, Dr. M. K. Banga, Dean, Research and Dr. Sampatrao L Pinjare , Prof, NMIT.
Introduction on MIET by Dr. Aleksandr Balashov and Dr. Natalya Kartushina, wonderfully explained International Study Opportunities at Russia, all the programs available, the importance of Collaboration between Universities, scholarships for DSU students.
</v>
      </c>
      <c r="H3" s="49" t="str">
        <f>IFERROR(__xludf.DUMMYFUNCTION("""COMPUTED_VALUE"""),"Kudlu Gate")</f>
        <v>Kudlu Gate</v>
      </c>
      <c r="I3" s="50" t="str">
        <f>IFERROR(__xludf.DUMMYFUNCTION("""COMPUTED_VALUE"""),"https://drive.google.com/open?id=1lYDtn8FWZVvAaWq_7CT-OOumCCGmVbvI")</f>
        <v>https://drive.google.com/open?id=1lYDtn8FWZVvAaWq_7CT-OOumCCGmVbvI</v>
      </c>
    </row>
    <row r="4">
      <c r="A4" s="49"/>
      <c r="B4" s="53">
        <f>IFERROR(__xludf.DUMMYFUNCTION("""COMPUTED_VALUE"""),45204.0)</f>
        <v>45204</v>
      </c>
      <c r="C4" s="49" t="str">
        <f>IFERROR(__xludf.DUMMYFUNCTION("""COMPUTED_VALUE"""),"University")</f>
        <v>University</v>
      </c>
      <c r="D4" s="49" t="str">
        <f>IFERROR(__xludf.DUMMYFUNCTION("""COMPUTED_VALUE"""),"Dr.Samantha , Law head")</f>
        <v>Dr.Samantha , Law head</v>
      </c>
      <c r="E4" s="49" t="str">
        <f>IFERROR(__xludf.DUMMYFUNCTION("""COMPUTED_VALUE"""),"Staffordshire University")</f>
        <v>Staffordshire University</v>
      </c>
      <c r="F4" s="49" t="str">
        <f>IFERROR(__xludf.DUMMYFUNCTION("""COMPUTED_VALUE"""),"LAW")</f>
        <v>LAW</v>
      </c>
      <c r="G4" s="49" t="str">
        <f>IFERROR(__xludf.DUMMYFUNCTION("""COMPUTED_VALUE"""),"Continuation of discussions regarding collaboration in the field of law, building on a previous visit by Dr. Agnieszka.")</f>
        <v>Continuation of discussions regarding collaboration in the field of law, building on a previous visit by Dr. Agnieszka.</v>
      </c>
      <c r="H4" s="49" t="str">
        <f>IFERROR(__xludf.DUMMYFUNCTION("""COMPUTED_VALUE"""),"Kudlu Gate")</f>
        <v>Kudlu Gate</v>
      </c>
      <c r="I4" s="50" t="str">
        <f>IFERROR(__xludf.DUMMYFUNCTION("""COMPUTED_VALUE"""),"https://drive.google.com/open?id=1YuwXaYv_NFxCk5at6GnIXDtDURHswDBU")</f>
        <v>https://drive.google.com/open?id=1YuwXaYv_NFxCk5at6GnIXDtDURHswDBU</v>
      </c>
    </row>
    <row r="5">
      <c r="A5" s="49"/>
      <c r="B5" s="53">
        <f>IFERROR(__xludf.DUMMYFUNCTION("""COMPUTED_VALUE"""),45219.0)</f>
        <v>45219</v>
      </c>
      <c r="C5" s="49" t="str">
        <f>IFERROR(__xludf.DUMMYFUNCTION("""COMPUTED_VALUE"""),"University")</f>
        <v>University</v>
      </c>
      <c r="D5" s="49" t="str">
        <f>IFERROR(__xludf.DUMMYFUNCTION("""COMPUTED_VALUE"""),"Prof. Dr.-Ing. Bernd Markert, Director,Director of the Institute of General Mechanics (IAM), Dr. Helmut Dinger, Managing Director, Dr. Sandeep Patil, Director of India Office")</f>
        <v>Prof. Dr.-Ing. Bernd Markert, Director,Director of the Institute of General Mechanics (IAM), Dr. Helmut Dinger, Managing Director, Dr. Sandeep Patil, Director of India Office</v>
      </c>
      <c r="E5" s="49" t="str">
        <f>IFERROR(__xludf.DUMMYFUNCTION("""COMPUTED_VALUE"""),"RWTH International Academy")</f>
        <v>RWTH International Academy</v>
      </c>
      <c r="F5" s="49" t="str">
        <f>IFERROR(__xludf.DUMMYFUNCTION("""COMPUTED_VALUE"""),"DSU")</f>
        <v>DSU</v>
      </c>
      <c r="G5" s="49" t="str">
        <f>IFERROR(__xludf.DUMMYFUNCTION("""COMPUTED_VALUE"""),"MOU Exchange ceremony with RWTH Aachen University &amp; partnership discussions")</f>
        <v>MOU Exchange ceremony with RWTH Aachen University &amp; partnership discussions</v>
      </c>
      <c r="H5" s="49" t="str">
        <f>IFERROR(__xludf.DUMMYFUNCTION("""COMPUTED_VALUE"""),"Harohalli")</f>
        <v>Harohalli</v>
      </c>
      <c r="I5" s="50" t="str">
        <f>IFERROR(__xludf.DUMMYFUNCTION("""COMPUTED_VALUE"""),"https://drive.google.com/open?id=1pKl4OOQaLTYhHtIzwH2l0K5hrNpHvOr1")</f>
        <v>https://drive.google.com/open?id=1pKl4OOQaLTYhHtIzwH2l0K5hrNpHvOr1</v>
      </c>
    </row>
    <row r="6">
      <c r="A6" s="49"/>
      <c r="B6" s="53">
        <f>IFERROR(__xludf.DUMMYFUNCTION("""COMPUTED_VALUE"""),45230.0)</f>
        <v>45230</v>
      </c>
      <c r="C6" s="49" t="str">
        <f>IFERROR(__xludf.DUMMYFUNCTION("""COMPUTED_VALUE"""),"University")</f>
        <v>University</v>
      </c>
      <c r="D6" s="49" t="str">
        <f>IFERROR(__xludf.DUMMYFUNCTION("""COMPUTED_VALUE"""),"Mr. Peter Ling, Ex CEO and current Group Advisor, Ms. Aida Mirhadi Group CFO, Limkokwing University,Malaysia")</f>
        <v>Mr. Peter Ling, Ex CEO and current Group Advisor, Ms. Aida Mirhadi Group CFO, Limkokwing University,Malaysia</v>
      </c>
      <c r="E6" s="49" t="str">
        <f>IFERROR(__xludf.DUMMYFUNCTION("""COMPUTED_VALUE"""),"Limkokwing University,Malaysia")</f>
        <v>Limkokwing University,Malaysia</v>
      </c>
      <c r="F6" s="49" t="str">
        <f>IFERROR(__xludf.DUMMYFUNCTION("""COMPUTED_VALUE"""),"DSU")</f>
        <v>DSU</v>
      </c>
      <c r="G6" s="49" t="str">
        <f>IFERROR(__xludf.DUMMYFUNCTION("""COMPUTED_VALUE"""),"MOU signing with Limkokwing University,Malaysia and DSU")</f>
        <v>MOU signing with Limkokwing University,Malaysia and DSU</v>
      </c>
      <c r="H6" s="49" t="str">
        <f>IFERROR(__xludf.DUMMYFUNCTION("""COMPUTED_VALUE"""),"Harohalli")</f>
        <v>Harohalli</v>
      </c>
      <c r="I6" s="50" t="str">
        <f>IFERROR(__xludf.DUMMYFUNCTION("""COMPUTED_VALUE"""),"https://drive.google.com/open?id=15XsHMU-pMrt6hhYMZ46CnMaGXSoz_H6j")</f>
        <v>https://drive.google.com/open?id=15XsHMU-pMrt6hhYMZ46CnMaGXSoz_H6j</v>
      </c>
    </row>
    <row r="7">
      <c r="A7" s="49"/>
      <c r="B7" s="53">
        <f>IFERROR(__xludf.DUMMYFUNCTION("""COMPUTED_VALUE"""),45267.0)</f>
        <v>45267</v>
      </c>
      <c r="C7" s="49" t="str">
        <f>IFERROR(__xludf.DUMMYFUNCTION("""COMPUTED_VALUE"""),"University")</f>
        <v>University</v>
      </c>
      <c r="D7" s="49" t="str">
        <f>IFERROR(__xludf.DUMMYFUNCTION("""COMPUTED_VALUE"""),"Dr. Pawan Kumar Mishra, Professor, Doc. Ing. Svatopluk Kapounek, Ph.D., Faculty of Business and Economics, Bc. Eliska Fojitikova, Rector's office")</f>
        <v>Dr. Pawan Kumar Mishra, Professor, Doc. Ing. Svatopluk Kapounek, Ph.D., Faculty of Business and Economics, Bc. Eliska Fojitikova, Rector's office</v>
      </c>
      <c r="E7" s="49" t="str">
        <f>IFERROR(__xludf.DUMMYFUNCTION("""COMPUTED_VALUE"""),"Mendel University, Czech Republic")</f>
        <v>Mendel University, Czech Republic</v>
      </c>
      <c r="F7" s="49" t="str">
        <f>IFERROR(__xludf.DUMMYFUNCTION("""COMPUTED_VALUE"""),"DSU")</f>
        <v>DSU</v>
      </c>
      <c r="G7" s="49" t="str">
        <f>IFERROR(__xludf.DUMMYFUNCTION("""COMPUTED_VALUE"""),"Meeting with Dr. KNB Murthy, Ms. Supriya Mathew, Dr. Kaushalya, Dr. Uday Kumar Reddy")</f>
        <v>Meeting with Dr. KNB Murthy, Ms. Supriya Mathew, Dr. Kaushalya, Dr. Uday Kumar Reddy</v>
      </c>
      <c r="H7" s="49" t="str">
        <f>IFERROR(__xludf.DUMMYFUNCTION("""COMPUTED_VALUE"""),"Kudlu Gate")</f>
        <v>Kudlu Gate</v>
      </c>
      <c r="I7" s="50" t="str">
        <f>IFERROR(__xludf.DUMMYFUNCTION("""COMPUTED_VALUE"""),"https://drive.google.com/open?id=1u1Xfs6Ub1AL3XgwBYhnW636NabqC30bD")</f>
        <v>https://drive.google.com/open?id=1u1Xfs6Ub1AL3XgwBYhnW636NabqC30bD</v>
      </c>
    </row>
    <row r="8">
      <c r="A8" s="49"/>
      <c r="B8" s="53">
        <f>IFERROR(__xludf.DUMMYFUNCTION("""COMPUTED_VALUE"""),45422.0)</f>
        <v>45422</v>
      </c>
      <c r="C8" s="49" t="str">
        <f>IFERROR(__xludf.DUMMYFUNCTION("""COMPUTED_VALUE"""),"Corporate")</f>
        <v>Corporate</v>
      </c>
      <c r="D8" s="49" t="str">
        <f>IFERROR(__xludf.DUMMYFUNCTION("""COMPUTED_VALUE"""),"Mr. Mayank, CEO Aariyah, Canada")</f>
        <v>Mr. Mayank, CEO Aariyah, Canada</v>
      </c>
      <c r="E8" s="49" t="str">
        <f>IFERROR(__xludf.DUMMYFUNCTION("""COMPUTED_VALUE"""),"Aariyah, Cananda, A placement agency")</f>
        <v>Aariyah, Cananda, A placement agency</v>
      </c>
      <c r="F8" s="49" t="str">
        <f>IFERROR(__xludf.DUMMYFUNCTION("""COMPUTED_VALUE"""),"DSU")</f>
        <v>DSU</v>
      </c>
      <c r="G8" s="49" t="str">
        <f>IFERROR(__xludf.DUMMYFUNCTION("""COMPUTED_VALUE"""),"Partnership discussion with Ms. Supriya Mathew, VP International Affairs")</f>
        <v>Partnership discussion with Ms. Supriya Mathew, VP International Affairs</v>
      </c>
      <c r="H8" s="49" t="str">
        <f>IFERROR(__xludf.DUMMYFUNCTION("""COMPUTED_VALUE"""),"Kudlu Gate")</f>
        <v>Kudlu Gate</v>
      </c>
      <c r="I8" s="50" t="str">
        <f>IFERROR(__xludf.DUMMYFUNCTION("""COMPUTED_VALUE"""),"https://drive.google.com/open?id=1yzpeuwUZoDCqJ6UmbD4-jo7shDgEJztu")</f>
        <v>https://drive.google.com/open?id=1yzpeuwUZoDCqJ6UmbD4-jo7shDgEJztu</v>
      </c>
    </row>
    <row r="9">
      <c r="A9" s="49"/>
      <c r="B9" s="49"/>
      <c r="C9" s="49"/>
      <c r="D9" s="49"/>
      <c r="E9" s="49"/>
      <c r="F9" s="49"/>
      <c r="G9" s="49"/>
      <c r="H9" s="49"/>
      <c r="I9" s="49"/>
    </row>
    <row r="10">
      <c r="A10" s="49"/>
      <c r="B10" s="49"/>
      <c r="C10" s="49"/>
      <c r="D10" s="49"/>
      <c r="E10" s="49"/>
      <c r="F10" s="49"/>
      <c r="G10" s="49"/>
      <c r="H10" s="49"/>
      <c r="I10" s="49"/>
    </row>
    <row r="11">
      <c r="A11" s="49"/>
      <c r="B11" s="49"/>
      <c r="C11" s="49"/>
      <c r="D11" s="49"/>
      <c r="E11" s="49"/>
      <c r="F11" s="49"/>
      <c r="G11" s="49"/>
      <c r="H11" s="49"/>
      <c r="I11" s="49"/>
    </row>
    <row r="12">
      <c r="A12" s="49"/>
      <c r="B12" s="49"/>
      <c r="C12" s="49"/>
      <c r="D12" s="49"/>
      <c r="E12" s="49"/>
      <c r="F12" s="49"/>
      <c r="G12" s="49"/>
      <c r="H12" s="49"/>
      <c r="I12" s="49"/>
    </row>
    <row r="13">
      <c r="A13" s="49"/>
      <c r="B13" s="49"/>
      <c r="C13" s="49"/>
      <c r="D13" s="49"/>
      <c r="E13" s="49"/>
      <c r="F13" s="49"/>
      <c r="G13" s="49"/>
      <c r="H13" s="49"/>
      <c r="I13" s="49"/>
    </row>
    <row r="14">
      <c r="A14" s="49"/>
      <c r="B14" s="49"/>
      <c r="C14" s="49"/>
      <c r="D14" s="49"/>
      <c r="E14" s="49"/>
      <c r="F14" s="49"/>
      <c r="G14" s="49"/>
      <c r="H14" s="49"/>
      <c r="I14" s="49"/>
    </row>
    <row r="15">
      <c r="A15" s="49"/>
      <c r="B15" s="49"/>
      <c r="C15" s="49"/>
      <c r="D15" s="49"/>
      <c r="E15" s="49"/>
      <c r="F15" s="49"/>
      <c r="G15" s="49"/>
      <c r="H15" s="49"/>
      <c r="I15" s="49"/>
    </row>
    <row r="16">
      <c r="A16" s="49"/>
      <c r="B16" s="49"/>
      <c r="C16" s="49"/>
      <c r="D16" s="49"/>
      <c r="E16" s="49"/>
      <c r="F16" s="49"/>
      <c r="G16" s="49"/>
      <c r="H16" s="49"/>
      <c r="I16" s="49"/>
    </row>
    <row r="17">
      <c r="A17" s="49"/>
      <c r="B17" s="49"/>
      <c r="C17" s="49"/>
      <c r="D17" s="49"/>
      <c r="E17" s="49"/>
      <c r="F17" s="49"/>
      <c r="G17" s="49"/>
      <c r="H17" s="49"/>
      <c r="I17" s="49"/>
    </row>
    <row r="18">
      <c r="A18" s="49"/>
      <c r="B18" s="49"/>
      <c r="C18" s="49"/>
      <c r="D18" s="49"/>
      <c r="E18" s="49"/>
      <c r="F18" s="49"/>
      <c r="G18" s="49"/>
      <c r="H18" s="49"/>
      <c r="I18" s="49"/>
    </row>
    <row r="19">
      <c r="A19" s="49"/>
      <c r="B19" s="49"/>
      <c r="C19" s="49"/>
      <c r="D19" s="49"/>
      <c r="E19" s="49"/>
      <c r="F19" s="49"/>
      <c r="G19" s="49"/>
      <c r="H19" s="49"/>
      <c r="I19" s="49"/>
    </row>
    <row r="20">
      <c r="A20" s="49"/>
      <c r="B20" s="49"/>
      <c r="C20" s="49"/>
      <c r="D20" s="49"/>
      <c r="E20" s="49"/>
      <c r="F20" s="49"/>
      <c r="G20" s="49"/>
      <c r="H20" s="49"/>
      <c r="I20" s="49"/>
    </row>
    <row r="21">
      <c r="A21" s="49"/>
      <c r="B21" s="49"/>
      <c r="C21" s="49"/>
      <c r="D21" s="49"/>
      <c r="E21" s="49"/>
      <c r="F21" s="49"/>
      <c r="G21" s="49"/>
      <c r="H21" s="49"/>
      <c r="I21" s="49"/>
    </row>
    <row r="22">
      <c r="A22" s="49"/>
      <c r="B22" s="49"/>
      <c r="C22" s="49"/>
      <c r="D22" s="49"/>
      <c r="E22" s="49"/>
      <c r="F22" s="49"/>
      <c r="G22" s="49"/>
      <c r="H22" s="49"/>
      <c r="I22" s="49"/>
    </row>
    <row r="23">
      <c r="A23" s="49"/>
      <c r="B23" s="49"/>
      <c r="C23" s="49"/>
      <c r="D23" s="49"/>
      <c r="E23" s="49"/>
      <c r="F23" s="49"/>
      <c r="G23" s="49"/>
      <c r="H23" s="49"/>
      <c r="I23" s="49"/>
    </row>
    <row r="24">
      <c r="A24" s="49"/>
      <c r="B24" s="49"/>
      <c r="C24" s="49"/>
      <c r="D24" s="49"/>
      <c r="E24" s="49"/>
      <c r="F24" s="49"/>
      <c r="G24" s="49"/>
      <c r="H24" s="49"/>
      <c r="I24" s="49"/>
    </row>
    <row r="25">
      <c r="A25" s="49"/>
      <c r="B25" s="49"/>
      <c r="C25" s="49"/>
      <c r="D25" s="49"/>
      <c r="E25" s="49"/>
      <c r="F25" s="49"/>
      <c r="G25" s="49"/>
      <c r="H25" s="49"/>
      <c r="I25" s="49"/>
    </row>
    <row r="26">
      <c r="A26" s="49"/>
      <c r="B26" s="49"/>
      <c r="C26" s="49"/>
      <c r="D26" s="49"/>
      <c r="E26" s="49"/>
      <c r="F26" s="49"/>
      <c r="G26" s="49"/>
      <c r="H26" s="49"/>
      <c r="I26" s="49"/>
    </row>
    <row r="27">
      <c r="A27" s="49"/>
      <c r="B27" s="49"/>
      <c r="C27" s="49"/>
      <c r="D27" s="49"/>
      <c r="E27" s="49"/>
      <c r="F27" s="49"/>
      <c r="G27" s="49"/>
      <c r="H27" s="49"/>
      <c r="I27" s="49"/>
    </row>
    <row r="28">
      <c r="A28" s="49"/>
      <c r="B28" s="49"/>
      <c r="C28" s="49"/>
      <c r="D28" s="49"/>
      <c r="E28" s="49"/>
      <c r="F28" s="49"/>
      <c r="G28" s="49"/>
      <c r="H28" s="49"/>
      <c r="I28" s="49"/>
    </row>
    <row r="29">
      <c r="A29" s="49"/>
      <c r="B29" s="49"/>
      <c r="C29" s="49"/>
      <c r="D29" s="49"/>
      <c r="E29" s="49"/>
      <c r="F29" s="49"/>
      <c r="G29" s="49"/>
      <c r="H29" s="49"/>
      <c r="I29" s="49"/>
    </row>
    <row r="30">
      <c r="A30" s="49"/>
      <c r="B30" s="49"/>
      <c r="C30" s="49"/>
      <c r="D30" s="49"/>
      <c r="E30" s="49"/>
      <c r="F30" s="49"/>
      <c r="G30" s="49"/>
      <c r="H30" s="49"/>
      <c r="I30" s="49"/>
    </row>
    <row r="31">
      <c r="A31" s="49"/>
      <c r="B31" s="49"/>
      <c r="C31" s="49"/>
      <c r="D31" s="49"/>
      <c r="E31" s="49"/>
      <c r="F31" s="49"/>
      <c r="G31" s="49"/>
      <c r="H31" s="49"/>
      <c r="I31" s="49"/>
    </row>
    <row r="32">
      <c r="A32" s="49"/>
      <c r="B32" s="49"/>
      <c r="C32" s="49"/>
      <c r="D32" s="49"/>
      <c r="E32" s="49"/>
      <c r="F32" s="49"/>
      <c r="G32" s="49"/>
      <c r="H32" s="49"/>
      <c r="I32" s="49"/>
    </row>
    <row r="33">
      <c r="A33" s="49"/>
      <c r="B33" s="49"/>
      <c r="C33" s="49"/>
      <c r="D33" s="49"/>
      <c r="E33" s="49"/>
      <c r="F33" s="49"/>
      <c r="G33" s="49"/>
      <c r="H33" s="49"/>
      <c r="I33" s="49"/>
    </row>
    <row r="34">
      <c r="A34" s="49"/>
      <c r="B34" s="49"/>
      <c r="C34" s="49"/>
      <c r="D34" s="49"/>
      <c r="E34" s="49"/>
      <c r="F34" s="49"/>
      <c r="G34" s="49"/>
      <c r="H34" s="49"/>
      <c r="I34" s="49"/>
    </row>
    <row r="35">
      <c r="A35" s="49"/>
      <c r="B35" s="49"/>
      <c r="C35" s="49"/>
      <c r="D35" s="49"/>
      <c r="E35" s="49"/>
      <c r="F35" s="49"/>
      <c r="G35" s="49"/>
      <c r="H35" s="49"/>
      <c r="I35" s="49"/>
    </row>
    <row r="36">
      <c r="A36" s="49"/>
      <c r="B36" s="49"/>
      <c r="C36" s="49"/>
      <c r="D36" s="49"/>
      <c r="E36" s="49"/>
      <c r="F36" s="49"/>
      <c r="G36" s="49"/>
      <c r="H36" s="49"/>
      <c r="I36" s="49"/>
    </row>
    <row r="37">
      <c r="A37" s="49"/>
      <c r="B37" s="49"/>
      <c r="C37" s="49"/>
      <c r="D37" s="49"/>
      <c r="E37" s="49"/>
      <c r="F37" s="49"/>
      <c r="G37" s="49"/>
      <c r="H37" s="49"/>
      <c r="I37" s="49"/>
    </row>
    <row r="38">
      <c r="A38" s="49"/>
      <c r="B38" s="49"/>
      <c r="C38" s="49"/>
      <c r="D38" s="49"/>
      <c r="E38" s="49"/>
      <c r="F38" s="49"/>
      <c r="G38" s="49"/>
      <c r="H38" s="49"/>
      <c r="I38" s="49"/>
    </row>
    <row r="39">
      <c r="A39" s="49"/>
      <c r="B39" s="49"/>
      <c r="C39" s="49"/>
      <c r="D39" s="49"/>
      <c r="E39" s="49"/>
      <c r="F39" s="49"/>
      <c r="G39" s="49"/>
      <c r="H39" s="49"/>
      <c r="I39" s="49"/>
    </row>
    <row r="40">
      <c r="A40" s="49"/>
      <c r="B40" s="49"/>
      <c r="C40" s="49"/>
      <c r="D40" s="49"/>
      <c r="E40" s="49"/>
      <c r="F40" s="49"/>
      <c r="G40" s="49"/>
      <c r="H40" s="49"/>
      <c r="I40" s="49"/>
    </row>
    <row r="41">
      <c r="A41" s="49"/>
      <c r="B41" s="49"/>
      <c r="C41" s="49"/>
      <c r="D41" s="49"/>
      <c r="E41" s="49"/>
      <c r="F41" s="49"/>
      <c r="G41" s="49"/>
      <c r="H41" s="49"/>
      <c r="I41" s="49"/>
    </row>
    <row r="42">
      <c r="A42" s="49"/>
      <c r="B42" s="49"/>
      <c r="C42" s="49"/>
      <c r="D42" s="49"/>
      <c r="E42" s="49"/>
      <c r="F42" s="49"/>
      <c r="G42" s="49"/>
      <c r="H42" s="49"/>
      <c r="I42" s="49"/>
    </row>
    <row r="43">
      <c r="A43" s="49"/>
      <c r="B43" s="49"/>
      <c r="C43" s="49"/>
      <c r="D43" s="49"/>
      <c r="E43" s="49"/>
      <c r="F43" s="49"/>
      <c r="G43" s="49"/>
      <c r="H43" s="49"/>
      <c r="I43" s="49"/>
    </row>
    <row r="44">
      <c r="A44" s="49"/>
      <c r="B44" s="49"/>
      <c r="C44" s="49"/>
      <c r="D44" s="49"/>
      <c r="E44" s="49"/>
      <c r="F44" s="49"/>
      <c r="G44" s="49"/>
      <c r="H44" s="49"/>
      <c r="I44" s="49"/>
    </row>
    <row r="45">
      <c r="A45" s="49"/>
      <c r="B45" s="49"/>
      <c r="C45" s="49"/>
      <c r="D45" s="49"/>
      <c r="E45" s="49"/>
      <c r="F45" s="49"/>
      <c r="G45" s="49"/>
      <c r="H45" s="49"/>
      <c r="I45" s="49"/>
    </row>
    <row r="46">
      <c r="A46" s="49"/>
      <c r="B46" s="49"/>
      <c r="C46" s="49"/>
      <c r="D46" s="49"/>
      <c r="E46" s="49"/>
      <c r="F46" s="49"/>
      <c r="G46" s="49"/>
      <c r="H46" s="49"/>
      <c r="I46" s="49"/>
    </row>
    <row r="47">
      <c r="A47" s="49"/>
      <c r="B47" s="49"/>
      <c r="C47" s="49"/>
      <c r="D47" s="49"/>
      <c r="E47" s="49"/>
      <c r="F47" s="49"/>
      <c r="G47" s="49"/>
      <c r="H47" s="49"/>
      <c r="I47" s="49"/>
    </row>
    <row r="48">
      <c r="A48" s="49"/>
      <c r="B48" s="49"/>
      <c r="C48" s="49"/>
      <c r="D48" s="49"/>
      <c r="E48" s="49"/>
      <c r="F48" s="49"/>
      <c r="G48" s="49"/>
      <c r="H48" s="49"/>
      <c r="I48" s="49"/>
    </row>
    <row r="49">
      <c r="A49" s="49"/>
      <c r="B49" s="49"/>
      <c r="C49" s="49"/>
      <c r="D49" s="49"/>
      <c r="E49" s="49"/>
      <c r="F49" s="49"/>
      <c r="G49" s="49"/>
      <c r="H49" s="49"/>
      <c r="I49" s="49"/>
    </row>
    <row r="50">
      <c r="A50" s="49"/>
      <c r="B50" s="49"/>
      <c r="C50" s="49"/>
      <c r="D50" s="49"/>
      <c r="E50" s="49"/>
      <c r="F50" s="49"/>
      <c r="G50" s="49"/>
      <c r="H50" s="49"/>
      <c r="I50" s="49"/>
    </row>
    <row r="51">
      <c r="A51" s="49"/>
      <c r="B51" s="49"/>
      <c r="C51" s="49"/>
      <c r="D51" s="49"/>
      <c r="E51" s="49"/>
      <c r="F51" s="49"/>
      <c r="G51" s="49"/>
      <c r="H51" s="49"/>
      <c r="I51" s="49"/>
    </row>
    <row r="52">
      <c r="A52" s="49"/>
      <c r="B52" s="49"/>
      <c r="C52" s="49"/>
      <c r="D52" s="49"/>
      <c r="E52" s="49"/>
      <c r="F52" s="49"/>
      <c r="G52" s="49"/>
      <c r="H52" s="49"/>
      <c r="I52" s="49"/>
    </row>
    <row r="53">
      <c r="A53" s="49"/>
      <c r="B53" s="49"/>
      <c r="C53" s="49"/>
      <c r="D53" s="49"/>
      <c r="E53" s="49"/>
      <c r="F53" s="49"/>
      <c r="G53" s="49"/>
      <c r="H53" s="49"/>
      <c r="I53" s="49"/>
    </row>
    <row r="54">
      <c r="A54" s="49"/>
      <c r="B54" s="49"/>
      <c r="C54" s="49"/>
      <c r="D54" s="49"/>
      <c r="E54" s="49"/>
      <c r="F54" s="49"/>
      <c r="G54" s="49"/>
      <c r="H54" s="49"/>
      <c r="I54" s="49"/>
    </row>
    <row r="55">
      <c r="A55" s="49"/>
      <c r="B55" s="49"/>
      <c r="C55" s="49"/>
      <c r="D55" s="49"/>
      <c r="E55" s="49"/>
      <c r="F55" s="49"/>
      <c r="G55" s="49"/>
      <c r="H55" s="49"/>
      <c r="I55" s="49"/>
    </row>
    <row r="56">
      <c r="A56" s="49"/>
      <c r="B56" s="49"/>
      <c r="C56" s="49"/>
      <c r="D56" s="49"/>
      <c r="E56" s="49"/>
      <c r="F56" s="49"/>
      <c r="G56" s="49"/>
      <c r="H56" s="49"/>
      <c r="I56" s="49"/>
    </row>
    <row r="57">
      <c r="A57" s="49"/>
      <c r="B57" s="49"/>
      <c r="C57" s="49"/>
      <c r="D57" s="49"/>
      <c r="E57" s="49"/>
      <c r="F57" s="49"/>
      <c r="G57" s="49"/>
      <c r="H57" s="49"/>
      <c r="I57" s="49"/>
    </row>
    <row r="58">
      <c r="A58" s="49"/>
      <c r="B58" s="49"/>
      <c r="C58" s="49"/>
      <c r="D58" s="49"/>
      <c r="E58" s="49"/>
      <c r="F58" s="49"/>
      <c r="G58" s="49"/>
      <c r="H58" s="49"/>
      <c r="I58" s="49"/>
    </row>
    <row r="59">
      <c r="A59" s="49"/>
      <c r="B59" s="49"/>
      <c r="C59" s="49"/>
      <c r="D59" s="49"/>
      <c r="E59" s="49"/>
      <c r="F59" s="49"/>
      <c r="G59" s="49"/>
      <c r="H59" s="49"/>
      <c r="I59" s="49"/>
    </row>
    <row r="60">
      <c r="A60" s="49"/>
      <c r="B60" s="49"/>
      <c r="C60" s="49"/>
      <c r="D60" s="49"/>
      <c r="E60" s="49"/>
      <c r="F60" s="49"/>
      <c r="G60" s="49"/>
      <c r="H60" s="49"/>
      <c r="I60" s="49"/>
    </row>
    <row r="61">
      <c r="A61" s="49"/>
      <c r="B61" s="49"/>
      <c r="C61" s="49"/>
      <c r="D61" s="49"/>
      <c r="E61" s="49"/>
      <c r="F61" s="49"/>
      <c r="G61" s="49"/>
      <c r="H61" s="49"/>
      <c r="I61" s="49"/>
    </row>
    <row r="62">
      <c r="A62" s="49"/>
      <c r="B62" s="49"/>
      <c r="C62" s="49"/>
      <c r="D62" s="49"/>
      <c r="E62" s="49"/>
      <c r="F62" s="49"/>
      <c r="G62" s="49"/>
      <c r="H62" s="49"/>
      <c r="I62" s="49"/>
    </row>
    <row r="63">
      <c r="A63" s="49"/>
      <c r="B63" s="49"/>
      <c r="C63" s="49"/>
      <c r="D63" s="49"/>
      <c r="E63" s="49"/>
      <c r="F63" s="49"/>
      <c r="G63" s="49"/>
      <c r="H63" s="49"/>
      <c r="I63" s="49"/>
    </row>
    <row r="64">
      <c r="A64" s="49"/>
      <c r="B64" s="49"/>
      <c r="C64" s="49"/>
      <c r="D64" s="49"/>
      <c r="E64" s="49"/>
      <c r="F64" s="49"/>
      <c r="G64" s="49"/>
      <c r="H64" s="49"/>
      <c r="I64" s="49"/>
    </row>
    <row r="65">
      <c r="A65" s="49"/>
      <c r="B65" s="49"/>
      <c r="C65" s="49"/>
      <c r="D65" s="49"/>
      <c r="E65" s="49"/>
      <c r="F65" s="49"/>
      <c r="G65" s="49"/>
      <c r="H65" s="49"/>
      <c r="I65" s="49"/>
    </row>
    <row r="66">
      <c r="A66" s="49"/>
      <c r="B66" s="49"/>
      <c r="C66" s="49"/>
      <c r="D66" s="49"/>
      <c r="E66" s="49"/>
      <c r="F66" s="49"/>
      <c r="G66" s="49"/>
      <c r="H66" s="49"/>
      <c r="I66" s="49"/>
    </row>
    <row r="67">
      <c r="A67" s="49"/>
      <c r="B67" s="49"/>
      <c r="C67" s="49"/>
      <c r="D67" s="49"/>
      <c r="E67" s="49"/>
      <c r="F67" s="49"/>
      <c r="G67" s="49"/>
      <c r="H67" s="49"/>
      <c r="I67" s="49"/>
    </row>
    <row r="68">
      <c r="A68" s="49"/>
      <c r="B68" s="49"/>
      <c r="C68" s="49"/>
      <c r="D68" s="49"/>
      <c r="E68" s="49"/>
      <c r="F68" s="49"/>
      <c r="G68" s="49"/>
      <c r="H68" s="49"/>
      <c r="I68" s="49"/>
    </row>
    <row r="69">
      <c r="A69" s="49"/>
      <c r="B69" s="49"/>
      <c r="C69" s="49"/>
      <c r="D69" s="49"/>
      <c r="E69" s="49"/>
      <c r="F69" s="49"/>
      <c r="G69" s="49"/>
      <c r="H69" s="49"/>
      <c r="I69" s="49"/>
    </row>
    <row r="70">
      <c r="A70" s="49"/>
      <c r="B70" s="49"/>
      <c r="C70" s="49"/>
      <c r="D70" s="49"/>
      <c r="E70" s="49"/>
      <c r="F70" s="49"/>
      <c r="G70" s="49"/>
      <c r="H70" s="49"/>
      <c r="I70" s="49"/>
    </row>
    <row r="71">
      <c r="A71" s="49"/>
      <c r="B71" s="49"/>
      <c r="C71" s="49"/>
      <c r="D71" s="49"/>
      <c r="E71" s="49"/>
      <c r="F71" s="49"/>
      <c r="G71" s="49"/>
      <c r="H71" s="49"/>
      <c r="I71" s="49"/>
    </row>
    <row r="72">
      <c r="A72" s="49"/>
      <c r="B72" s="49"/>
      <c r="C72" s="49"/>
      <c r="D72" s="49"/>
      <c r="E72" s="49"/>
      <c r="F72" s="49"/>
      <c r="G72" s="49"/>
      <c r="H72" s="49"/>
      <c r="I72" s="49"/>
    </row>
    <row r="73">
      <c r="A73" s="49"/>
      <c r="B73" s="49"/>
      <c r="C73" s="49"/>
      <c r="D73" s="49"/>
      <c r="E73" s="49"/>
      <c r="F73" s="49"/>
      <c r="G73" s="49"/>
      <c r="H73" s="49"/>
      <c r="I73" s="49"/>
    </row>
    <row r="74">
      <c r="A74" s="49"/>
      <c r="B74" s="49"/>
      <c r="C74" s="49"/>
      <c r="D74" s="49"/>
      <c r="E74" s="49"/>
      <c r="F74" s="49"/>
      <c r="G74" s="49"/>
      <c r="H74" s="49"/>
      <c r="I74" s="49"/>
    </row>
    <row r="75">
      <c r="A75" s="49"/>
      <c r="B75" s="49"/>
      <c r="C75" s="49"/>
      <c r="D75" s="49"/>
      <c r="E75" s="49"/>
      <c r="F75" s="49"/>
      <c r="G75" s="49"/>
      <c r="H75" s="49"/>
      <c r="I75" s="49"/>
    </row>
    <row r="76">
      <c r="A76" s="49"/>
      <c r="B76" s="49"/>
      <c r="C76" s="49"/>
      <c r="D76" s="49"/>
      <c r="E76" s="49"/>
      <c r="F76" s="49"/>
      <c r="G76" s="49"/>
      <c r="H76" s="49"/>
      <c r="I76" s="49"/>
    </row>
    <row r="77">
      <c r="A77" s="49"/>
      <c r="B77" s="49"/>
      <c r="C77" s="49"/>
      <c r="D77" s="49"/>
      <c r="E77" s="49"/>
      <c r="F77" s="49"/>
      <c r="G77" s="49"/>
      <c r="H77" s="49"/>
      <c r="I77" s="49"/>
    </row>
    <row r="78">
      <c r="A78" s="49"/>
      <c r="B78" s="49"/>
      <c r="C78" s="49"/>
      <c r="D78" s="49"/>
      <c r="E78" s="49"/>
      <c r="F78" s="49"/>
      <c r="G78" s="49"/>
      <c r="H78" s="49"/>
      <c r="I78" s="49"/>
    </row>
    <row r="79">
      <c r="A79" s="49"/>
      <c r="B79" s="49"/>
      <c r="C79" s="49"/>
      <c r="D79" s="49"/>
      <c r="E79" s="49"/>
      <c r="F79" s="49"/>
      <c r="G79" s="49"/>
      <c r="H79" s="49"/>
      <c r="I79" s="49"/>
    </row>
    <row r="80">
      <c r="A80" s="49"/>
      <c r="B80" s="49"/>
      <c r="C80" s="49"/>
      <c r="D80" s="49"/>
      <c r="E80" s="49"/>
      <c r="F80" s="49"/>
      <c r="G80" s="49"/>
      <c r="H80" s="49"/>
      <c r="I80" s="49"/>
    </row>
    <row r="81">
      <c r="A81" s="49"/>
      <c r="B81" s="49"/>
      <c r="C81" s="49"/>
      <c r="D81" s="49"/>
      <c r="E81" s="49"/>
      <c r="F81" s="49"/>
      <c r="G81" s="49"/>
      <c r="H81" s="49"/>
      <c r="I81" s="49"/>
    </row>
    <row r="82">
      <c r="A82" s="49"/>
      <c r="B82" s="49"/>
      <c r="C82" s="49"/>
      <c r="D82" s="49"/>
      <c r="E82" s="49"/>
      <c r="F82" s="49"/>
      <c r="G82" s="49"/>
      <c r="H82" s="49"/>
      <c r="I82" s="49"/>
    </row>
    <row r="83">
      <c r="A83" s="49"/>
      <c r="B83" s="49"/>
      <c r="C83" s="49"/>
      <c r="D83" s="49"/>
      <c r="E83" s="49"/>
      <c r="F83" s="49"/>
      <c r="G83" s="49"/>
      <c r="H83" s="49"/>
      <c r="I83" s="49"/>
    </row>
    <row r="84">
      <c r="A84" s="49"/>
      <c r="B84" s="49"/>
      <c r="C84" s="49"/>
      <c r="D84" s="49"/>
      <c r="E84" s="49"/>
      <c r="F84" s="49"/>
      <c r="G84" s="49"/>
      <c r="H84" s="49"/>
      <c r="I84" s="49"/>
    </row>
    <row r="85">
      <c r="A85" s="49"/>
      <c r="B85" s="49"/>
      <c r="C85" s="49"/>
      <c r="D85" s="49"/>
      <c r="E85" s="49"/>
      <c r="F85" s="49"/>
      <c r="G85" s="49"/>
      <c r="H85" s="49"/>
      <c r="I85" s="49"/>
    </row>
    <row r="86">
      <c r="A86" s="49"/>
      <c r="B86" s="49"/>
      <c r="C86" s="49"/>
      <c r="D86" s="49"/>
      <c r="E86" s="49"/>
      <c r="F86" s="49"/>
      <c r="G86" s="49"/>
      <c r="H86" s="49"/>
      <c r="I86" s="49"/>
    </row>
    <row r="87">
      <c r="A87" s="49"/>
      <c r="B87" s="49"/>
      <c r="C87" s="49"/>
      <c r="D87" s="49"/>
      <c r="E87" s="49"/>
      <c r="F87" s="49"/>
      <c r="G87" s="49"/>
      <c r="H87" s="49"/>
      <c r="I87" s="49"/>
    </row>
    <row r="88">
      <c r="A88" s="49"/>
      <c r="B88" s="49"/>
      <c r="C88" s="49"/>
      <c r="D88" s="49"/>
      <c r="E88" s="49"/>
      <c r="F88" s="49"/>
      <c r="G88" s="49"/>
      <c r="H88" s="49"/>
      <c r="I88" s="49"/>
    </row>
    <row r="89">
      <c r="A89" s="49"/>
      <c r="B89" s="49"/>
      <c r="C89" s="49"/>
      <c r="D89" s="49"/>
      <c r="E89" s="49"/>
      <c r="F89" s="49"/>
      <c r="G89" s="49"/>
      <c r="H89" s="49"/>
      <c r="I89" s="49"/>
    </row>
    <row r="90">
      <c r="A90" s="49"/>
      <c r="B90" s="49"/>
      <c r="C90" s="49"/>
      <c r="D90" s="49"/>
      <c r="E90" s="49"/>
      <c r="F90" s="49"/>
      <c r="G90" s="49"/>
      <c r="H90" s="49"/>
      <c r="I90" s="49"/>
    </row>
    <row r="91">
      <c r="A91" s="49"/>
      <c r="B91" s="49"/>
      <c r="C91" s="49"/>
      <c r="D91" s="49"/>
      <c r="E91" s="49"/>
      <c r="F91" s="49"/>
      <c r="G91" s="49"/>
      <c r="H91" s="49"/>
      <c r="I91" s="49"/>
    </row>
    <row r="92">
      <c r="A92" s="49"/>
      <c r="B92" s="49"/>
      <c r="C92" s="49"/>
      <c r="D92" s="49"/>
      <c r="E92" s="49"/>
      <c r="F92" s="49"/>
      <c r="G92" s="49"/>
      <c r="H92" s="49"/>
      <c r="I92" s="49"/>
    </row>
    <row r="93">
      <c r="A93" s="49"/>
      <c r="B93" s="49"/>
      <c r="C93" s="49"/>
      <c r="D93" s="49"/>
      <c r="E93" s="49"/>
      <c r="F93" s="49"/>
      <c r="G93" s="49"/>
      <c r="H93" s="49"/>
      <c r="I93" s="49"/>
    </row>
    <row r="94">
      <c r="A94" s="49"/>
      <c r="B94" s="49"/>
      <c r="C94" s="49"/>
      <c r="D94" s="49"/>
      <c r="E94" s="49"/>
      <c r="F94" s="49"/>
      <c r="G94" s="49"/>
      <c r="H94" s="49"/>
      <c r="I94" s="49"/>
    </row>
    <row r="95">
      <c r="A95" s="49"/>
      <c r="B95" s="49"/>
      <c r="C95" s="49"/>
      <c r="D95" s="49"/>
      <c r="E95" s="49"/>
      <c r="F95" s="49"/>
      <c r="G95" s="49"/>
      <c r="H95" s="49"/>
      <c r="I95" s="49"/>
    </row>
    <row r="96">
      <c r="A96" s="49"/>
      <c r="B96" s="49"/>
      <c r="C96" s="49"/>
      <c r="D96" s="49"/>
      <c r="E96" s="49"/>
      <c r="F96" s="49"/>
      <c r="G96" s="49"/>
      <c r="H96" s="49"/>
      <c r="I96" s="49"/>
    </row>
    <row r="97">
      <c r="A97" s="49"/>
      <c r="B97" s="49"/>
      <c r="C97" s="49"/>
      <c r="D97" s="49"/>
      <c r="E97" s="49"/>
      <c r="F97" s="49"/>
      <c r="G97" s="49"/>
      <c r="H97" s="49"/>
      <c r="I97" s="49"/>
    </row>
    <row r="98">
      <c r="A98" s="49"/>
      <c r="B98" s="49"/>
      <c r="C98" s="49"/>
      <c r="D98" s="49"/>
      <c r="E98" s="49"/>
      <c r="F98" s="49"/>
      <c r="G98" s="49"/>
      <c r="H98" s="49"/>
      <c r="I98" s="49"/>
    </row>
    <row r="99">
      <c r="A99" s="49"/>
      <c r="B99" s="49"/>
      <c r="C99" s="49"/>
      <c r="D99" s="49"/>
      <c r="E99" s="49"/>
      <c r="F99" s="49"/>
      <c r="G99" s="49"/>
      <c r="H99" s="49"/>
      <c r="I99" s="49"/>
    </row>
    <row r="100">
      <c r="A100" s="49"/>
      <c r="B100" s="49"/>
      <c r="C100" s="49"/>
      <c r="D100" s="49"/>
      <c r="E100" s="49"/>
      <c r="F100" s="49"/>
      <c r="G100" s="49"/>
      <c r="H100" s="49"/>
      <c r="I100" s="49"/>
    </row>
    <row r="101">
      <c r="A101" s="49"/>
      <c r="B101" s="49"/>
      <c r="C101" s="49"/>
      <c r="D101" s="49"/>
      <c r="E101" s="49"/>
      <c r="F101" s="49"/>
      <c r="G101" s="49"/>
      <c r="H101" s="49"/>
      <c r="I101" s="49"/>
    </row>
    <row r="102">
      <c r="A102" s="49"/>
      <c r="B102" s="49"/>
      <c r="C102" s="49"/>
      <c r="D102" s="49"/>
      <c r="E102" s="49"/>
      <c r="F102" s="49"/>
      <c r="G102" s="49"/>
      <c r="H102" s="49"/>
      <c r="I102" s="49"/>
    </row>
    <row r="103">
      <c r="A103" s="49"/>
      <c r="B103" s="49"/>
      <c r="C103" s="49"/>
      <c r="D103" s="49"/>
      <c r="E103" s="49"/>
      <c r="F103" s="49"/>
      <c r="G103" s="49"/>
      <c r="H103" s="49"/>
      <c r="I103" s="49"/>
    </row>
    <row r="104">
      <c r="A104" s="49"/>
      <c r="B104" s="49"/>
      <c r="C104" s="49"/>
      <c r="D104" s="49"/>
      <c r="E104" s="49"/>
      <c r="F104" s="49"/>
      <c r="G104" s="49"/>
      <c r="H104" s="49"/>
      <c r="I104" s="49"/>
    </row>
    <row r="105">
      <c r="A105" s="49"/>
      <c r="B105" s="49"/>
      <c r="C105" s="49"/>
      <c r="D105" s="49"/>
      <c r="E105" s="49"/>
      <c r="F105" s="49"/>
      <c r="G105" s="49"/>
      <c r="H105" s="49"/>
      <c r="I105" s="49"/>
    </row>
    <row r="106">
      <c r="A106" s="49"/>
      <c r="B106" s="49"/>
      <c r="C106" s="49"/>
      <c r="D106" s="49"/>
      <c r="E106" s="49"/>
      <c r="F106" s="49"/>
      <c r="G106" s="49"/>
      <c r="H106" s="49"/>
      <c r="I106" s="49"/>
    </row>
    <row r="107">
      <c r="A107" s="49"/>
      <c r="B107" s="49"/>
      <c r="C107" s="49"/>
      <c r="D107" s="49"/>
      <c r="E107" s="49"/>
      <c r="F107" s="49"/>
      <c r="G107" s="49"/>
      <c r="H107" s="49"/>
      <c r="I107" s="49"/>
    </row>
    <row r="108">
      <c r="A108" s="49"/>
      <c r="B108" s="49"/>
      <c r="C108" s="49"/>
      <c r="D108" s="49"/>
      <c r="E108" s="49"/>
      <c r="F108" s="49"/>
      <c r="G108" s="49"/>
      <c r="H108" s="49"/>
      <c r="I108" s="49"/>
    </row>
    <row r="109">
      <c r="A109" s="49"/>
      <c r="B109" s="49"/>
      <c r="C109" s="49"/>
      <c r="D109" s="49"/>
      <c r="E109" s="49"/>
      <c r="F109" s="49"/>
      <c r="G109" s="49"/>
      <c r="H109" s="49"/>
      <c r="I109" s="49"/>
    </row>
    <row r="110">
      <c r="A110" s="49"/>
      <c r="B110" s="49"/>
      <c r="C110" s="49"/>
      <c r="D110" s="49"/>
      <c r="E110" s="49"/>
      <c r="F110" s="49"/>
      <c r="G110" s="49"/>
      <c r="H110" s="49"/>
      <c r="I110" s="49"/>
    </row>
    <row r="111">
      <c r="A111" s="49"/>
      <c r="B111" s="49"/>
      <c r="C111" s="49"/>
      <c r="D111" s="49"/>
      <c r="E111" s="49"/>
      <c r="F111" s="49"/>
      <c r="G111" s="49"/>
      <c r="H111" s="49"/>
      <c r="I111" s="49"/>
    </row>
    <row r="112">
      <c r="A112" s="49"/>
      <c r="B112" s="49"/>
      <c r="C112" s="49"/>
      <c r="D112" s="49"/>
      <c r="E112" s="49"/>
      <c r="F112" s="49"/>
      <c r="G112" s="49"/>
      <c r="H112" s="49"/>
      <c r="I112" s="49"/>
    </row>
    <row r="113">
      <c r="A113" s="49"/>
      <c r="B113" s="49"/>
      <c r="C113" s="49"/>
      <c r="D113" s="49"/>
      <c r="E113" s="49"/>
      <c r="F113" s="49"/>
      <c r="G113" s="49"/>
      <c r="H113" s="49"/>
      <c r="I113" s="49"/>
    </row>
    <row r="114">
      <c r="A114" s="49"/>
      <c r="B114" s="49"/>
      <c r="C114" s="49"/>
      <c r="D114" s="49"/>
      <c r="E114" s="49"/>
      <c r="F114" s="49"/>
      <c r="G114" s="49"/>
      <c r="H114" s="49"/>
      <c r="I114" s="49"/>
    </row>
    <row r="115">
      <c r="A115" s="49"/>
      <c r="B115" s="49"/>
      <c r="C115" s="49"/>
      <c r="D115" s="49"/>
      <c r="E115" s="49"/>
      <c r="F115" s="49"/>
      <c r="G115" s="49"/>
      <c r="H115" s="49"/>
      <c r="I115" s="49"/>
    </row>
    <row r="116">
      <c r="A116" s="49"/>
      <c r="B116" s="49"/>
      <c r="C116" s="49"/>
      <c r="D116" s="49"/>
      <c r="E116" s="49"/>
      <c r="F116" s="49"/>
      <c r="G116" s="49"/>
      <c r="H116" s="49"/>
      <c r="I116" s="49"/>
    </row>
    <row r="117">
      <c r="A117" s="49"/>
      <c r="B117" s="49"/>
      <c r="C117" s="49"/>
      <c r="D117" s="49"/>
      <c r="E117" s="49"/>
      <c r="F117" s="49"/>
      <c r="G117" s="49"/>
      <c r="H117" s="49"/>
      <c r="I117" s="49"/>
    </row>
    <row r="118">
      <c r="A118" s="49"/>
      <c r="B118" s="49"/>
      <c r="C118" s="49"/>
      <c r="D118" s="49"/>
      <c r="E118" s="49"/>
      <c r="F118" s="49"/>
      <c r="G118" s="49"/>
      <c r="H118" s="49"/>
      <c r="I118" s="49"/>
    </row>
    <row r="119">
      <c r="A119" s="49"/>
      <c r="B119" s="49"/>
      <c r="C119" s="49"/>
      <c r="D119" s="49"/>
      <c r="E119" s="49"/>
      <c r="F119" s="49"/>
      <c r="G119" s="49"/>
      <c r="H119" s="49"/>
      <c r="I119" s="49"/>
    </row>
    <row r="120">
      <c r="A120" s="49"/>
      <c r="B120" s="49"/>
      <c r="C120" s="49"/>
      <c r="D120" s="49"/>
      <c r="E120" s="49"/>
      <c r="F120" s="49"/>
      <c r="G120" s="49"/>
      <c r="H120" s="49"/>
      <c r="I120" s="49"/>
    </row>
    <row r="121">
      <c r="A121" s="49"/>
      <c r="B121" s="49"/>
      <c r="C121" s="49"/>
      <c r="D121" s="49"/>
      <c r="E121" s="49"/>
      <c r="F121" s="49"/>
      <c r="G121" s="49"/>
      <c r="H121" s="49"/>
      <c r="I121" s="49"/>
    </row>
    <row r="122">
      <c r="A122" s="49"/>
      <c r="B122" s="49"/>
      <c r="C122" s="49"/>
      <c r="D122" s="49"/>
      <c r="E122" s="49"/>
      <c r="F122" s="49"/>
      <c r="G122" s="49"/>
      <c r="H122" s="49"/>
      <c r="I122" s="49"/>
    </row>
    <row r="123">
      <c r="A123" s="49"/>
      <c r="B123" s="49"/>
      <c r="C123" s="49"/>
      <c r="D123" s="49"/>
      <c r="E123" s="49"/>
      <c r="F123" s="49"/>
      <c r="G123" s="49"/>
      <c r="H123" s="49"/>
      <c r="I123" s="49"/>
    </row>
    <row r="124">
      <c r="A124" s="49"/>
      <c r="B124" s="49"/>
      <c r="C124" s="49"/>
      <c r="D124" s="49"/>
      <c r="E124" s="49"/>
      <c r="F124" s="49"/>
      <c r="G124" s="49"/>
      <c r="H124" s="49"/>
      <c r="I124" s="49"/>
    </row>
    <row r="125">
      <c r="A125" s="49"/>
      <c r="B125" s="49"/>
      <c r="C125" s="49"/>
      <c r="D125" s="49"/>
      <c r="E125" s="49"/>
      <c r="F125" s="49"/>
      <c r="G125" s="49"/>
      <c r="H125" s="49"/>
      <c r="I125" s="49"/>
    </row>
    <row r="126">
      <c r="A126" s="49"/>
      <c r="B126" s="49"/>
      <c r="C126" s="49"/>
      <c r="D126" s="49"/>
      <c r="E126" s="49"/>
      <c r="F126" s="49"/>
      <c r="G126" s="49"/>
      <c r="H126" s="49"/>
      <c r="I126" s="49"/>
    </row>
    <row r="127">
      <c r="A127" s="49"/>
      <c r="B127" s="49"/>
      <c r="C127" s="49"/>
      <c r="D127" s="49"/>
      <c r="E127" s="49"/>
      <c r="F127" s="49"/>
      <c r="G127" s="49"/>
      <c r="H127" s="49"/>
      <c r="I127" s="49"/>
    </row>
    <row r="128">
      <c r="A128" s="49"/>
      <c r="B128" s="49"/>
      <c r="C128" s="49"/>
      <c r="D128" s="49"/>
      <c r="E128" s="49"/>
      <c r="F128" s="49"/>
      <c r="G128" s="49"/>
      <c r="H128" s="49"/>
      <c r="I128" s="49"/>
    </row>
    <row r="129">
      <c r="A129" s="49"/>
      <c r="B129" s="49"/>
      <c r="C129" s="49"/>
      <c r="D129" s="49"/>
      <c r="E129" s="49"/>
      <c r="F129" s="49"/>
      <c r="G129" s="49"/>
      <c r="H129" s="49"/>
      <c r="I129" s="49"/>
    </row>
    <row r="130">
      <c r="A130" s="49"/>
      <c r="B130" s="49"/>
      <c r="C130" s="49"/>
      <c r="D130" s="49"/>
      <c r="E130" s="49"/>
      <c r="F130" s="49"/>
      <c r="G130" s="49"/>
      <c r="H130" s="49"/>
      <c r="I130" s="49"/>
    </row>
    <row r="131">
      <c r="A131" s="49"/>
      <c r="B131" s="49"/>
      <c r="C131" s="49"/>
      <c r="D131" s="49"/>
      <c r="E131" s="49"/>
      <c r="F131" s="49"/>
      <c r="G131" s="49"/>
      <c r="H131" s="49"/>
      <c r="I131" s="49"/>
    </row>
    <row r="132">
      <c r="A132" s="49"/>
      <c r="B132" s="49"/>
      <c r="C132" s="49"/>
      <c r="D132" s="49"/>
      <c r="E132" s="49"/>
      <c r="F132" s="49"/>
      <c r="G132" s="49"/>
      <c r="H132" s="49"/>
      <c r="I132" s="49"/>
    </row>
    <row r="133">
      <c r="A133" s="49"/>
      <c r="B133" s="49"/>
      <c r="C133" s="49"/>
      <c r="D133" s="49"/>
      <c r="E133" s="49"/>
      <c r="F133" s="49"/>
      <c r="G133" s="49"/>
      <c r="H133" s="49"/>
      <c r="I133" s="49"/>
    </row>
    <row r="134">
      <c r="A134" s="49"/>
      <c r="B134" s="49"/>
      <c r="C134" s="49"/>
      <c r="D134" s="49"/>
      <c r="E134" s="49"/>
      <c r="F134" s="49"/>
      <c r="G134" s="49"/>
      <c r="H134" s="49"/>
      <c r="I134" s="49"/>
    </row>
    <row r="135">
      <c r="A135" s="49"/>
      <c r="B135" s="49"/>
      <c r="C135" s="49"/>
      <c r="D135" s="49"/>
      <c r="E135" s="49"/>
      <c r="F135" s="49"/>
      <c r="G135" s="49"/>
      <c r="H135" s="49"/>
      <c r="I135" s="49"/>
    </row>
    <row r="136">
      <c r="A136" s="49"/>
      <c r="B136" s="49"/>
      <c r="C136" s="49"/>
      <c r="D136" s="49"/>
      <c r="E136" s="49"/>
      <c r="F136" s="49"/>
      <c r="G136" s="49"/>
      <c r="H136" s="49"/>
      <c r="I136" s="49"/>
    </row>
    <row r="137">
      <c r="A137" s="49"/>
      <c r="B137" s="49"/>
      <c r="C137" s="49"/>
      <c r="D137" s="49"/>
      <c r="E137" s="49"/>
      <c r="F137" s="49"/>
      <c r="G137" s="49"/>
      <c r="H137" s="49"/>
      <c r="I137" s="49"/>
    </row>
    <row r="138">
      <c r="A138" s="49"/>
      <c r="B138" s="49"/>
      <c r="C138" s="49"/>
      <c r="D138" s="49"/>
      <c r="E138" s="49"/>
      <c r="F138" s="49"/>
      <c r="G138" s="49"/>
      <c r="H138" s="49"/>
      <c r="I138" s="49"/>
    </row>
    <row r="139">
      <c r="A139" s="49"/>
      <c r="B139" s="49"/>
      <c r="C139" s="49"/>
      <c r="D139" s="49"/>
      <c r="E139" s="49"/>
      <c r="F139" s="49"/>
      <c r="G139" s="49"/>
      <c r="H139" s="49"/>
      <c r="I139" s="49"/>
    </row>
    <row r="140">
      <c r="A140" s="49"/>
      <c r="B140" s="49"/>
      <c r="C140" s="49"/>
      <c r="D140" s="49"/>
      <c r="E140" s="49"/>
      <c r="F140" s="49"/>
      <c r="G140" s="49"/>
      <c r="H140" s="49"/>
      <c r="I140" s="49"/>
    </row>
    <row r="141">
      <c r="A141" s="49"/>
      <c r="B141" s="49"/>
      <c r="C141" s="49"/>
      <c r="D141" s="49"/>
      <c r="E141" s="49"/>
      <c r="F141" s="49"/>
      <c r="G141" s="49"/>
      <c r="H141" s="49"/>
      <c r="I141" s="49"/>
    </row>
    <row r="142">
      <c r="A142" s="49"/>
      <c r="B142" s="49"/>
      <c r="C142" s="49"/>
      <c r="D142" s="49"/>
      <c r="E142" s="49"/>
      <c r="F142" s="49"/>
      <c r="G142" s="49"/>
      <c r="H142" s="49"/>
      <c r="I142" s="49"/>
    </row>
    <row r="143">
      <c r="A143" s="49"/>
      <c r="B143" s="49"/>
      <c r="C143" s="49"/>
      <c r="D143" s="49"/>
      <c r="E143" s="49"/>
      <c r="F143" s="49"/>
      <c r="G143" s="49"/>
      <c r="H143" s="49"/>
      <c r="I143" s="49"/>
    </row>
    <row r="144">
      <c r="A144" s="49"/>
      <c r="B144" s="49"/>
      <c r="C144" s="49"/>
      <c r="D144" s="49"/>
      <c r="E144" s="49"/>
      <c r="F144" s="49"/>
      <c r="G144" s="49"/>
      <c r="H144" s="49"/>
      <c r="I144" s="49"/>
    </row>
    <row r="145">
      <c r="A145" s="49"/>
      <c r="B145" s="49"/>
      <c r="C145" s="49"/>
      <c r="D145" s="49"/>
      <c r="E145" s="49"/>
      <c r="F145" s="49"/>
      <c r="G145" s="49"/>
      <c r="H145" s="49"/>
      <c r="I145" s="49"/>
    </row>
    <row r="146">
      <c r="A146" s="49"/>
      <c r="B146" s="49"/>
      <c r="C146" s="49"/>
      <c r="D146" s="49"/>
      <c r="E146" s="49"/>
      <c r="F146" s="49"/>
      <c r="G146" s="49"/>
      <c r="H146" s="49"/>
      <c r="I146" s="49"/>
    </row>
    <row r="147">
      <c r="A147" s="49"/>
      <c r="B147" s="49"/>
      <c r="C147" s="49"/>
      <c r="D147" s="49"/>
      <c r="E147" s="49"/>
      <c r="F147" s="49"/>
      <c r="G147" s="49"/>
      <c r="H147" s="49"/>
      <c r="I147" s="49"/>
    </row>
    <row r="148">
      <c r="A148" s="49"/>
      <c r="B148" s="49"/>
      <c r="C148" s="49"/>
      <c r="D148" s="49"/>
      <c r="E148" s="49"/>
      <c r="F148" s="49"/>
      <c r="G148" s="49"/>
      <c r="H148" s="49"/>
      <c r="I148" s="49"/>
    </row>
    <row r="149">
      <c r="A149" s="49"/>
      <c r="B149" s="49"/>
      <c r="C149" s="49"/>
      <c r="D149" s="49"/>
      <c r="E149" s="49"/>
      <c r="F149" s="49"/>
      <c r="G149" s="49"/>
      <c r="H149" s="49"/>
      <c r="I149" s="49"/>
    </row>
    <row r="150">
      <c r="A150" s="49"/>
      <c r="B150" s="49"/>
      <c r="C150" s="49"/>
      <c r="D150" s="49"/>
      <c r="E150" s="49"/>
      <c r="F150" s="49"/>
      <c r="G150" s="49"/>
      <c r="H150" s="49"/>
      <c r="I150" s="49"/>
    </row>
    <row r="151">
      <c r="A151" s="49"/>
      <c r="B151" s="49"/>
      <c r="C151" s="49"/>
      <c r="D151" s="49"/>
      <c r="E151" s="49"/>
      <c r="F151" s="49"/>
      <c r="G151" s="49"/>
      <c r="H151" s="49"/>
      <c r="I151" s="49"/>
    </row>
    <row r="152">
      <c r="A152" s="49"/>
      <c r="B152" s="49"/>
      <c r="C152" s="49"/>
      <c r="D152" s="49"/>
      <c r="E152" s="49"/>
      <c r="F152" s="49"/>
      <c r="G152" s="49"/>
      <c r="H152" s="49"/>
      <c r="I152" s="49"/>
    </row>
    <row r="153">
      <c r="A153" s="49"/>
      <c r="B153" s="49"/>
      <c r="C153" s="49"/>
      <c r="D153" s="49"/>
      <c r="E153" s="49"/>
      <c r="F153" s="49"/>
      <c r="G153" s="49"/>
      <c r="H153" s="49"/>
      <c r="I153" s="49"/>
    </row>
    <row r="154">
      <c r="A154" s="49"/>
      <c r="B154" s="49"/>
      <c r="C154" s="49"/>
      <c r="D154" s="49"/>
      <c r="E154" s="49"/>
      <c r="F154" s="49"/>
      <c r="G154" s="49"/>
      <c r="H154" s="49"/>
      <c r="I154" s="49"/>
    </row>
    <row r="155">
      <c r="A155" s="49"/>
      <c r="B155" s="49"/>
      <c r="C155" s="49"/>
      <c r="D155" s="49"/>
      <c r="E155" s="49"/>
      <c r="F155" s="49"/>
      <c r="G155" s="49"/>
      <c r="H155" s="49"/>
      <c r="I155" s="49"/>
    </row>
    <row r="156">
      <c r="A156" s="49"/>
      <c r="B156" s="49"/>
      <c r="C156" s="49"/>
      <c r="D156" s="49"/>
      <c r="E156" s="49"/>
      <c r="F156" s="49"/>
      <c r="G156" s="49"/>
      <c r="H156" s="49"/>
      <c r="I156" s="49"/>
    </row>
    <row r="157">
      <c r="A157" s="49"/>
      <c r="B157" s="49"/>
      <c r="C157" s="49"/>
      <c r="D157" s="49"/>
      <c r="E157" s="49"/>
      <c r="F157" s="49"/>
      <c r="G157" s="49"/>
      <c r="H157" s="49"/>
      <c r="I157" s="49"/>
    </row>
    <row r="158">
      <c r="A158" s="49"/>
      <c r="B158" s="49"/>
      <c r="C158" s="49"/>
      <c r="D158" s="49"/>
      <c r="E158" s="49"/>
      <c r="F158" s="49"/>
      <c r="G158" s="49"/>
      <c r="H158" s="49"/>
      <c r="I158" s="49"/>
    </row>
    <row r="159">
      <c r="A159" s="49"/>
      <c r="B159" s="49"/>
      <c r="C159" s="49"/>
      <c r="D159" s="49"/>
      <c r="E159" s="49"/>
      <c r="F159" s="49"/>
      <c r="G159" s="49"/>
      <c r="H159" s="49"/>
      <c r="I159" s="49"/>
    </row>
    <row r="160">
      <c r="A160" s="49"/>
      <c r="B160" s="49"/>
      <c r="C160" s="49"/>
      <c r="D160" s="49"/>
      <c r="E160" s="49"/>
      <c r="F160" s="49"/>
      <c r="G160" s="49"/>
      <c r="H160" s="49"/>
      <c r="I160" s="49"/>
    </row>
    <row r="161">
      <c r="A161" s="49"/>
      <c r="B161" s="49"/>
      <c r="C161" s="49"/>
      <c r="D161" s="49"/>
      <c r="E161" s="49"/>
      <c r="F161" s="49"/>
      <c r="G161" s="49"/>
      <c r="H161" s="49"/>
      <c r="I161" s="49"/>
    </row>
    <row r="162">
      <c r="A162" s="49"/>
      <c r="B162" s="49"/>
      <c r="C162" s="49"/>
      <c r="D162" s="49"/>
      <c r="E162" s="49"/>
      <c r="F162" s="49"/>
      <c r="G162" s="49"/>
      <c r="H162" s="49"/>
      <c r="I162" s="49"/>
    </row>
    <row r="163">
      <c r="A163" s="49"/>
      <c r="B163" s="49"/>
      <c r="C163" s="49"/>
      <c r="D163" s="49"/>
      <c r="E163" s="49"/>
      <c r="F163" s="49"/>
      <c r="G163" s="49"/>
      <c r="H163" s="49"/>
      <c r="I163" s="49"/>
    </row>
    <row r="164">
      <c r="A164" s="49"/>
      <c r="B164" s="49"/>
      <c r="C164" s="49"/>
      <c r="D164" s="49"/>
      <c r="E164" s="49"/>
      <c r="F164" s="49"/>
      <c r="G164" s="49"/>
      <c r="H164" s="49"/>
      <c r="I164" s="49"/>
    </row>
    <row r="165">
      <c r="A165" s="49"/>
      <c r="B165" s="49"/>
      <c r="C165" s="49"/>
      <c r="D165" s="49"/>
      <c r="E165" s="49"/>
      <c r="F165" s="49"/>
      <c r="G165" s="49"/>
      <c r="H165" s="49"/>
      <c r="I165" s="49"/>
    </row>
    <row r="166">
      <c r="A166" s="49"/>
      <c r="B166" s="49"/>
      <c r="C166" s="49"/>
      <c r="D166" s="49"/>
      <c r="E166" s="49"/>
      <c r="F166" s="49"/>
      <c r="G166" s="49"/>
      <c r="H166" s="49"/>
      <c r="I166" s="49"/>
    </row>
    <row r="167">
      <c r="A167" s="49"/>
      <c r="B167" s="49"/>
      <c r="C167" s="49"/>
      <c r="D167" s="49"/>
      <c r="E167" s="49"/>
      <c r="F167" s="49"/>
      <c r="G167" s="49"/>
      <c r="H167" s="49"/>
      <c r="I167" s="49"/>
    </row>
    <row r="168">
      <c r="A168" s="49"/>
      <c r="B168" s="49"/>
      <c r="C168" s="49"/>
      <c r="D168" s="49"/>
      <c r="E168" s="49"/>
      <c r="F168" s="49"/>
      <c r="G168" s="49"/>
      <c r="H168" s="49"/>
      <c r="I168" s="49"/>
    </row>
    <row r="169">
      <c r="A169" s="49"/>
      <c r="B169" s="49"/>
      <c r="C169" s="49"/>
      <c r="D169" s="49"/>
      <c r="E169" s="49"/>
      <c r="F169" s="49"/>
      <c r="G169" s="49"/>
      <c r="H169" s="49"/>
      <c r="I169" s="49"/>
    </row>
    <row r="170">
      <c r="A170" s="49"/>
      <c r="B170" s="49"/>
      <c r="C170" s="49"/>
      <c r="D170" s="49"/>
      <c r="E170" s="49"/>
      <c r="F170" s="49"/>
      <c r="G170" s="49"/>
      <c r="H170" s="49"/>
      <c r="I170" s="49"/>
    </row>
    <row r="171">
      <c r="A171" s="49"/>
      <c r="B171" s="49"/>
      <c r="C171" s="49"/>
      <c r="D171" s="49"/>
      <c r="E171" s="49"/>
      <c r="F171" s="49"/>
      <c r="G171" s="49"/>
      <c r="H171" s="49"/>
      <c r="I171" s="49"/>
    </row>
    <row r="172">
      <c r="A172" s="49"/>
      <c r="B172" s="49"/>
      <c r="C172" s="49"/>
      <c r="D172" s="49"/>
      <c r="E172" s="49"/>
      <c r="F172" s="49"/>
      <c r="G172" s="49"/>
      <c r="H172" s="49"/>
      <c r="I172" s="49"/>
    </row>
    <row r="173">
      <c r="A173" s="49"/>
      <c r="B173" s="49"/>
      <c r="C173" s="49"/>
      <c r="D173" s="49"/>
      <c r="E173" s="49"/>
      <c r="F173" s="49"/>
      <c r="G173" s="49"/>
      <c r="H173" s="49"/>
      <c r="I173" s="49"/>
    </row>
    <row r="174">
      <c r="A174" s="49"/>
      <c r="B174" s="49"/>
      <c r="C174" s="49"/>
      <c r="D174" s="49"/>
      <c r="E174" s="49"/>
      <c r="F174" s="49"/>
      <c r="G174" s="49"/>
      <c r="H174" s="49"/>
      <c r="I174" s="49"/>
    </row>
    <row r="175">
      <c r="A175" s="49"/>
      <c r="B175" s="49"/>
      <c r="C175" s="49"/>
      <c r="D175" s="49"/>
      <c r="E175" s="49"/>
      <c r="F175" s="49"/>
      <c r="G175" s="49"/>
      <c r="H175" s="49"/>
      <c r="I175" s="49"/>
    </row>
    <row r="176">
      <c r="A176" s="49"/>
      <c r="B176" s="49"/>
      <c r="C176" s="49"/>
      <c r="D176" s="49"/>
      <c r="E176" s="49"/>
      <c r="F176" s="49"/>
      <c r="G176" s="49"/>
      <c r="H176" s="49"/>
      <c r="I176" s="49"/>
    </row>
    <row r="177">
      <c r="A177" s="49"/>
      <c r="B177" s="49"/>
      <c r="C177" s="49"/>
      <c r="D177" s="49"/>
      <c r="E177" s="49"/>
      <c r="F177" s="49"/>
      <c r="G177" s="49"/>
      <c r="H177" s="49"/>
      <c r="I177" s="49"/>
    </row>
    <row r="178">
      <c r="A178" s="49"/>
      <c r="B178" s="49"/>
      <c r="C178" s="49"/>
      <c r="D178" s="49"/>
      <c r="E178" s="49"/>
      <c r="F178" s="49"/>
      <c r="G178" s="49"/>
      <c r="H178" s="49"/>
      <c r="I178" s="49"/>
    </row>
    <row r="179">
      <c r="A179" s="49"/>
      <c r="B179" s="49"/>
      <c r="C179" s="49"/>
      <c r="D179" s="49"/>
      <c r="E179" s="49"/>
      <c r="F179" s="49"/>
      <c r="G179" s="49"/>
      <c r="H179" s="49"/>
      <c r="I179" s="49"/>
    </row>
    <row r="180">
      <c r="A180" s="49"/>
      <c r="B180" s="49"/>
      <c r="C180" s="49"/>
      <c r="D180" s="49"/>
      <c r="E180" s="49"/>
      <c r="F180" s="49"/>
      <c r="G180" s="49"/>
      <c r="H180" s="49"/>
      <c r="I180" s="49"/>
    </row>
    <row r="181">
      <c r="A181" s="49"/>
      <c r="B181" s="49"/>
      <c r="C181" s="49"/>
      <c r="D181" s="49"/>
      <c r="E181" s="49"/>
      <c r="F181" s="49"/>
      <c r="G181" s="49"/>
      <c r="H181" s="49"/>
      <c r="I181" s="49"/>
    </row>
    <row r="182">
      <c r="A182" s="49"/>
      <c r="B182" s="49"/>
      <c r="C182" s="49"/>
      <c r="D182" s="49"/>
      <c r="E182" s="49"/>
      <c r="F182" s="49"/>
      <c r="G182" s="49"/>
      <c r="H182" s="49"/>
      <c r="I182" s="49"/>
    </row>
    <row r="183">
      <c r="A183" s="49"/>
      <c r="B183" s="49"/>
      <c r="C183" s="49"/>
      <c r="D183" s="49"/>
      <c r="E183" s="49"/>
      <c r="F183" s="49"/>
      <c r="G183" s="49"/>
      <c r="H183" s="49"/>
      <c r="I183" s="49"/>
    </row>
    <row r="184">
      <c r="A184" s="49"/>
      <c r="B184" s="49"/>
      <c r="C184" s="49"/>
      <c r="D184" s="49"/>
      <c r="E184" s="49"/>
      <c r="F184" s="49"/>
      <c r="G184" s="49"/>
      <c r="H184" s="49"/>
      <c r="I184" s="49"/>
    </row>
    <row r="185">
      <c r="A185" s="49"/>
      <c r="B185" s="49"/>
      <c r="C185" s="49"/>
      <c r="D185" s="49"/>
      <c r="E185" s="49"/>
      <c r="F185" s="49"/>
      <c r="G185" s="49"/>
      <c r="H185" s="49"/>
      <c r="I185" s="49"/>
    </row>
    <row r="186">
      <c r="A186" s="49"/>
      <c r="B186" s="49"/>
      <c r="C186" s="49"/>
      <c r="D186" s="49"/>
      <c r="E186" s="49"/>
      <c r="F186" s="49"/>
      <c r="G186" s="49"/>
      <c r="H186" s="49"/>
      <c r="I186" s="49"/>
    </row>
    <row r="187">
      <c r="A187" s="49"/>
      <c r="B187" s="49"/>
      <c r="C187" s="49"/>
      <c r="D187" s="49"/>
      <c r="E187" s="49"/>
      <c r="F187" s="49"/>
      <c r="G187" s="49"/>
      <c r="H187" s="49"/>
      <c r="I187" s="49"/>
    </row>
    <row r="188">
      <c r="A188" s="49"/>
      <c r="B188" s="49"/>
      <c r="C188" s="49"/>
      <c r="D188" s="49"/>
      <c r="E188" s="49"/>
      <c r="F188" s="49"/>
      <c r="G188" s="49"/>
      <c r="H188" s="49"/>
      <c r="I188" s="49"/>
    </row>
    <row r="189">
      <c r="A189" s="49"/>
      <c r="B189" s="49"/>
      <c r="C189" s="49"/>
      <c r="D189" s="49"/>
      <c r="E189" s="49"/>
      <c r="F189" s="49"/>
      <c r="G189" s="49"/>
      <c r="H189" s="49"/>
      <c r="I189" s="49"/>
    </row>
    <row r="190">
      <c r="A190" s="49"/>
      <c r="B190" s="49"/>
      <c r="C190" s="49"/>
      <c r="D190" s="49"/>
      <c r="E190" s="49"/>
      <c r="F190" s="49"/>
      <c r="G190" s="49"/>
      <c r="H190" s="49"/>
      <c r="I190" s="49"/>
    </row>
    <row r="191">
      <c r="A191" s="49"/>
      <c r="B191" s="49"/>
      <c r="C191" s="49"/>
      <c r="D191" s="49"/>
      <c r="E191" s="49"/>
      <c r="F191" s="49"/>
      <c r="G191" s="49"/>
      <c r="H191" s="49"/>
      <c r="I191" s="49"/>
    </row>
    <row r="192">
      <c r="A192" s="49"/>
      <c r="B192" s="49"/>
      <c r="C192" s="49"/>
      <c r="D192" s="49"/>
      <c r="E192" s="49"/>
      <c r="F192" s="49"/>
      <c r="G192" s="49"/>
      <c r="H192" s="49"/>
      <c r="I192" s="49"/>
    </row>
    <row r="193">
      <c r="A193" s="49"/>
      <c r="B193" s="49"/>
      <c r="C193" s="49"/>
      <c r="D193" s="49"/>
      <c r="E193" s="49"/>
      <c r="F193" s="49"/>
      <c r="G193" s="49"/>
      <c r="H193" s="49"/>
      <c r="I193" s="49"/>
    </row>
    <row r="194">
      <c r="A194" s="49"/>
      <c r="B194" s="49"/>
      <c r="C194" s="49"/>
      <c r="D194" s="49"/>
      <c r="E194" s="49"/>
      <c r="F194" s="49"/>
      <c r="G194" s="49"/>
      <c r="H194" s="49"/>
      <c r="I194" s="49"/>
    </row>
    <row r="195">
      <c r="A195" s="49"/>
      <c r="B195" s="49"/>
      <c r="C195" s="49"/>
      <c r="D195" s="49"/>
      <c r="E195" s="49"/>
      <c r="F195" s="49"/>
      <c r="G195" s="49"/>
      <c r="H195" s="49"/>
      <c r="I195" s="49"/>
    </row>
    <row r="196">
      <c r="A196" s="49"/>
      <c r="B196" s="49"/>
      <c r="C196" s="49"/>
      <c r="D196" s="49"/>
      <c r="E196" s="49"/>
      <c r="F196" s="49"/>
      <c r="G196" s="49"/>
      <c r="H196" s="49"/>
      <c r="I196" s="49"/>
    </row>
    <row r="197">
      <c r="A197" s="49"/>
      <c r="B197" s="49"/>
      <c r="C197" s="49"/>
      <c r="D197" s="49"/>
      <c r="E197" s="49"/>
      <c r="F197" s="49"/>
      <c r="G197" s="49"/>
      <c r="H197" s="49"/>
      <c r="I197" s="49"/>
    </row>
    <row r="198">
      <c r="A198" s="49"/>
      <c r="B198" s="49"/>
      <c r="C198" s="49"/>
      <c r="D198" s="49"/>
      <c r="E198" s="49"/>
      <c r="F198" s="49"/>
      <c r="G198" s="49"/>
      <c r="H198" s="49"/>
      <c r="I198" s="49"/>
    </row>
    <row r="199">
      <c r="A199" s="49"/>
      <c r="B199" s="49"/>
      <c r="C199" s="49"/>
      <c r="D199" s="49"/>
      <c r="E199" s="49"/>
      <c r="F199" s="49"/>
      <c r="G199" s="49"/>
      <c r="H199" s="49"/>
      <c r="I199" s="49"/>
    </row>
    <row r="200">
      <c r="A200" s="49"/>
      <c r="B200" s="49"/>
      <c r="C200" s="49"/>
      <c r="D200" s="49"/>
      <c r="E200" s="49"/>
      <c r="F200" s="49"/>
      <c r="G200" s="49"/>
      <c r="H200" s="49"/>
      <c r="I200" s="49"/>
    </row>
    <row r="201">
      <c r="A201" s="49"/>
      <c r="B201" s="49"/>
      <c r="C201" s="49"/>
      <c r="D201" s="49"/>
      <c r="E201" s="49"/>
      <c r="F201" s="49"/>
      <c r="G201" s="49"/>
      <c r="H201" s="49"/>
      <c r="I201" s="49"/>
    </row>
    <row r="202">
      <c r="A202" s="49"/>
      <c r="B202" s="49"/>
      <c r="C202" s="49"/>
      <c r="D202" s="49"/>
      <c r="E202" s="49"/>
      <c r="F202" s="49"/>
      <c r="G202" s="49"/>
      <c r="H202" s="49"/>
      <c r="I202" s="49"/>
    </row>
    <row r="203">
      <c r="A203" s="49"/>
      <c r="B203" s="49"/>
      <c r="C203" s="49"/>
      <c r="D203" s="49"/>
      <c r="E203" s="49"/>
      <c r="F203" s="49"/>
      <c r="G203" s="49"/>
      <c r="H203" s="49"/>
      <c r="I203" s="49"/>
    </row>
    <row r="204">
      <c r="A204" s="49"/>
      <c r="B204" s="49"/>
      <c r="C204" s="49"/>
      <c r="D204" s="49"/>
      <c r="E204" s="49"/>
      <c r="F204" s="49"/>
      <c r="G204" s="49"/>
      <c r="H204" s="49"/>
      <c r="I204" s="49"/>
    </row>
    <row r="205">
      <c r="A205" s="49"/>
      <c r="B205" s="49"/>
      <c r="C205" s="49"/>
      <c r="D205" s="49"/>
      <c r="E205" s="49"/>
      <c r="F205" s="49"/>
      <c r="G205" s="49"/>
      <c r="H205" s="49"/>
      <c r="I205" s="49"/>
    </row>
    <row r="206">
      <c r="A206" s="49"/>
      <c r="B206" s="49"/>
      <c r="C206" s="49"/>
      <c r="D206" s="49"/>
      <c r="E206" s="49"/>
      <c r="F206" s="49"/>
      <c r="G206" s="49"/>
      <c r="H206" s="49"/>
      <c r="I206" s="49"/>
    </row>
    <row r="207">
      <c r="A207" s="49"/>
      <c r="B207" s="49"/>
      <c r="C207" s="49"/>
      <c r="D207" s="49"/>
      <c r="E207" s="49"/>
      <c r="F207" s="49"/>
      <c r="G207" s="49"/>
      <c r="H207" s="49"/>
      <c r="I207" s="49"/>
    </row>
    <row r="208">
      <c r="A208" s="49"/>
      <c r="B208" s="49"/>
      <c r="C208" s="49"/>
      <c r="D208" s="49"/>
      <c r="E208" s="49"/>
      <c r="F208" s="49"/>
      <c r="G208" s="49"/>
      <c r="H208" s="49"/>
      <c r="I208" s="49"/>
    </row>
    <row r="209">
      <c r="A209" s="49"/>
      <c r="B209" s="49"/>
      <c r="C209" s="49"/>
      <c r="D209" s="49"/>
      <c r="E209" s="49"/>
      <c r="F209" s="49"/>
      <c r="G209" s="49"/>
      <c r="H209" s="49"/>
      <c r="I209" s="49"/>
    </row>
    <row r="210">
      <c r="A210" s="49"/>
      <c r="B210" s="49"/>
      <c r="C210" s="49"/>
      <c r="D210" s="49"/>
      <c r="E210" s="49"/>
      <c r="F210" s="49"/>
      <c r="G210" s="49"/>
      <c r="H210" s="49"/>
      <c r="I210" s="49"/>
    </row>
    <row r="211">
      <c r="A211" s="49"/>
      <c r="B211" s="49"/>
      <c r="C211" s="49"/>
      <c r="D211" s="49"/>
      <c r="E211" s="49"/>
      <c r="F211" s="49"/>
      <c r="G211" s="49"/>
      <c r="H211" s="49"/>
      <c r="I211" s="49"/>
    </row>
    <row r="212">
      <c r="A212" s="49"/>
      <c r="B212" s="49"/>
      <c r="C212" s="49"/>
      <c r="D212" s="49"/>
      <c r="E212" s="49"/>
      <c r="F212" s="49"/>
      <c r="G212" s="49"/>
      <c r="H212" s="49"/>
      <c r="I212" s="49"/>
    </row>
    <row r="213">
      <c r="A213" s="49"/>
      <c r="B213" s="49"/>
      <c r="C213" s="49"/>
      <c r="D213" s="49"/>
      <c r="E213" s="49"/>
      <c r="F213" s="49"/>
      <c r="G213" s="49"/>
      <c r="H213" s="49"/>
      <c r="I213" s="49"/>
    </row>
    <row r="214">
      <c r="A214" s="49"/>
      <c r="B214" s="49"/>
      <c r="C214" s="49"/>
      <c r="D214" s="49"/>
      <c r="E214" s="49"/>
      <c r="F214" s="49"/>
      <c r="G214" s="49"/>
      <c r="H214" s="49"/>
      <c r="I214" s="49"/>
    </row>
    <row r="215">
      <c r="A215" s="49"/>
      <c r="B215" s="49"/>
      <c r="C215" s="49"/>
      <c r="D215" s="49"/>
      <c r="E215" s="49"/>
      <c r="F215" s="49"/>
      <c r="G215" s="49"/>
      <c r="H215" s="49"/>
      <c r="I215" s="49"/>
    </row>
    <row r="216">
      <c r="A216" s="49"/>
      <c r="B216" s="49"/>
      <c r="C216" s="49"/>
      <c r="D216" s="49"/>
      <c r="E216" s="49"/>
      <c r="F216" s="49"/>
      <c r="G216" s="49"/>
      <c r="H216" s="49"/>
      <c r="I216" s="49"/>
    </row>
    <row r="217">
      <c r="A217" s="49"/>
      <c r="B217" s="49"/>
      <c r="C217" s="49"/>
      <c r="D217" s="49"/>
      <c r="E217" s="49"/>
      <c r="F217" s="49"/>
      <c r="G217" s="49"/>
      <c r="H217" s="49"/>
      <c r="I217" s="49"/>
    </row>
    <row r="218">
      <c r="A218" s="49"/>
      <c r="B218" s="49"/>
      <c r="C218" s="49"/>
      <c r="D218" s="49"/>
      <c r="E218" s="49"/>
      <c r="F218" s="49"/>
      <c r="G218" s="49"/>
      <c r="H218" s="49"/>
      <c r="I218" s="49"/>
    </row>
    <row r="219">
      <c r="A219" s="49"/>
      <c r="B219" s="49"/>
      <c r="C219" s="49"/>
      <c r="D219" s="49"/>
      <c r="E219" s="49"/>
      <c r="F219" s="49"/>
      <c r="G219" s="49"/>
      <c r="H219" s="49"/>
      <c r="I219" s="49"/>
    </row>
    <row r="220">
      <c r="A220" s="49"/>
      <c r="B220" s="49"/>
      <c r="C220" s="49"/>
      <c r="D220" s="49"/>
      <c r="E220" s="49"/>
      <c r="F220" s="49"/>
      <c r="G220" s="49"/>
      <c r="H220" s="49"/>
      <c r="I220" s="49"/>
    </row>
    <row r="221">
      <c r="A221" s="49"/>
      <c r="B221" s="49"/>
      <c r="C221" s="49"/>
      <c r="D221" s="49"/>
      <c r="E221" s="49"/>
      <c r="F221" s="49"/>
      <c r="G221" s="49"/>
      <c r="H221" s="49"/>
      <c r="I221" s="49"/>
    </row>
    <row r="222">
      <c r="A222" s="49"/>
      <c r="B222" s="49"/>
      <c r="C222" s="49"/>
      <c r="D222" s="49"/>
      <c r="E222" s="49"/>
      <c r="F222" s="49"/>
      <c r="G222" s="49"/>
      <c r="H222" s="49"/>
      <c r="I222" s="49"/>
    </row>
    <row r="223">
      <c r="A223" s="49"/>
      <c r="B223" s="49"/>
      <c r="C223" s="49"/>
      <c r="D223" s="49"/>
      <c r="E223" s="49"/>
      <c r="F223" s="49"/>
      <c r="G223" s="49"/>
      <c r="H223" s="49"/>
      <c r="I223" s="49"/>
    </row>
    <row r="224">
      <c r="A224" s="49"/>
      <c r="B224" s="49"/>
      <c r="C224" s="49"/>
      <c r="D224" s="49"/>
      <c r="E224" s="49"/>
      <c r="F224" s="49"/>
      <c r="G224" s="49"/>
      <c r="H224" s="49"/>
      <c r="I224" s="49"/>
    </row>
    <row r="225">
      <c r="A225" s="49"/>
      <c r="B225" s="49"/>
      <c r="C225" s="49"/>
      <c r="D225" s="49"/>
      <c r="E225" s="49"/>
      <c r="F225" s="49"/>
      <c r="G225" s="49"/>
      <c r="H225" s="49"/>
      <c r="I225" s="49"/>
    </row>
    <row r="226">
      <c r="A226" s="49"/>
      <c r="B226" s="49"/>
      <c r="C226" s="49"/>
      <c r="D226" s="49"/>
      <c r="E226" s="49"/>
      <c r="F226" s="49"/>
      <c r="G226" s="49"/>
      <c r="H226" s="49"/>
      <c r="I226" s="49"/>
    </row>
    <row r="227">
      <c r="A227" s="49"/>
      <c r="B227" s="49"/>
      <c r="C227" s="49"/>
      <c r="D227" s="49"/>
      <c r="E227" s="49"/>
      <c r="F227" s="49"/>
      <c r="G227" s="49"/>
      <c r="H227" s="49"/>
      <c r="I227" s="49"/>
    </row>
    <row r="228">
      <c r="A228" s="49"/>
      <c r="B228" s="49"/>
      <c r="C228" s="49"/>
      <c r="D228" s="49"/>
      <c r="E228" s="49"/>
      <c r="F228" s="49"/>
      <c r="G228" s="49"/>
      <c r="H228" s="49"/>
      <c r="I228" s="49"/>
    </row>
    <row r="229">
      <c r="A229" s="49"/>
      <c r="B229" s="49"/>
      <c r="C229" s="49"/>
      <c r="D229" s="49"/>
      <c r="E229" s="49"/>
      <c r="F229" s="49"/>
      <c r="G229" s="49"/>
      <c r="H229" s="49"/>
      <c r="I229" s="49"/>
    </row>
    <row r="230">
      <c r="A230" s="49"/>
      <c r="B230" s="49"/>
      <c r="C230" s="49"/>
      <c r="D230" s="49"/>
      <c r="E230" s="49"/>
      <c r="F230" s="49"/>
      <c r="G230" s="49"/>
      <c r="H230" s="49"/>
      <c r="I230" s="49"/>
    </row>
    <row r="231">
      <c r="A231" s="49"/>
      <c r="B231" s="49"/>
      <c r="C231" s="49"/>
      <c r="D231" s="49"/>
      <c r="E231" s="49"/>
      <c r="F231" s="49"/>
      <c r="G231" s="49"/>
      <c r="H231" s="49"/>
      <c r="I231" s="49"/>
    </row>
    <row r="232">
      <c r="A232" s="49"/>
      <c r="B232" s="49"/>
      <c r="C232" s="49"/>
      <c r="D232" s="49"/>
      <c r="E232" s="49"/>
      <c r="F232" s="49"/>
      <c r="G232" s="49"/>
      <c r="H232" s="49"/>
      <c r="I232" s="49"/>
    </row>
    <row r="233">
      <c r="A233" s="49"/>
      <c r="B233" s="49"/>
      <c r="C233" s="49"/>
      <c r="D233" s="49"/>
      <c r="E233" s="49"/>
      <c r="F233" s="49"/>
      <c r="G233" s="49"/>
      <c r="H233" s="49"/>
      <c r="I233" s="49"/>
    </row>
    <row r="234">
      <c r="A234" s="49"/>
      <c r="B234" s="49"/>
      <c r="C234" s="49"/>
      <c r="D234" s="49"/>
      <c r="E234" s="49"/>
      <c r="F234" s="49"/>
      <c r="G234" s="49"/>
      <c r="H234" s="49"/>
      <c r="I234" s="49"/>
    </row>
    <row r="235">
      <c r="A235" s="49"/>
      <c r="B235" s="49"/>
      <c r="C235" s="49"/>
      <c r="D235" s="49"/>
      <c r="E235" s="49"/>
      <c r="F235" s="49"/>
      <c r="G235" s="49"/>
      <c r="H235" s="49"/>
      <c r="I235" s="49"/>
    </row>
    <row r="236">
      <c r="A236" s="49"/>
      <c r="B236" s="49"/>
      <c r="C236" s="49"/>
      <c r="D236" s="49"/>
      <c r="E236" s="49"/>
      <c r="F236" s="49"/>
      <c r="G236" s="49"/>
      <c r="H236" s="49"/>
      <c r="I236" s="49"/>
    </row>
    <row r="237">
      <c r="A237" s="49"/>
      <c r="B237" s="49"/>
      <c r="C237" s="49"/>
      <c r="D237" s="49"/>
      <c r="E237" s="49"/>
      <c r="F237" s="49"/>
      <c r="G237" s="49"/>
      <c r="H237" s="49"/>
      <c r="I237" s="49"/>
    </row>
    <row r="238">
      <c r="A238" s="49"/>
      <c r="B238" s="49"/>
      <c r="C238" s="49"/>
      <c r="D238" s="49"/>
      <c r="E238" s="49"/>
      <c r="F238" s="49"/>
      <c r="G238" s="49"/>
      <c r="H238" s="49"/>
      <c r="I238" s="49"/>
    </row>
    <row r="239">
      <c r="A239" s="49"/>
      <c r="B239" s="49"/>
      <c r="C239" s="49"/>
      <c r="D239" s="49"/>
      <c r="E239" s="49"/>
      <c r="F239" s="49"/>
      <c r="G239" s="49"/>
      <c r="H239" s="49"/>
      <c r="I239" s="49"/>
    </row>
    <row r="240">
      <c r="A240" s="49"/>
      <c r="B240" s="49"/>
      <c r="C240" s="49"/>
      <c r="D240" s="49"/>
      <c r="E240" s="49"/>
      <c r="F240" s="49"/>
      <c r="G240" s="49"/>
      <c r="H240" s="49"/>
      <c r="I240" s="49"/>
    </row>
    <row r="241">
      <c r="A241" s="49"/>
      <c r="B241" s="49"/>
      <c r="C241" s="49"/>
      <c r="D241" s="49"/>
      <c r="E241" s="49"/>
      <c r="F241" s="49"/>
      <c r="G241" s="49"/>
      <c r="H241" s="49"/>
      <c r="I241" s="49"/>
    </row>
    <row r="242">
      <c r="A242" s="49"/>
      <c r="B242" s="49"/>
      <c r="C242" s="49"/>
      <c r="D242" s="49"/>
      <c r="E242" s="49"/>
      <c r="F242" s="49"/>
      <c r="G242" s="49"/>
      <c r="H242" s="49"/>
      <c r="I242" s="49"/>
    </row>
    <row r="243">
      <c r="A243" s="49"/>
      <c r="B243" s="49"/>
      <c r="C243" s="49"/>
      <c r="D243" s="49"/>
      <c r="E243" s="49"/>
      <c r="F243" s="49"/>
      <c r="G243" s="49"/>
      <c r="H243" s="49"/>
      <c r="I243" s="49"/>
    </row>
    <row r="244">
      <c r="A244" s="49"/>
      <c r="B244" s="49"/>
      <c r="C244" s="49"/>
      <c r="D244" s="49"/>
      <c r="E244" s="49"/>
      <c r="F244" s="49"/>
      <c r="G244" s="49"/>
      <c r="H244" s="49"/>
      <c r="I244" s="49"/>
    </row>
    <row r="245">
      <c r="A245" s="49"/>
      <c r="B245" s="49"/>
      <c r="C245" s="49"/>
      <c r="D245" s="49"/>
      <c r="E245" s="49"/>
      <c r="F245" s="49"/>
      <c r="G245" s="49"/>
      <c r="H245" s="49"/>
      <c r="I245" s="49"/>
    </row>
    <row r="246">
      <c r="A246" s="49"/>
      <c r="B246" s="49"/>
      <c r="C246" s="49"/>
      <c r="D246" s="49"/>
      <c r="E246" s="49"/>
      <c r="F246" s="49"/>
      <c r="G246" s="49"/>
      <c r="H246" s="49"/>
      <c r="I246" s="49"/>
    </row>
    <row r="247">
      <c r="A247" s="49"/>
      <c r="B247" s="49"/>
      <c r="C247" s="49"/>
      <c r="D247" s="49"/>
      <c r="E247" s="49"/>
      <c r="F247" s="49"/>
      <c r="G247" s="49"/>
      <c r="H247" s="49"/>
      <c r="I247" s="49"/>
    </row>
    <row r="248">
      <c r="A248" s="49"/>
      <c r="B248" s="49"/>
      <c r="C248" s="49"/>
      <c r="D248" s="49"/>
      <c r="E248" s="49"/>
      <c r="F248" s="49"/>
      <c r="G248" s="49"/>
      <c r="H248" s="49"/>
      <c r="I248" s="49"/>
    </row>
    <row r="249">
      <c r="A249" s="49"/>
      <c r="B249" s="49"/>
      <c r="C249" s="49"/>
      <c r="D249" s="49"/>
      <c r="E249" s="49"/>
      <c r="F249" s="49"/>
      <c r="G249" s="49"/>
      <c r="H249" s="49"/>
      <c r="I249" s="49"/>
    </row>
    <row r="250">
      <c r="A250" s="49"/>
      <c r="B250" s="49"/>
      <c r="C250" s="49"/>
      <c r="D250" s="49"/>
      <c r="E250" s="49"/>
      <c r="F250" s="49"/>
      <c r="G250" s="49"/>
      <c r="H250" s="49"/>
      <c r="I250" s="49"/>
    </row>
    <row r="251">
      <c r="A251" s="49"/>
      <c r="B251" s="49"/>
      <c r="C251" s="49"/>
      <c r="D251" s="49"/>
      <c r="E251" s="49"/>
      <c r="F251" s="49"/>
      <c r="G251" s="49"/>
      <c r="H251" s="49"/>
      <c r="I251" s="49"/>
    </row>
    <row r="252">
      <c r="A252" s="49"/>
      <c r="B252" s="49"/>
      <c r="C252" s="49"/>
      <c r="D252" s="49"/>
      <c r="E252" s="49"/>
      <c r="F252" s="49"/>
      <c r="G252" s="49"/>
      <c r="H252" s="49"/>
      <c r="I252" s="49"/>
    </row>
    <row r="253">
      <c r="A253" s="49"/>
      <c r="B253" s="49"/>
      <c r="C253" s="49"/>
      <c r="D253" s="49"/>
      <c r="E253" s="49"/>
      <c r="F253" s="49"/>
      <c r="G253" s="49"/>
      <c r="H253" s="49"/>
      <c r="I253" s="49"/>
    </row>
    <row r="254">
      <c r="A254" s="49"/>
      <c r="B254" s="49"/>
      <c r="C254" s="49"/>
      <c r="D254" s="49"/>
      <c r="E254" s="49"/>
      <c r="F254" s="49"/>
      <c r="G254" s="49"/>
      <c r="H254" s="49"/>
      <c r="I254" s="49"/>
    </row>
    <row r="255">
      <c r="A255" s="49"/>
      <c r="B255" s="49"/>
      <c r="C255" s="49"/>
      <c r="D255" s="49"/>
      <c r="E255" s="49"/>
      <c r="F255" s="49"/>
      <c r="G255" s="49"/>
      <c r="H255" s="49"/>
      <c r="I255" s="49"/>
    </row>
    <row r="256">
      <c r="A256" s="49"/>
      <c r="B256" s="49"/>
      <c r="C256" s="49"/>
      <c r="D256" s="49"/>
      <c r="E256" s="49"/>
      <c r="F256" s="49"/>
      <c r="G256" s="49"/>
      <c r="H256" s="49"/>
      <c r="I256" s="49"/>
    </row>
    <row r="257">
      <c r="A257" s="49"/>
      <c r="B257" s="49"/>
      <c r="C257" s="49"/>
      <c r="D257" s="49"/>
      <c r="E257" s="49"/>
      <c r="F257" s="49"/>
      <c r="G257" s="49"/>
      <c r="H257" s="49"/>
      <c r="I257" s="49"/>
    </row>
    <row r="258">
      <c r="A258" s="49"/>
      <c r="B258" s="49"/>
      <c r="C258" s="49"/>
      <c r="D258" s="49"/>
      <c r="E258" s="49"/>
      <c r="F258" s="49"/>
      <c r="G258" s="49"/>
      <c r="H258" s="49"/>
      <c r="I258" s="49"/>
    </row>
    <row r="259">
      <c r="A259" s="49"/>
      <c r="B259" s="49"/>
      <c r="C259" s="49"/>
      <c r="D259" s="49"/>
      <c r="E259" s="49"/>
      <c r="F259" s="49"/>
      <c r="G259" s="49"/>
      <c r="H259" s="49"/>
      <c r="I259" s="49"/>
    </row>
    <row r="260">
      <c r="A260" s="49"/>
      <c r="B260" s="49"/>
      <c r="C260" s="49"/>
      <c r="D260" s="49"/>
      <c r="E260" s="49"/>
      <c r="F260" s="49"/>
      <c r="G260" s="49"/>
      <c r="H260" s="49"/>
      <c r="I260" s="49"/>
    </row>
    <row r="261">
      <c r="A261" s="49"/>
      <c r="B261" s="49"/>
      <c r="C261" s="49"/>
      <c r="D261" s="49"/>
      <c r="E261" s="49"/>
      <c r="F261" s="49"/>
      <c r="G261" s="49"/>
      <c r="H261" s="49"/>
      <c r="I261" s="49"/>
    </row>
    <row r="262">
      <c r="A262" s="49"/>
      <c r="B262" s="49"/>
      <c r="C262" s="49"/>
      <c r="D262" s="49"/>
      <c r="E262" s="49"/>
      <c r="F262" s="49"/>
      <c r="G262" s="49"/>
      <c r="H262" s="49"/>
      <c r="I262" s="49"/>
    </row>
    <row r="263">
      <c r="A263" s="49"/>
      <c r="B263" s="49"/>
      <c r="C263" s="49"/>
      <c r="D263" s="49"/>
      <c r="E263" s="49"/>
      <c r="F263" s="49"/>
      <c r="G263" s="49"/>
      <c r="H263" s="49"/>
      <c r="I263" s="49"/>
    </row>
    <row r="264">
      <c r="A264" s="49"/>
      <c r="B264" s="49"/>
      <c r="C264" s="49"/>
      <c r="D264" s="49"/>
      <c r="E264" s="49"/>
      <c r="F264" s="49"/>
      <c r="G264" s="49"/>
      <c r="H264" s="49"/>
      <c r="I264" s="49"/>
    </row>
    <row r="265">
      <c r="A265" s="49"/>
      <c r="B265" s="49"/>
      <c r="C265" s="49"/>
      <c r="D265" s="49"/>
      <c r="E265" s="49"/>
      <c r="F265" s="49"/>
      <c r="G265" s="49"/>
      <c r="H265" s="49"/>
      <c r="I265" s="49"/>
    </row>
    <row r="266">
      <c r="A266" s="49"/>
      <c r="B266" s="49"/>
      <c r="C266" s="49"/>
      <c r="D266" s="49"/>
      <c r="E266" s="49"/>
      <c r="F266" s="49"/>
      <c r="G266" s="49"/>
      <c r="H266" s="49"/>
      <c r="I266" s="49"/>
    </row>
    <row r="267">
      <c r="A267" s="49"/>
      <c r="B267" s="49"/>
      <c r="C267" s="49"/>
      <c r="D267" s="49"/>
      <c r="E267" s="49"/>
      <c r="F267" s="49"/>
      <c r="G267" s="49"/>
      <c r="H267" s="49"/>
      <c r="I267" s="49"/>
    </row>
    <row r="268">
      <c r="A268" s="49"/>
      <c r="B268" s="49"/>
      <c r="C268" s="49"/>
      <c r="D268" s="49"/>
      <c r="E268" s="49"/>
      <c r="F268" s="49"/>
      <c r="G268" s="49"/>
      <c r="H268" s="49"/>
      <c r="I268" s="49"/>
    </row>
    <row r="269">
      <c r="A269" s="49"/>
      <c r="B269" s="49"/>
      <c r="C269" s="49"/>
      <c r="D269" s="49"/>
      <c r="E269" s="49"/>
      <c r="F269" s="49"/>
      <c r="G269" s="49"/>
      <c r="H269" s="49"/>
      <c r="I269" s="49"/>
    </row>
    <row r="270">
      <c r="A270" s="49"/>
      <c r="B270" s="49"/>
      <c r="C270" s="49"/>
      <c r="D270" s="49"/>
      <c r="E270" s="49"/>
      <c r="F270" s="49"/>
      <c r="G270" s="49"/>
      <c r="H270" s="49"/>
      <c r="I270" s="49"/>
    </row>
    <row r="271">
      <c r="A271" s="49"/>
      <c r="B271" s="49"/>
      <c r="C271" s="49"/>
      <c r="D271" s="49"/>
      <c r="E271" s="49"/>
      <c r="F271" s="49"/>
      <c r="G271" s="49"/>
      <c r="H271" s="49"/>
      <c r="I271" s="49"/>
    </row>
    <row r="272">
      <c r="A272" s="49"/>
      <c r="B272" s="49"/>
      <c r="C272" s="49"/>
      <c r="D272" s="49"/>
      <c r="E272" s="49"/>
      <c r="F272" s="49"/>
      <c r="G272" s="49"/>
      <c r="H272" s="49"/>
      <c r="I272" s="49"/>
    </row>
    <row r="273">
      <c r="A273" s="49"/>
      <c r="B273" s="49"/>
      <c r="C273" s="49"/>
      <c r="D273" s="49"/>
      <c r="E273" s="49"/>
      <c r="F273" s="49"/>
      <c r="G273" s="49"/>
      <c r="H273" s="49"/>
      <c r="I273" s="49"/>
    </row>
    <row r="274">
      <c r="A274" s="49"/>
      <c r="B274" s="49"/>
      <c r="C274" s="49"/>
      <c r="D274" s="49"/>
      <c r="E274" s="49"/>
      <c r="F274" s="49"/>
      <c r="G274" s="49"/>
      <c r="H274" s="49"/>
      <c r="I274" s="49"/>
    </row>
    <row r="275">
      <c r="A275" s="49"/>
      <c r="B275" s="49"/>
      <c r="C275" s="49"/>
      <c r="D275" s="49"/>
      <c r="E275" s="49"/>
      <c r="F275" s="49"/>
      <c r="G275" s="49"/>
      <c r="H275" s="49"/>
      <c r="I275" s="49"/>
    </row>
    <row r="276">
      <c r="A276" s="49"/>
      <c r="B276" s="49"/>
      <c r="C276" s="49"/>
      <c r="D276" s="49"/>
      <c r="E276" s="49"/>
      <c r="F276" s="49"/>
      <c r="G276" s="49"/>
      <c r="H276" s="49"/>
      <c r="I276" s="49"/>
    </row>
    <row r="277">
      <c r="A277" s="49"/>
      <c r="B277" s="49"/>
      <c r="C277" s="49"/>
      <c r="D277" s="49"/>
      <c r="E277" s="49"/>
      <c r="F277" s="49"/>
      <c r="G277" s="49"/>
      <c r="H277" s="49"/>
      <c r="I277" s="49"/>
    </row>
    <row r="278">
      <c r="A278" s="49"/>
      <c r="B278" s="49"/>
      <c r="C278" s="49"/>
      <c r="D278" s="49"/>
      <c r="E278" s="49"/>
      <c r="F278" s="49"/>
      <c r="G278" s="49"/>
      <c r="H278" s="49"/>
      <c r="I278" s="49"/>
    </row>
    <row r="279">
      <c r="A279" s="49"/>
      <c r="B279" s="49"/>
      <c r="C279" s="49"/>
      <c r="D279" s="49"/>
      <c r="E279" s="49"/>
      <c r="F279" s="49"/>
      <c r="G279" s="49"/>
      <c r="H279" s="49"/>
      <c r="I279" s="49"/>
    </row>
    <row r="280">
      <c r="A280" s="49"/>
      <c r="B280" s="49"/>
      <c r="C280" s="49"/>
      <c r="D280" s="49"/>
      <c r="E280" s="49"/>
      <c r="F280" s="49"/>
      <c r="G280" s="49"/>
      <c r="H280" s="49"/>
      <c r="I280" s="49"/>
    </row>
    <row r="281">
      <c r="A281" s="49"/>
      <c r="B281" s="49"/>
      <c r="C281" s="49"/>
      <c r="D281" s="49"/>
      <c r="E281" s="49"/>
      <c r="F281" s="49"/>
      <c r="G281" s="49"/>
      <c r="H281" s="49"/>
      <c r="I281" s="49"/>
    </row>
    <row r="282">
      <c r="A282" s="49"/>
      <c r="B282" s="49"/>
      <c r="C282" s="49"/>
      <c r="D282" s="49"/>
      <c r="E282" s="49"/>
      <c r="F282" s="49"/>
      <c r="G282" s="49"/>
      <c r="H282" s="49"/>
      <c r="I282" s="49"/>
    </row>
    <row r="283">
      <c r="A283" s="49"/>
      <c r="B283" s="49"/>
      <c r="C283" s="49"/>
      <c r="D283" s="49"/>
      <c r="E283" s="49"/>
      <c r="F283" s="49"/>
      <c r="G283" s="49"/>
      <c r="H283" s="49"/>
      <c r="I283" s="49"/>
    </row>
    <row r="284">
      <c r="A284" s="49"/>
      <c r="B284" s="49"/>
      <c r="C284" s="49"/>
      <c r="D284" s="49"/>
      <c r="E284" s="49"/>
      <c r="F284" s="49"/>
      <c r="G284" s="49"/>
      <c r="H284" s="49"/>
      <c r="I284" s="49"/>
    </row>
    <row r="285">
      <c r="A285" s="49"/>
      <c r="B285" s="49"/>
      <c r="C285" s="49"/>
      <c r="D285" s="49"/>
      <c r="E285" s="49"/>
      <c r="F285" s="49"/>
      <c r="G285" s="49"/>
      <c r="H285" s="49"/>
      <c r="I285" s="49"/>
    </row>
    <row r="286">
      <c r="A286" s="49"/>
      <c r="B286" s="49"/>
      <c r="C286" s="49"/>
      <c r="D286" s="49"/>
      <c r="E286" s="49"/>
      <c r="F286" s="49"/>
      <c r="G286" s="49"/>
      <c r="H286" s="49"/>
      <c r="I286" s="49"/>
    </row>
    <row r="287">
      <c r="A287" s="49"/>
      <c r="B287" s="49"/>
      <c r="C287" s="49"/>
      <c r="D287" s="49"/>
      <c r="E287" s="49"/>
      <c r="F287" s="49"/>
      <c r="G287" s="49"/>
      <c r="H287" s="49"/>
      <c r="I287" s="49"/>
    </row>
    <row r="288">
      <c r="A288" s="49"/>
      <c r="B288" s="49"/>
      <c r="C288" s="49"/>
      <c r="D288" s="49"/>
      <c r="E288" s="49"/>
      <c r="F288" s="49"/>
      <c r="G288" s="49"/>
      <c r="H288" s="49"/>
      <c r="I288" s="49"/>
    </row>
    <row r="289">
      <c r="A289" s="49"/>
      <c r="B289" s="49"/>
      <c r="C289" s="49"/>
      <c r="D289" s="49"/>
      <c r="E289" s="49"/>
      <c r="F289" s="49"/>
      <c r="G289" s="49"/>
      <c r="H289" s="49"/>
      <c r="I289" s="49"/>
    </row>
    <row r="290">
      <c r="A290" s="49"/>
      <c r="B290" s="49"/>
      <c r="C290" s="49"/>
      <c r="D290" s="49"/>
      <c r="E290" s="49"/>
      <c r="F290" s="49"/>
      <c r="G290" s="49"/>
      <c r="H290" s="49"/>
      <c r="I290" s="49"/>
    </row>
    <row r="291">
      <c r="A291" s="49"/>
      <c r="B291" s="49"/>
      <c r="C291" s="49"/>
      <c r="D291" s="49"/>
      <c r="E291" s="49"/>
      <c r="F291" s="49"/>
      <c r="G291" s="49"/>
      <c r="H291" s="49"/>
      <c r="I291" s="49"/>
    </row>
    <row r="292">
      <c r="A292" s="49"/>
      <c r="B292" s="49"/>
      <c r="C292" s="49"/>
      <c r="D292" s="49"/>
      <c r="E292" s="49"/>
      <c r="F292" s="49"/>
      <c r="G292" s="49"/>
      <c r="H292" s="49"/>
      <c r="I292" s="49"/>
    </row>
    <row r="293">
      <c r="A293" s="49"/>
      <c r="B293" s="49"/>
      <c r="C293" s="49"/>
      <c r="D293" s="49"/>
      <c r="E293" s="49"/>
      <c r="F293" s="49"/>
      <c r="G293" s="49"/>
      <c r="H293" s="49"/>
      <c r="I293" s="49"/>
    </row>
    <row r="294">
      <c r="A294" s="49"/>
      <c r="B294" s="49"/>
      <c r="C294" s="49"/>
      <c r="D294" s="49"/>
      <c r="E294" s="49"/>
      <c r="F294" s="49"/>
      <c r="G294" s="49"/>
      <c r="H294" s="49"/>
      <c r="I294" s="49"/>
    </row>
    <row r="295">
      <c r="A295" s="49"/>
      <c r="B295" s="49"/>
      <c r="C295" s="49"/>
      <c r="D295" s="49"/>
      <c r="E295" s="49"/>
      <c r="F295" s="49"/>
      <c r="G295" s="49"/>
      <c r="H295" s="49"/>
      <c r="I295" s="49"/>
    </row>
    <row r="296">
      <c r="A296" s="49"/>
      <c r="B296" s="49"/>
      <c r="C296" s="49"/>
      <c r="D296" s="49"/>
      <c r="E296" s="49"/>
      <c r="F296" s="49"/>
      <c r="G296" s="49"/>
      <c r="H296" s="49"/>
      <c r="I296" s="49"/>
    </row>
    <row r="297">
      <c r="A297" s="49"/>
      <c r="B297" s="49"/>
      <c r="C297" s="49"/>
      <c r="D297" s="49"/>
      <c r="E297" s="49"/>
      <c r="F297" s="49"/>
      <c r="G297" s="49"/>
      <c r="H297" s="49"/>
      <c r="I297" s="49"/>
    </row>
    <row r="298">
      <c r="A298" s="49"/>
      <c r="B298" s="49"/>
      <c r="C298" s="49"/>
      <c r="D298" s="49"/>
      <c r="E298" s="49"/>
      <c r="F298" s="49"/>
      <c r="G298" s="49"/>
      <c r="H298" s="49"/>
      <c r="I298" s="49"/>
    </row>
    <row r="299">
      <c r="A299" s="49"/>
      <c r="B299" s="49"/>
      <c r="C299" s="49"/>
      <c r="D299" s="49"/>
      <c r="E299" s="49"/>
      <c r="F299" s="49"/>
      <c r="G299" s="49"/>
      <c r="H299" s="49"/>
      <c r="I299" s="49"/>
    </row>
    <row r="300">
      <c r="A300" s="49"/>
      <c r="B300" s="49"/>
      <c r="C300" s="49"/>
      <c r="D300" s="49"/>
      <c r="E300" s="49"/>
      <c r="F300" s="49"/>
      <c r="G300" s="49"/>
      <c r="H300" s="49"/>
      <c r="I300" s="49"/>
    </row>
    <row r="301">
      <c r="A301" s="49"/>
      <c r="B301" s="49"/>
      <c r="C301" s="49"/>
      <c r="D301" s="49"/>
      <c r="E301" s="49"/>
      <c r="F301" s="49"/>
      <c r="G301" s="49"/>
      <c r="H301" s="49"/>
      <c r="I301" s="49"/>
    </row>
    <row r="302">
      <c r="A302" s="49"/>
      <c r="B302" s="49"/>
      <c r="C302" s="49"/>
      <c r="D302" s="49"/>
      <c r="E302" s="49"/>
      <c r="F302" s="49"/>
      <c r="G302" s="49"/>
      <c r="H302" s="49"/>
      <c r="I302" s="49"/>
    </row>
    <row r="303">
      <c r="A303" s="49"/>
      <c r="B303" s="49"/>
      <c r="C303" s="49"/>
      <c r="D303" s="49"/>
      <c r="E303" s="49"/>
      <c r="F303" s="49"/>
      <c r="G303" s="49"/>
      <c r="H303" s="49"/>
      <c r="I303" s="49"/>
    </row>
    <row r="304">
      <c r="A304" s="49"/>
      <c r="B304" s="49"/>
      <c r="C304" s="49"/>
      <c r="D304" s="49"/>
      <c r="E304" s="49"/>
      <c r="F304" s="49"/>
      <c r="G304" s="49"/>
      <c r="H304" s="49"/>
      <c r="I304" s="49"/>
    </row>
    <row r="305">
      <c r="A305" s="49"/>
      <c r="B305" s="49"/>
      <c r="C305" s="49"/>
      <c r="D305" s="49"/>
      <c r="E305" s="49"/>
      <c r="F305" s="49"/>
      <c r="G305" s="49"/>
      <c r="H305" s="49"/>
      <c r="I305" s="49"/>
    </row>
    <row r="306">
      <c r="A306" s="49"/>
      <c r="B306" s="49"/>
      <c r="C306" s="49"/>
      <c r="D306" s="49"/>
      <c r="E306" s="49"/>
      <c r="F306" s="49"/>
      <c r="G306" s="49"/>
      <c r="H306" s="49"/>
      <c r="I306" s="49"/>
    </row>
    <row r="307">
      <c r="A307" s="49"/>
      <c r="B307" s="49"/>
      <c r="C307" s="49"/>
      <c r="D307" s="49"/>
      <c r="E307" s="49"/>
      <c r="F307" s="49"/>
      <c r="G307" s="49"/>
      <c r="H307" s="49"/>
      <c r="I307" s="49"/>
    </row>
    <row r="308">
      <c r="A308" s="49"/>
      <c r="B308" s="49"/>
      <c r="C308" s="49"/>
      <c r="D308" s="49"/>
      <c r="E308" s="49"/>
      <c r="F308" s="49"/>
      <c r="G308" s="49"/>
      <c r="H308" s="49"/>
      <c r="I308" s="49"/>
    </row>
    <row r="309">
      <c r="A309" s="49"/>
      <c r="B309" s="49"/>
      <c r="C309" s="49"/>
      <c r="D309" s="49"/>
      <c r="E309" s="49"/>
      <c r="F309" s="49"/>
      <c r="G309" s="49"/>
      <c r="H309" s="49"/>
      <c r="I309" s="49"/>
    </row>
    <row r="310">
      <c r="A310" s="49"/>
      <c r="B310" s="49"/>
      <c r="C310" s="49"/>
      <c r="D310" s="49"/>
      <c r="E310" s="49"/>
      <c r="F310" s="49"/>
      <c r="G310" s="49"/>
      <c r="H310" s="49"/>
      <c r="I310" s="49"/>
    </row>
    <row r="311">
      <c r="A311" s="49"/>
      <c r="B311" s="49"/>
      <c r="C311" s="49"/>
      <c r="D311" s="49"/>
      <c r="E311" s="49"/>
      <c r="F311" s="49"/>
      <c r="G311" s="49"/>
      <c r="H311" s="49"/>
      <c r="I311" s="49"/>
    </row>
    <row r="312">
      <c r="A312" s="49"/>
      <c r="B312" s="49"/>
      <c r="C312" s="49"/>
      <c r="D312" s="49"/>
      <c r="E312" s="49"/>
      <c r="F312" s="49"/>
      <c r="G312" s="49"/>
      <c r="H312" s="49"/>
      <c r="I312" s="49"/>
    </row>
    <row r="313">
      <c r="A313" s="49"/>
      <c r="B313" s="49"/>
      <c r="C313" s="49"/>
      <c r="D313" s="49"/>
      <c r="E313" s="49"/>
      <c r="F313" s="49"/>
      <c r="G313" s="49"/>
      <c r="H313" s="49"/>
      <c r="I313" s="49"/>
    </row>
    <row r="314">
      <c r="A314" s="49"/>
      <c r="B314" s="49"/>
      <c r="C314" s="49"/>
      <c r="D314" s="49"/>
      <c r="E314" s="49"/>
      <c r="F314" s="49"/>
      <c r="G314" s="49"/>
      <c r="H314" s="49"/>
      <c r="I314" s="49"/>
    </row>
    <row r="315">
      <c r="A315" s="49"/>
      <c r="B315" s="49"/>
      <c r="C315" s="49"/>
      <c r="D315" s="49"/>
      <c r="E315" s="49"/>
      <c r="F315" s="49"/>
      <c r="G315" s="49"/>
      <c r="H315" s="49"/>
      <c r="I315" s="49"/>
    </row>
    <row r="316">
      <c r="A316" s="49"/>
      <c r="B316" s="49"/>
      <c r="C316" s="49"/>
      <c r="D316" s="49"/>
      <c r="E316" s="49"/>
      <c r="F316" s="49"/>
      <c r="G316" s="49"/>
      <c r="H316" s="49"/>
      <c r="I316" s="49"/>
    </row>
    <row r="317">
      <c r="A317" s="49"/>
      <c r="B317" s="49"/>
      <c r="C317" s="49"/>
      <c r="D317" s="49"/>
      <c r="E317" s="49"/>
      <c r="F317" s="49"/>
      <c r="G317" s="49"/>
      <c r="H317" s="49"/>
      <c r="I317" s="49"/>
    </row>
    <row r="318">
      <c r="A318" s="49"/>
      <c r="B318" s="49"/>
      <c r="C318" s="49"/>
      <c r="D318" s="49"/>
      <c r="E318" s="49"/>
      <c r="F318" s="49"/>
      <c r="G318" s="49"/>
      <c r="H318" s="49"/>
      <c r="I318" s="49"/>
    </row>
    <row r="319">
      <c r="A319" s="49"/>
      <c r="B319" s="49"/>
      <c r="C319" s="49"/>
      <c r="D319" s="49"/>
      <c r="E319" s="49"/>
      <c r="F319" s="49"/>
      <c r="G319" s="49"/>
      <c r="H319" s="49"/>
      <c r="I319" s="49"/>
    </row>
    <row r="320">
      <c r="A320" s="49"/>
      <c r="B320" s="49"/>
      <c r="C320" s="49"/>
      <c r="D320" s="49"/>
      <c r="E320" s="49"/>
      <c r="F320" s="49"/>
      <c r="G320" s="49"/>
      <c r="H320" s="49"/>
      <c r="I320" s="49"/>
    </row>
    <row r="321">
      <c r="A321" s="49"/>
      <c r="B321" s="49"/>
      <c r="C321" s="49"/>
      <c r="D321" s="49"/>
      <c r="E321" s="49"/>
      <c r="F321" s="49"/>
      <c r="G321" s="49"/>
      <c r="H321" s="49"/>
      <c r="I321" s="49"/>
    </row>
    <row r="322">
      <c r="A322" s="49"/>
      <c r="B322" s="49"/>
      <c r="C322" s="49"/>
      <c r="D322" s="49"/>
      <c r="E322" s="49"/>
      <c r="F322" s="49"/>
      <c r="G322" s="49"/>
      <c r="H322" s="49"/>
      <c r="I322" s="49"/>
    </row>
    <row r="323">
      <c r="A323" s="49"/>
      <c r="B323" s="49"/>
      <c r="C323" s="49"/>
      <c r="D323" s="49"/>
      <c r="E323" s="49"/>
      <c r="F323" s="49"/>
      <c r="G323" s="49"/>
      <c r="H323" s="49"/>
      <c r="I323" s="49"/>
    </row>
    <row r="324">
      <c r="A324" s="49"/>
      <c r="B324" s="49"/>
      <c r="C324" s="49"/>
      <c r="D324" s="49"/>
      <c r="E324" s="49"/>
      <c r="F324" s="49"/>
      <c r="G324" s="49"/>
      <c r="H324" s="49"/>
      <c r="I324" s="49"/>
    </row>
    <row r="325">
      <c r="A325" s="49"/>
      <c r="B325" s="49"/>
      <c r="C325" s="49"/>
      <c r="D325" s="49"/>
      <c r="E325" s="49"/>
      <c r="F325" s="49"/>
      <c r="G325" s="49"/>
      <c r="H325" s="49"/>
      <c r="I325" s="49"/>
    </row>
    <row r="326">
      <c r="A326" s="49"/>
      <c r="B326" s="49"/>
      <c r="C326" s="49"/>
      <c r="D326" s="49"/>
      <c r="E326" s="49"/>
      <c r="F326" s="49"/>
      <c r="G326" s="49"/>
      <c r="H326" s="49"/>
      <c r="I326" s="49"/>
    </row>
    <row r="327">
      <c r="A327" s="49"/>
      <c r="B327" s="49"/>
      <c r="C327" s="49"/>
      <c r="D327" s="49"/>
      <c r="E327" s="49"/>
      <c r="F327" s="49"/>
      <c r="G327" s="49"/>
      <c r="H327" s="49"/>
      <c r="I327" s="49"/>
    </row>
    <row r="328">
      <c r="A328" s="49"/>
      <c r="B328" s="49"/>
      <c r="C328" s="49"/>
      <c r="D328" s="49"/>
      <c r="E328" s="49"/>
      <c r="F328" s="49"/>
      <c r="G328" s="49"/>
      <c r="H328" s="49"/>
      <c r="I328" s="49"/>
    </row>
    <row r="329">
      <c r="A329" s="49"/>
      <c r="B329" s="49"/>
      <c r="C329" s="49"/>
      <c r="D329" s="49"/>
      <c r="E329" s="49"/>
      <c r="F329" s="49"/>
      <c r="G329" s="49"/>
      <c r="H329" s="49"/>
      <c r="I329" s="49"/>
    </row>
    <row r="330">
      <c r="A330" s="49"/>
      <c r="B330" s="49"/>
      <c r="C330" s="49"/>
      <c r="D330" s="49"/>
      <c r="E330" s="49"/>
      <c r="F330" s="49"/>
      <c r="G330" s="49"/>
      <c r="H330" s="49"/>
      <c r="I330" s="49"/>
    </row>
    <row r="331">
      <c r="A331" s="49"/>
      <c r="B331" s="49"/>
      <c r="C331" s="49"/>
      <c r="D331" s="49"/>
      <c r="E331" s="49"/>
      <c r="F331" s="49"/>
      <c r="G331" s="49"/>
      <c r="H331" s="49"/>
      <c r="I331" s="49"/>
    </row>
    <row r="332">
      <c r="A332" s="49"/>
      <c r="B332" s="49"/>
      <c r="C332" s="49"/>
      <c r="D332" s="49"/>
      <c r="E332" s="49"/>
      <c r="F332" s="49"/>
      <c r="G332" s="49"/>
      <c r="H332" s="49"/>
      <c r="I332" s="49"/>
    </row>
    <row r="333">
      <c r="A333" s="49"/>
      <c r="B333" s="49"/>
      <c r="C333" s="49"/>
      <c r="D333" s="49"/>
      <c r="E333" s="49"/>
      <c r="F333" s="49"/>
      <c r="G333" s="49"/>
      <c r="H333" s="49"/>
      <c r="I333" s="49"/>
    </row>
    <row r="334">
      <c r="A334" s="49"/>
      <c r="B334" s="49"/>
      <c r="C334" s="49"/>
      <c r="D334" s="49"/>
      <c r="E334" s="49"/>
      <c r="F334" s="49"/>
      <c r="G334" s="49"/>
      <c r="H334" s="49"/>
      <c r="I334" s="49"/>
    </row>
    <row r="335">
      <c r="A335" s="49"/>
      <c r="B335" s="49"/>
      <c r="C335" s="49"/>
      <c r="D335" s="49"/>
      <c r="E335" s="49"/>
      <c r="F335" s="49"/>
      <c r="G335" s="49"/>
      <c r="H335" s="49"/>
      <c r="I335" s="49"/>
    </row>
    <row r="336">
      <c r="A336" s="49"/>
      <c r="B336" s="49"/>
      <c r="C336" s="49"/>
      <c r="D336" s="49"/>
      <c r="E336" s="49"/>
      <c r="F336" s="49"/>
      <c r="G336" s="49"/>
      <c r="H336" s="49"/>
      <c r="I336" s="49"/>
    </row>
    <row r="337">
      <c r="A337" s="49"/>
      <c r="B337" s="49"/>
      <c r="C337" s="49"/>
      <c r="D337" s="49"/>
      <c r="E337" s="49"/>
      <c r="F337" s="49"/>
      <c r="G337" s="49"/>
      <c r="H337" s="49"/>
      <c r="I337" s="49"/>
    </row>
    <row r="338">
      <c r="A338" s="49"/>
      <c r="B338" s="49"/>
      <c r="C338" s="49"/>
      <c r="D338" s="49"/>
      <c r="E338" s="49"/>
      <c r="F338" s="49"/>
      <c r="G338" s="49"/>
      <c r="H338" s="49"/>
      <c r="I338" s="49"/>
    </row>
    <row r="339">
      <c r="A339" s="49"/>
      <c r="B339" s="49"/>
      <c r="C339" s="49"/>
      <c r="D339" s="49"/>
      <c r="E339" s="49"/>
      <c r="F339" s="49"/>
      <c r="G339" s="49"/>
      <c r="H339" s="49"/>
      <c r="I339" s="49"/>
    </row>
    <row r="340">
      <c r="A340" s="49"/>
      <c r="B340" s="49"/>
      <c r="C340" s="49"/>
      <c r="D340" s="49"/>
      <c r="E340" s="49"/>
      <c r="F340" s="49"/>
      <c r="G340" s="49"/>
      <c r="H340" s="49"/>
      <c r="I340" s="49"/>
    </row>
    <row r="341">
      <c r="A341" s="49"/>
      <c r="B341" s="49"/>
      <c r="C341" s="49"/>
      <c r="D341" s="49"/>
      <c r="E341" s="49"/>
      <c r="F341" s="49"/>
      <c r="G341" s="49"/>
      <c r="H341" s="49"/>
      <c r="I341" s="49"/>
    </row>
    <row r="342">
      <c r="A342" s="49"/>
      <c r="B342" s="49"/>
      <c r="C342" s="49"/>
      <c r="D342" s="49"/>
      <c r="E342" s="49"/>
      <c r="F342" s="49"/>
      <c r="G342" s="49"/>
      <c r="H342" s="49"/>
      <c r="I342" s="49"/>
    </row>
    <row r="343">
      <c r="A343" s="49"/>
      <c r="B343" s="49"/>
      <c r="C343" s="49"/>
      <c r="D343" s="49"/>
      <c r="E343" s="49"/>
      <c r="F343" s="49"/>
      <c r="G343" s="49"/>
      <c r="H343" s="49"/>
      <c r="I343" s="49"/>
    </row>
    <row r="344">
      <c r="A344" s="49"/>
      <c r="B344" s="49"/>
      <c r="C344" s="49"/>
      <c r="D344" s="49"/>
      <c r="E344" s="49"/>
      <c r="F344" s="49"/>
      <c r="G344" s="49"/>
      <c r="H344" s="49"/>
      <c r="I344" s="49"/>
    </row>
    <row r="345">
      <c r="A345" s="49"/>
      <c r="B345" s="49"/>
      <c r="C345" s="49"/>
      <c r="D345" s="49"/>
      <c r="E345" s="49"/>
      <c r="F345" s="49"/>
      <c r="G345" s="49"/>
      <c r="H345" s="49"/>
      <c r="I345" s="49"/>
    </row>
    <row r="346">
      <c r="A346" s="49"/>
      <c r="B346" s="49"/>
      <c r="C346" s="49"/>
      <c r="D346" s="49"/>
      <c r="E346" s="49"/>
      <c r="F346" s="49"/>
      <c r="G346" s="49"/>
      <c r="H346" s="49"/>
      <c r="I346" s="49"/>
    </row>
    <row r="347">
      <c r="A347" s="49"/>
      <c r="B347" s="49"/>
      <c r="C347" s="49"/>
      <c r="D347" s="49"/>
      <c r="E347" s="49"/>
      <c r="F347" s="49"/>
      <c r="G347" s="49"/>
      <c r="H347" s="49"/>
      <c r="I347" s="49"/>
    </row>
    <row r="348">
      <c r="A348" s="49"/>
      <c r="B348" s="49"/>
      <c r="C348" s="49"/>
      <c r="D348" s="49"/>
      <c r="E348" s="49"/>
      <c r="F348" s="49"/>
      <c r="G348" s="49"/>
      <c r="H348" s="49"/>
      <c r="I348" s="49"/>
    </row>
    <row r="349">
      <c r="A349" s="49"/>
      <c r="B349" s="49"/>
      <c r="C349" s="49"/>
      <c r="D349" s="49"/>
      <c r="E349" s="49"/>
      <c r="F349" s="49"/>
      <c r="G349" s="49"/>
      <c r="H349" s="49"/>
      <c r="I349" s="49"/>
    </row>
    <row r="350">
      <c r="A350" s="49"/>
      <c r="B350" s="49"/>
      <c r="C350" s="49"/>
      <c r="D350" s="49"/>
      <c r="E350" s="49"/>
      <c r="F350" s="49"/>
      <c r="G350" s="49"/>
      <c r="H350" s="49"/>
      <c r="I350" s="49"/>
    </row>
    <row r="351">
      <c r="A351" s="49"/>
      <c r="B351" s="49"/>
      <c r="C351" s="49"/>
      <c r="D351" s="49"/>
      <c r="E351" s="49"/>
      <c r="F351" s="49"/>
      <c r="G351" s="49"/>
      <c r="H351" s="49"/>
      <c r="I351" s="49"/>
    </row>
    <row r="352">
      <c r="A352" s="49"/>
      <c r="B352" s="49"/>
      <c r="C352" s="49"/>
      <c r="D352" s="49"/>
      <c r="E352" s="49"/>
      <c r="F352" s="49"/>
      <c r="G352" s="49"/>
      <c r="H352" s="49"/>
      <c r="I352" s="49"/>
    </row>
    <row r="353">
      <c r="A353" s="49"/>
      <c r="B353" s="49"/>
      <c r="C353" s="49"/>
      <c r="D353" s="49"/>
      <c r="E353" s="49"/>
      <c r="F353" s="49"/>
      <c r="G353" s="49"/>
      <c r="H353" s="49"/>
      <c r="I353" s="49"/>
    </row>
    <row r="354">
      <c r="A354" s="49"/>
      <c r="B354" s="49"/>
      <c r="C354" s="49"/>
      <c r="D354" s="49"/>
      <c r="E354" s="49"/>
      <c r="F354" s="49"/>
      <c r="G354" s="49"/>
      <c r="H354" s="49"/>
      <c r="I354" s="49"/>
    </row>
    <row r="355">
      <c r="A355" s="49"/>
      <c r="B355" s="49"/>
      <c r="C355" s="49"/>
      <c r="D355" s="49"/>
      <c r="E355" s="49"/>
      <c r="F355" s="49"/>
      <c r="G355" s="49"/>
      <c r="H355" s="49"/>
      <c r="I355" s="49"/>
    </row>
    <row r="356">
      <c r="A356" s="49"/>
      <c r="B356" s="49"/>
      <c r="C356" s="49"/>
      <c r="D356" s="49"/>
      <c r="E356" s="49"/>
      <c r="F356" s="49"/>
      <c r="G356" s="49"/>
      <c r="H356" s="49"/>
      <c r="I356" s="49"/>
    </row>
    <row r="357">
      <c r="A357" s="49"/>
      <c r="B357" s="49"/>
      <c r="C357" s="49"/>
      <c r="D357" s="49"/>
      <c r="E357" s="49"/>
      <c r="F357" s="49"/>
      <c r="G357" s="49"/>
      <c r="H357" s="49"/>
      <c r="I357" s="49"/>
    </row>
    <row r="358">
      <c r="A358" s="49"/>
      <c r="B358" s="49"/>
      <c r="C358" s="49"/>
      <c r="D358" s="49"/>
      <c r="E358" s="49"/>
      <c r="F358" s="49"/>
      <c r="G358" s="49"/>
      <c r="H358" s="49"/>
      <c r="I358" s="49"/>
    </row>
    <row r="359">
      <c r="A359" s="49"/>
      <c r="B359" s="49"/>
      <c r="C359" s="49"/>
      <c r="D359" s="49"/>
      <c r="E359" s="49"/>
      <c r="F359" s="49"/>
      <c r="G359" s="49"/>
      <c r="H359" s="49"/>
      <c r="I359" s="49"/>
    </row>
    <row r="360">
      <c r="A360" s="49"/>
      <c r="B360" s="49"/>
      <c r="C360" s="49"/>
      <c r="D360" s="49"/>
      <c r="E360" s="49"/>
      <c r="F360" s="49"/>
      <c r="G360" s="49"/>
      <c r="H360" s="49"/>
      <c r="I360" s="49"/>
    </row>
    <row r="361">
      <c r="A361" s="49"/>
      <c r="B361" s="49"/>
      <c r="C361" s="49"/>
      <c r="D361" s="49"/>
      <c r="E361" s="49"/>
      <c r="F361" s="49"/>
      <c r="G361" s="49"/>
      <c r="H361" s="49"/>
      <c r="I361" s="49"/>
    </row>
    <row r="362">
      <c r="A362" s="49"/>
      <c r="B362" s="49"/>
      <c r="C362" s="49"/>
      <c r="D362" s="49"/>
      <c r="E362" s="49"/>
      <c r="F362" s="49"/>
      <c r="G362" s="49"/>
      <c r="H362" s="49"/>
      <c r="I362" s="49"/>
    </row>
    <row r="363">
      <c r="A363" s="49"/>
      <c r="B363" s="49"/>
      <c r="C363" s="49"/>
      <c r="D363" s="49"/>
      <c r="E363" s="49"/>
      <c r="F363" s="49"/>
      <c r="G363" s="49"/>
      <c r="H363" s="49"/>
      <c r="I363" s="49"/>
    </row>
    <row r="364">
      <c r="A364" s="49"/>
      <c r="B364" s="49"/>
      <c r="C364" s="49"/>
      <c r="D364" s="49"/>
      <c r="E364" s="49"/>
      <c r="F364" s="49"/>
      <c r="G364" s="49"/>
      <c r="H364" s="49"/>
      <c r="I364" s="49"/>
    </row>
    <row r="365">
      <c r="A365" s="49"/>
      <c r="B365" s="49"/>
      <c r="C365" s="49"/>
      <c r="D365" s="49"/>
      <c r="E365" s="49"/>
      <c r="F365" s="49"/>
      <c r="G365" s="49"/>
      <c r="H365" s="49"/>
      <c r="I365" s="49"/>
    </row>
    <row r="366">
      <c r="A366" s="49"/>
      <c r="B366" s="49"/>
      <c r="C366" s="49"/>
      <c r="D366" s="49"/>
      <c r="E366" s="49"/>
      <c r="F366" s="49"/>
      <c r="G366" s="49"/>
      <c r="H366" s="49"/>
      <c r="I366" s="49"/>
    </row>
    <row r="367">
      <c r="A367" s="49"/>
      <c r="B367" s="49"/>
      <c r="C367" s="49"/>
      <c r="D367" s="49"/>
      <c r="E367" s="49"/>
      <c r="F367" s="49"/>
      <c r="G367" s="49"/>
      <c r="H367" s="49"/>
      <c r="I367" s="49"/>
    </row>
    <row r="368">
      <c r="A368" s="49"/>
      <c r="B368" s="49"/>
      <c r="C368" s="49"/>
      <c r="D368" s="49"/>
      <c r="E368" s="49"/>
      <c r="F368" s="49"/>
      <c r="G368" s="49"/>
      <c r="H368" s="49"/>
      <c r="I368" s="49"/>
    </row>
    <row r="369">
      <c r="A369" s="49"/>
      <c r="B369" s="49"/>
      <c r="C369" s="49"/>
      <c r="D369" s="49"/>
      <c r="E369" s="49"/>
      <c r="F369" s="49"/>
      <c r="G369" s="49"/>
      <c r="H369" s="49"/>
      <c r="I369" s="49"/>
    </row>
    <row r="370">
      <c r="A370" s="49"/>
      <c r="B370" s="49"/>
      <c r="C370" s="49"/>
      <c r="D370" s="49"/>
      <c r="E370" s="49"/>
      <c r="F370" s="49"/>
      <c r="G370" s="49"/>
      <c r="H370" s="49"/>
      <c r="I370" s="49"/>
    </row>
    <row r="371">
      <c r="A371" s="49"/>
      <c r="B371" s="49"/>
      <c r="C371" s="49"/>
      <c r="D371" s="49"/>
      <c r="E371" s="49"/>
      <c r="F371" s="49"/>
      <c r="G371" s="49"/>
      <c r="H371" s="49"/>
      <c r="I371" s="49"/>
    </row>
    <row r="372">
      <c r="A372" s="49"/>
      <c r="B372" s="49"/>
      <c r="C372" s="49"/>
      <c r="D372" s="49"/>
      <c r="E372" s="49"/>
      <c r="F372" s="49"/>
      <c r="G372" s="49"/>
      <c r="H372" s="49"/>
      <c r="I372" s="49"/>
    </row>
    <row r="373">
      <c r="A373" s="49"/>
      <c r="B373" s="49"/>
      <c r="C373" s="49"/>
      <c r="D373" s="49"/>
      <c r="E373" s="49"/>
      <c r="F373" s="49"/>
      <c r="G373" s="49"/>
      <c r="H373" s="49"/>
      <c r="I373" s="49"/>
    </row>
    <row r="374">
      <c r="A374" s="49"/>
      <c r="B374" s="49"/>
      <c r="C374" s="49"/>
      <c r="D374" s="49"/>
      <c r="E374" s="49"/>
      <c r="F374" s="49"/>
      <c r="G374" s="49"/>
      <c r="H374" s="49"/>
      <c r="I374" s="49"/>
    </row>
    <row r="375">
      <c r="A375" s="49"/>
      <c r="B375" s="49"/>
      <c r="C375" s="49"/>
      <c r="D375" s="49"/>
      <c r="E375" s="49"/>
      <c r="F375" s="49"/>
      <c r="G375" s="49"/>
      <c r="H375" s="49"/>
      <c r="I375" s="49"/>
    </row>
    <row r="376">
      <c r="A376" s="49"/>
      <c r="B376" s="49"/>
      <c r="C376" s="49"/>
      <c r="D376" s="49"/>
      <c r="E376" s="49"/>
      <c r="F376" s="49"/>
      <c r="G376" s="49"/>
      <c r="H376" s="49"/>
      <c r="I376" s="49"/>
    </row>
    <row r="377">
      <c r="A377" s="49"/>
      <c r="B377" s="49"/>
      <c r="C377" s="49"/>
      <c r="D377" s="49"/>
      <c r="E377" s="49"/>
      <c r="F377" s="49"/>
      <c r="G377" s="49"/>
      <c r="H377" s="49"/>
      <c r="I377" s="49"/>
    </row>
    <row r="378">
      <c r="A378" s="49"/>
      <c r="B378" s="49"/>
      <c r="C378" s="49"/>
      <c r="D378" s="49"/>
      <c r="E378" s="49"/>
      <c r="F378" s="49"/>
      <c r="G378" s="49"/>
      <c r="H378" s="49"/>
      <c r="I378" s="49"/>
    </row>
    <row r="379">
      <c r="A379" s="49"/>
      <c r="B379" s="49"/>
      <c r="C379" s="49"/>
      <c r="D379" s="49"/>
      <c r="E379" s="49"/>
      <c r="F379" s="49"/>
      <c r="G379" s="49"/>
      <c r="H379" s="49"/>
      <c r="I379" s="49"/>
    </row>
    <row r="380">
      <c r="A380" s="49"/>
      <c r="B380" s="49"/>
      <c r="C380" s="49"/>
      <c r="D380" s="49"/>
      <c r="E380" s="49"/>
      <c r="F380" s="49"/>
      <c r="G380" s="49"/>
      <c r="H380" s="49"/>
      <c r="I380" s="49"/>
    </row>
    <row r="381">
      <c r="A381" s="49"/>
      <c r="B381" s="49"/>
      <c r="C381" s="49"/>
      <c r="D381" s="49"/>
      <c r="E381" s="49"/>
      <c r="F381" s="49"/>
      <c r="G381" s="49"/>
      <c r="H381" s="49"/>
      <c r="I381" s="49"/>
    </row>
    <row r="382">
      <c r="A382" s="49"/>
      <c r="B382" s="49"/>
      <c r="C382" s="49"/>
      <c r="D382" s="49"/>
      <c r="E382" s="49"/>
      <c r="F382" s="49"/>
      <c r="G382" s="49"/>
      <c r="H382" s="49"/>
      <c r="I382" s="49"/>
    </row>
    <row r="383">
      <c r="A383" s="49"/>
      <c r="B383" s="49"/>
      <c r="C383" s="49"/>
      <c r="D383" s="49"/>
      <c r="E383" s="49"/>
      <c r="F383" s="49"/>
      <c r="G383" s="49"/>
      <c r="H383" s="49"/>
      <c r="I383" s="49"/>
    </row>
    <row r="384">
      <c r="A384" s="49"/>
      <c r="B384" s="49"/>
      <c r="C384" s="49"/>
      <c r="D384" s="49"/>
      <c r="E384" s="49"/>
      <c r="F384" s="49"/>
      <c r="G384" s="49"/>
      <c r="H384" s="49"/>
      <c r="I384" s="49"/>
    </row>
    <row r="385">
      <c r="A385" s="49"/>
      <c r="B385" s="49"/>
      <c r="C385" s="49"/>
      <c r="D385" s="49"/>
      <c r="E385" s="49"/>
      <c r="F385" s="49"/>
      <c r="G385" s="49"/>
      <c r="H385" s="49"/>
      <c r="I385" s="49"/>
    </row>
    <row r="386">
      <c r="A386" s="49"/>
      <c r="B386" s="49"/>
      <c r="C386" s="49"/>
      <c r="D386" s="49"/>
      <c r="E386" s="49"/>
      <c r="F386" s="49"/>
      <c r="G386" s="49"/>
      <c r="H386" s="49"/>
      <c r="I386" s="49"/>
    </row>
    <row r="387">
      <c r="A387" s="49"/>
      <c r="B387" s="49"/>
      <c r="C387" s="49"/>
      <c r="D387" s="49"/>
      <c r="E387" s="49"/>
      <c r="F387" s="49"/>
      <c r="G387" s="49"/>
      <c r="H387" s="49"/>
      <c r="I387" s="49"/>
    </row>
    <row r="388">
      <c r="A388" s="49"/>
      <c r="B388" s="49"/>
      <c r="C388" s="49"/>
      <c r="D388" s="49"/>
      <c r="E388" s="49"/>
      <c r="F388" s="49"/>
      <c r="G388" s="49"/>
      <c r="H388" s="49"/>
      <c r="I388" s="49"/>
    </row>
    <row r="389">
      <c r="A389" s="49"/>
      <c r="B389" s="49"/>
      <c r="C389" s="49"/>
      <c r="D389" s="49"/>
      <c r="E389" s="49"/>
      <c r="F389" s="49"/>
      <c r="G389" s="49"/>
      <c r="H389" s="49"/>
      <c r="I389" s="49"/>
    </row>
    <row r="390">
      <c r="A390" s="49"/>
      <c r="B390" s="49"/>
      <c r="C390" s="49"/>
      <c r="D390" s="49"/>
      <c r="E390" s="49"/>
      <c r="F390" s="49"/>
      <c r="G390" s="49"/>
      <c r="H390" s="49"/>
      <c r="I390" s="49"/>
    </row>
    <row r="391">
      <c r="A391" s="49"/>
      <c r="B391" s="49"/>
      <c r="C391" s="49"/>
      <c r="D391" s="49"/>
      <c r="E391" s="49"/>
      <c r="F391" s="49"/>
      <c r="G391" s="49"/>
      <c r="H391" s="49"/>
      <c r="I391" s="49"/>
    </row>
    <row r="392">
      <c r="A392" s="49"/>
      <c r="B392" s="49"/>
      <c r="C392" s="49"/>
      <c r="D392" s="49"/>
      <c r="E392" s="49"/>
      <c r="F392" s="49"/>
      <c r="G392" s="49"/>
      <c r="H392" s="49"/>
      <c r="I392" s="49"/>
    </row>
    <row r="393">
      <c r="A393" s="49"/>
      <c r="B393" s="49"/>
      <c r="C393" s="49"/>
      <c r="D393" s="49"/>
      <c r="E393" s="49"/>
      <c r="F393" s="49"/>
      <c r="G393" s="49"/>
      <c r="H393" s="49"/>
      <c r="I393" s="49"/>
    </row>
    <row r="394">
      <c r="A394" s="49"/>
      <c r="B394" s="49"/>
      <c r="C394" s="49"/>
      <c r="D394" s="49"/>
      <c r="E394" s="49"/>
      <c r="F394" s="49"/>
      <c r="G394" s="49"/>
      <c r="H394" s="49"/>
      <c r="I394" s="49"/>
    </row>
    <row r="395">
      <c r="A395" s="49"/>
      <c r="B395" s="49"/>
      <c r="C395" s="49"/>
      <c r="D395" s="49"/>
      <c r="E395" s="49"/>
      <c r="F395" s="49"/>
      <c r="G395" s="49"/>
      <c r="H395" s="49"/>
      <c r="I395" s="49"/>
    </row>
    <row r="396">
      <c r="A396" s="49"/>
      <c r="B396" s="49"/>
      <c r="C396" s="49"/>
      <c r="D396" s="49"/>
      <c r="E396" s="49"/>
      <c r="F396" s="49"/>
      <c r="G396" s="49"/>
      <c r="H396" s="49"/>
      <c r="I396" s="49"/>
    </row>
    <row r="397">
      <c r="A397" s="49"/>
      <c r="B397" s="49"/>
      <c r="C397" s="49"/>
      <c r="D397" s="49"/>
      <c r="E397" s="49"/>
      <c r="F397" s="49"/>
      <c r="G397" s="49"/>
      <c r="H397" s="49"/>
      <c r="I397" s="49"/>
    </row>
    <row r="398">
      <c r="A398" s="49"/>
      <c r="B398" s="49"/>
      <c r="C398" s="49"/>
      <c r="D398" s="49"/>
      <c r="E398" s="49"/>
      <c r="F398" s="49"/>
      <c r="G398" s="49"/>
      <c r="H398" s="49"/>
      <c r="I398" s="49"/>
    </row>
    <row r="399">
      <c r="A399" s="49"/>
      <c r="B399" s="49"/>
      <c r="C399" s="49"/>
      <c r="D399" s="49"/>
      <c r="E399" s="49"/>
      <c r="F399" s="49"/>
      <c r="G399" s="49"/>
      <c r="H399" s="49"/>
      <c r="I399" s="49"/>
    </row>
    <row r="400">
      <c r="A400" s="49"/>
      <c r="B400" s="49"/>
      <c r="C400" s="49"/>
      <c r="D400" s="49"/>
      <c r="E400" s="49"/>
      <c r="F400" s="49"/>
      <c r="G400" s="49"/>
      <c r="H400" s="49"/>
      <c r="I400" s="49"/>
    </row>
    <row r="401">
      <c r="A401" s="49"/>
      <c r="B401" s="49"/>
      <c r="C401" s="49"/>
      <c r="D401" s="49"/>
      <c r="E401" s="49"/>
      <c r="F401" s="49"/>
      <c r="G401" s="49"/>
      <c r="H401" s="49"/>
      <c r="I401" s="49"/>
    </row>
    <row r="402">
      <c r="A402" s="49"/>
      <c r="B402" s="49"/>
      <c r="C402" s="49"/>
      <c r="D402" s="49"/>
      <c r="E402" s="49"/>
      <c r="F402" s="49"/>
      <c r="G402" s="49"/>
      <c r="H402" s="49"/>
      <c r="I402" s="49"/>
    </row>
    <row r="403">
      <c r="A403" s="49"/>
      <c r="B403" s="49"/>
      <c r="C403" s="49"/>
      <c r="D403" s="49"/>
      <c r="E403" s="49"/>
      <c r="F403" s="49"/>
      <c r="G403" s="49"/>
      <c r="H403" s="49"/>
      <c r="I403" s="49"/>
    </row>
    <row r="404">
      <c r="A404" s="49"/>
      <c r="B404" s="49"/>
      <c r="C404" s="49"/>
      <c r="D404" s="49"/>
      <c r="E404" s="49"/>
      <c r="F404" s="49"/>
      <c r="G404" s="49"/>
      <c r="H404" s="49"/>
      <c r="I404" s="49"/>
    </row>
    <row r="405">
      <c r="A405" s="49"/>
      <c r="B405" s="49"/>
      <c r="C405" s="49"/>
      <c r="D405" s="49"/>
      <c r="E405" s="49"/>
      <c r="F405" s="49"/>
      <c r="G405" s="49"/>
      <c r="H405" s="49"/>
      <c r="I405" s="49"/>
    </row>
    <row r="406">
      <c r="A406" s="49"/>
      <c r="B406" s="49"/>
      <c r="C406" s="49"/>
      <c r="D406" s="49"/>
      <c r="E406" s="49"/>
      <c r="F406" s="49"/>
      <c r="G406" s="49"/>
      <c r="H406" s="49"/>
      <c r="I406" s="49"/>
    </row>
    <row r="407">
      <c r="A407" s="49"/>
      <c r="B407" s="49"/>
      <c r="C407" s="49"/>
      <c r="D407" s="49"/>
      <c r="E407" s="49"/>
      <c r="F407" s="49"/>
      <c r="G407" s="49"/>
      <c r="H407" s="49"/>
      <c r="I407" s="49"/>
    </row>
    <row r="408">
      <c r="A408" s="49"/>
      <c r="B408" s="49"/>
      <c r="C408" s="49"/>
      <c r="D408" s="49"/>
      <c r="E408" s="49"/>
      <c r="F408" s="49"/>
      <c r="G408" s="49"/>
      <c r="H408" s="49"/>
      <c r="I408" s="49"/>
    </row>
    <row r="409">
      <c r="A409" s="49"/>
      <c r="B409" s="49"/>
      <c r="C409" s="49"/>
      <c r="D409" s="49"/>
      <c r="E409" s="49"/>
      <c r="F409" s="49"/>
      <c r="G409" s="49"/>
      <c r="H409" s="49"/>
      <c r="I409" s="49"/>
    </row>
    <row r="410">
      <c r="A410" s="49"/>
      <c r="B410" s="49"/>
      <c r="C410" s="49"/>
      <c r="D410" s="49"/>
      <c r="E410" s="49"/>
      <c r="F410" s="49"/>
      <c r="G410" s="49"/>
      <c r="H410" s="49"/>
      <c r="I410" s="49"/>
    </row>
    <row r="411">
      <c r="A411" s="49"/>
      <c r="B411" s="49"/>
      <c r="C411" s="49"/>
      <c r="D411" s="49"/>
      <c r="E411" s="49"/>
      <c r="F411" s="49"/>
      <c r="G411" s="49"/>
      <c r="H411" s="49"/>
      <c r="I411" s="49"/>
    </row>
    <row r="412">
      <c r="A412" s="49"/>
      <c r="B412" s="49"/>
      <c r="C412" s="49"/>
      <c r="D412" s="49"/>
      <c r="E412" s="49"/>
      <c r="F412" s="49"/>
      <c r="G412" s="49"/>
      <c r="H412" s="49"/>
      <c r="I412" s="49"/>
    </row>
    <row r="413">
      <c r="A413" s="49"/>
      <c r="B413" s="49"/>
      <c r="C413" s="49"/>
      <c r="D413" s="49"/>
      <c r="E413" s="49"/>
      <c r="F413" s="49"/>
      <c r="G413" s="49"/>
      <c r="H413" s="49"/>
      <c r="I413" s="49"/>
    </row>
    <row r="414">
      <c r="A414" s="49"/>
      <c r="B414" s="49"/>
      <c r="C414" s="49"/>
      <c r="D414" s="49"/>
      <c r="E414" s="49"/>
      <c r="F414" s="49"/>
      <c r="G414" s="49"/>
      <c r="H414" s="49"/>
      <c r="I414" s="49"/>
    </row>
    <row r="415">
      <c r="A415" s="49"/>
      <c r="B415" s="49"/>
      <c r="C415" s="49"/>
      <c r="D415" s="49"/>
      <c r="E415" s="49"/>
      <c r="F415" s="49"/>
      <c r="G415" s="49"/>
      <c r="H415" s="49"/>
      <c r="I415" s="49"/>
    </row>
    <row r="416">
      <c r="A416" s="49"/>
      <c r="B416" s="49"/>
      <c r="C416" s="49"/>
      <c r="D416" s="49"/>
      <c r="E416" s="49"/>
      <c r="F416" s="49"/>
      <c r="G416" s="49"/>
      <c r="H416" s="49"/>
      <c r="I416" s="49"/>
    </row>
    <row r="417">
      <c r="A417" s="49"/>
      <c r="B417" s="49"/>
      <c r="C417" s="49"/>
      <c r="D417" s="49"/>
      <c r="E417" s="49"/>
      <c r="F417" s="49"/>
      <c r="G417" s="49"/>
      <c r="H417" s="49"/>
      <c r="I417" s="49"/>
    </row>
    <row r="418">
      <c r="A418" s="49"/>
      <c r="B418" s="49"/>
      <c r="C418" s="49"/>
      <c r="D418" s="49"/>
      <c r="E418" s="49"/>
      <c r="F418" s="49"/>
      <c r="G418" s="49"/>
      <c r="H418" s="49"/>
      <c r="I418" s="49"/>
    </row>
    <row r="419">
      <c r="A419" s="49"/>
      <c r="B419" s="49"/>
      <c r="C419" s="49"/>
      <c r="D419" s="49"/>
      <c r="E419" s="49"/>
      <c r="F419" s="49"/>
      <c r="G419" s="49"/>
      <c r="H419" s="49"/>
      <c r="I419" s="49"/>
    </row>
    <row r="420">
      <c r="A420" s="49"/>
      <c r="B420" s="49"/>
      <c r="C420" s="49"/>
      <c r="D420" s="49"/>
      <c r="E420" s="49"/>
      <c r="F420" s="49"/>
      <c r="G420" s="49"/>
      <c r="H420" s="49"/>
      <c r="I420" s="49"/>
    </row>
    <row r="421">
      <c r="A421" s="49"/>
      <c r="B421" s="49"/>
      <c r="C421" s="49"/>
      <c r="D421" s="49"/>
      <c r="E421" s="49"/>
      <c r="F421" s="49"/>
      <c r="G421" s="49"/>
      <c r="H421" s="49"/>
      <c r="I421" s="49"/>
    </row>
    <row r="422">
      <c r="A422" s="49"/>
      <c r="B422" s="49"/>
      <c r="C422" s="49"/>
      <c r="D422" s="49"/>
      <c r="E422" s="49"/>
      <c r="F422" s="49"/>
      <c r="G422" s="49"/>
      <c r="H422" s="49"/>
      <c r="I422" s="49"/>
    </row>
    <row r="423">
      <c r="A423" s="49"/>
      <c r="B423" s="49"/>
      <c r="C423" s="49"/>
      <c r="D423" s="49"/>
      <c r="E423" s="49"/>
      <c r="F423" s="49"/>
      <c r="G423" s="49"/>
      <c r="H423" s="49"/>
      <c r="I423" s="49"/>
    </row>
    <row r="424">
      <c r="A424" s="49"/>
      <c r="B424" s="49"/>
      <c r="C424" s="49"/>
      <c r="D424" s="49"/>
      <c r="E424" s="49"/>
      <c r="F424" s="49"/>
      <c r="G424" s="49"/>
      <c r="H424" s="49"/>
      <c r="I424" s="49"/>
    </row>
    <row r="425">
      <c r="A425" s="49"/>
      <c r="B425" s="49"/>
      <c r="C425" s="49"/>
      <c r="D425" s="49"/>
      <c r="E425" s="49"/>
      <c r="F425" s="49"/>
      <c r="G425" s="49"/>
      <c r="H425" s="49"/>
      <c r="I425" s="49"/>
    </row>
    <row r="426">
      <c r="A426" s="49"/>
      <c r="B426" s="49"/>
      <c r="C426" s="49"/>
      <c r="D426" s="49"/>
      <c r="E426" s="49"/>
      <c r="F426" s="49"/>
      <c r="G426" s="49"/>
      <c r="H426" s="49"/>
      <c r="I426" s="49"/>
    </row>
    <row r="427">
      <c r="A427" s="49"/>
      <c r="B427" s="49"/>
      <c r="C427" s="49"/>
      <c r="D427" s="49"/>
      <c r="E427" s="49"/>
      <c r="F427" s="49"/>
      <c r="G427" s="49"/>
      <c r="H427" s="49"/>
      <c r="I427" s="49"/>
    </row>
    <row r="428">
      <c r="A428" s="49"/>
      <c r="B428" s="49"/>
      <c r="C428" s="49"/>
      <c r="D428" s="49"/>
      <c r="E428" s="49"/>
      <c r="F428" s="49"/>
      <c r="G428" s="49"/>
      <c r="H428" s="49"/>
      <c r="I428" s="49"/>
    </row>
    <row r="429">
      <c r="A429" s="49"/>
      <c r="B429" s="49"/>
      <c r="C429" s="49"/>
      <c r="D429" s="49"/>
      <c r="E429" s="49"/>
      <c r="F429" s="49"/>
      <c r="G429" s="49"/>
      <c r="H429" s="49"/>
      <c r="I429" s="49"/>
    </row>
    <row r="430">
      <c r="A430" s="49"/>
      <c r="B430" s="49"/>
      <c r="C430" s="49"/>
      <c r="D430" s="49"/>
      <c r="E430" s="49"/>
      <c r="F430" s="49"/>
      <c r="G430" s="49"/>
      <c r="H430" s="49"/>
      <c r="I430" s="49"/>
    </row>
    <row r="431">
      <c r="A431" s="49"/>
      <c r="B431" s="49"/>
      <c r="C431" s="49"/>
      <c r="D431" s="49"/>
      <c r="E431" s="49"/>
      <c r="F431" s="49"/>
      <c r="G431" s="49"/>
      <c r="H431" s="49"/>
      <c r="I431" s="49"/>
    </row>
    <row r="432">
      <c r="A432" s="49"/>
      <c r="B432" s="49"/>
      <c r="C432" s="49"/>
      <c r="D432" s="49"/>
      <c r="E432" s="49"/>
      <c r="F432" s="49"/>
      <c r="G432" s="49"/>
      <c r="H432" s="49"/>
      <c r="I432" s="49"/>
    </row>
    <row r="433">
      <c r="A433" s="49"/>
      <c r="B433" s="49"/>
      <c r="C433" s="49"/>
      <c r="D433" s="49"/>
      <c r="E433" s="49"/>
      <c r="F433" s="49"/>
      <c r="G433" s="49"/>
      <c r="H433" s="49"/>
      <c r="I433" s="49"/>
    </row>
    <row r="434">
      <c r="A434" s="49"/>
      <c r="B434" s="49"/>
      <c r="C434" s="49"/>
      <c r="D434" s="49"/>
      <c r="E434" s="49"/>
      <c r="F434" s="49"/>
      <c r="G434" s="49"/>
      <c r="H434" s="49"/>
      <c r="I434" s="49"/>
    </row>
    <row r="435">
      <c r="A435" s="49"/>
      <c r="B435" s="49"/>
      <c r="C435" s="49"/>
      <c r="D435" s="49"/>
      <c r="E435" s="49"/>
      <c r="F435" s="49"/>
      <c r="G435" s="49"/>
      <c r="H435" s="49"/>
      <c r="I435" s="49"/>
    </row>
    <row r="436">
      <c r="A436" s="49"/>
      <c r="B436" s="49"/>
      <c r="C436" s="49"/>
      <c r="D436" s="49"/>
      <c r="E436" s="49"/>
      <c r="F436" s="49"/>
      <c r="G436" s="49"/>
      <c r="H436" s="49"/>
      <c r="I436" s="49"/>
    </row>
    <row r="437">
      <c r="A437" s="49"/>
      <c r="B437" s="49"/>
      <c r="C437" s="49"/>
      <c r="D437" s="49"/>
      <c r="E437" s="49"/>
      <c r="F437" s="49"/>
      <c r="G437" s="49"/>
      <c r="H437" s="49"/>
      <c r="I437" s="49"/>
    </row>
    <row r="438">
      <c r="A438" s="49"/>
      <c r="B438" s="49"/>
      <c r="C438" s="49"/>
      <c r="D438" s="49"/>
      <c r="E438" s="49"/>
      <c r="F438" s="49"/>
      <c r="G438" s="49"/>
      <c r="H438" s="49"/>
      <c r="I438" s="49"/>
    </row>
    <row r="439">
      <c r="A439" s="49"/>
      <c r="B439" s="49"/>
      <c r="C439" s="49"/>
      <c r="D439" s="49"/>
      <c r="E439" s="49"/>
      <c r="F439" s="49"/>
      <c r="G439" s="49"/>
      <c r="H439" s="49"/>
      <c r="I439" s="49"/>
    </row>
    <row r="440">
      <c r="A440" s="49"/>
      <c r="B440" s="49"/>
      <c r="C440" s="49"/>
      <c r="D440" s="49"/>
      <c r="E440" s="49"/>
      <c r="F440" s="49"/>
      <c r="G440" s="49"/>
      <c r="H440" s="49"/>
      <c r="I440" s="49"/>
    </row>
    <row r="441">
      <c r="A441" s="49"/>
      <c r="B441" s="49"/>
      <c r="C441" s="49"/>
      <c r="D441" s="49"/>
      <c r="E441" s="49"/>
      <c r="F441" s="49"/>
      <c r="G441" s="49"/>
      <c r="H441" s="49"/>
      <c r="I441" s="49"/>
    </row>
    <row r="442">
      <c r="A442" s="49"/>
      <c r="B442" s="49"/>
      <c r="C442" s="49"/>
      <c r="D442" s="49"/>
      <c r="E442" s="49"/>
      <c r="F442" s="49"/>
      <c r="G442" s="49"/>
      <c r="H442" s="49"/>
      <c r="I442" s="49"/>
    </row>
    <row r="443">
      <c r="A443" s="49"/>
      <c r="B443" s="49"/>
      <c r="C443" s="49"/>
      <c r="D443" s="49"/>
      <c r="E443" s="49"/>
      <c r="F443" s="49"/>
      <c r="G443" s="49"/>
      <c r="H443" s="49"/>
      <c r="I443" s="49"/>
    </row>
    <row r="444">
      <c r="A444" s="49"/>
      <c r="B444" s="49"/>
      <c r="C444" s="49"/>
      <c r="D444" s="49"/>
      <c r="E444" s="49"/>
      <c r="F444" s="49"/>
      <c r="G444" s="49"/>
      <c r="H444" s="49"/>
      <c r="I444" s="49"/>
    </row>
    <row r="445">
      <c r="A445" s="49"/>
      <c r="B445" s="49"/>
      <c r="C445" s="49"/>
      <c r="D445" s="49"/>
      <c r="E445" s="49"/>
      <c r="F445" s="49"/>
      <c r="G445" s="49"/>
      <c r="H445" s="49"/>
      <c r="I445" s="49"/>
    </row>
    <row r="446">
      <c r="A446" s="49"/>
      <c r="B446" s="49"/>
      <c r="C446" s="49"/>
      <c r="D446" s="49"/>
      <c r="E446" s="49"/>
      <c r="F446" s="49"/>
      <c r="G446" s="49"/>
      <c r="H446" s="49"/>
      <c r="I446" s="49"/>
    </row>
    <row r="447">
      <c r="A447" s="49"/>
      <c r="B447" s="49"/>
      <c r="C447" s="49"/>
      <c r="D447" s="49"/>
      <c r="E447" s="49"/>
      <c r="F447" s="49"/>
      <c r="G447" s="49"/>
      <c r="H447" s="49"/>
      <c r="I447" s="49"/>
    </row>
    <row r="448">
      <c r="A448" s="49"/>
      <c r="B448" s="49"/>
      <c r="C448" s="49"/>
      <c r="D448" s="49"/>
      <c r="E448" s="49"/>
      <c r="F448" s="49"/>
      <c r="G448" s="49"/>
      <c r="H448" s="49"/>
      <c r="I448" s="49"/>
    </row>
    <row r="449">
      <c r="A449" s="49"/>
      <c r="B449" s="49"/>
      <c r="C449" s="49"/>
      <c r="D449" s="49"/>
      <c r="E449" s="49"/>
      <c r="F449" s="49"/>
      <c r="G449" s="49"/>
      <c r="H449" s="49"/>
      <c r="I449" s="49"/>
    </row>
    <row r="450">
      <c r="A450" s="49"/>
      <c r="B450" s="49"/>
      <c r="C450" s="49"/>
      <c r="D450" s="49"/>
      <c r="E450" s="49"/>
      <c r="F450" s="49"/>
      <c r="G450" s="49"/>
      <c r="H450" s="49"/>
      <c r="I450" s="49"/>
    </row>
    <row r="451">
      <c r="A451" s="49"/>
      <c r="B451" s="49"/>
      <c r="C451" s="49"/>
      <c r="D451" s="49"/>
      <c r="E451" s="49"/>
      <c r="F451" s="49"/>
      <c r="G451" s="49"/>
      <c r="H451" s="49"/>
      <c r="I451" s="49"/>
    </row>
    <row r="452">
      <c r="A452" s="49"/>
      <c r="B452" s="49"/>
      <c r="C452" s="49"/>
      <c r="D452" s="49"/>
      <c r="E452" s="49"/>
      <c r="F452" s="49"/>
      <c r="G452" s="49"/>
      <c r="H452" s="49"/>
      <c r="I452" s="49"/>
    </row>
    <row r="453">
      <c r="A453" s="49"/>
      <c r="B453" s="49"/>
      <c r="C453" s="49"/>
      <c r="D453" s="49"/>
      <c r="E453" s="49"/>
      <c r="F453" s="49"/>
      <c r="G453" s="49"/>
      <c r="H453" s="49"/>
      <c r="I453" s="49"/>
    </row>
    <row r="454">
      <c r="A454" s="49"/>
      <c r="B454" s="49"/>
      <c r="C454" s="49"/>
      <c r="D454" s="49"/>
      <c r="E454" s="49"/>
      <c r="F454" s="49"/>
      <c r="G454" s="49"/>
      <c r="H454" s="49"/>
      <c r="I454" s="49"/>
    </row>
    <row r="455">
      <c r="A455" s="49"/>
      <c r="B455" s="49"/>
      <c r="C455" s="49"/>
      <c r="D455" s="49"/>
      <c r="E455" s="49"/>
      <c r="F455" s="49"/>
      <c r="G455" s="49"/>
      <c r="H455" s="49"/>
      <c r="I455" s="49"/>
    </row>
    <row r="456">
      <c r="A456" s="49"/>
      <c r="B456" s="49"/>
      <c r="C456" s="49"/>
      <c r="D456" s="49"/>
      <c r="E456" s="49"/>
      <c r="F456" s="49"/>
      <c r="G456" s="49"/>
      <c r="H456" s="49"/>
      <c r="I456" s="49"/>
    </row>
    <row r="457">
      <c r="A457" s="49"/>
      <c r="B457" s="49"/>
      <c r="C457" s="49"/>
      <c r="D457" s="49"/>
      <c r="E457" s="49"/>
      <c r="F457" s="49"/>
      <c r="G457" s="49"/>
      <c r="H457" s="49"/>
      <c r="I457" s="49"/>
    </row>
    <row r="458">
      <c r="A458" s="49"/>
      <c r="B458" s="49"/>
      <c r="C458" s="49"/>
      <c r="D458" s="49"/>
      <c r="E458" s="49"/>
      <c r="F458" s="49"/>
      <c r="G458" s="49"/>
      <c r="H458" s="49"/>
      <c r="I458" s="49"/>
    </row>
    <row r="459">
      <c r="A459" s="49"/>
      <c r="B459" s="49"/>
      <c r="C459" s="49"/>
      <c r="D459" s="49"/>
      <c r="E459" s="49"/>
      <c r="F459" s="49"/>
      <c r="G459" s="49"/>
      <c r="H459" s="49"/>
      <c r="I459" s="49"/>
    </row>
    <row r="460">
      <c r="A460" s="49"/>
      <c r="B460" s="49"/>
      <c r="C460" s="49"/>
      <c r="D460" s="49"/>
      <c r="E460" s="49"/>
      <c r="F460" s="49"/>
      <c r="G460" s="49"/>
      <c r="H460" s="49"/>
      <c r="I460" s="49"/>
    </row>
    <row r="461">
      <c r="A461" s="49"/>
      <c r="B461" s="49"/>
      <c r="C461" s="49"/>
      <c r="D461" s="49"/>
      <c r="E461" s="49"/>
      <c r="F461" s="49"/>
      <c r="G461" s="49"/>
      <c r="H461" s="49"/>
      <c r="I461" s="49"/>
    </row>
    <row r="462">
      <c r="A462" s="49"/>
      <c r="B462" s="49"/>
      <c r="C462" s="49"/>
      <c r="D462" s="49"/>
      <c r="E462" s="49"/>
      <c r="F462" s="49"/>
      <c r="G462" s="49"/>
      <c r="H462" s="49"/>
      <c r="I462" s="49"/>
    </row>
    <row r="463">
      <c r="A463" s="49"/>
      <c r="B463" s="49"/>
      <c r="C463" s="49"/>
      <c r="D463" s="49"/>
      <c r="E463" s="49"/>
      <c r="F463" s="49"/>
      <c r="G463" s="49"/>
      <c r="H463" s="49"/>
      <c r="I463" s="49"/>
    </row>
    <row r="464">
      <c r="A464" s="49"/>
      <c r="B464" s="49"/>
      <c r="C464" s="49"/>
      <c r="D464" s="49"/>
      <c r="E464" s="49"/>
      <c r="F464" s="49"/>
      <c r="G464" s="49"/>
      <c r="H464" s="49"/>
      <c r="I464" s="49"/>
    </row>
    <row r="465">
      <c r="A465" s="49"/>
      <c r="B465" s="49"/>
      <c r="C465" s="49"/>
      <c r="D465" s="49"/>
      <c r="E465" s="49"/>
      <c r="F465" s="49"/>
      <c r="G465" s="49"/>
      <c r="H465" s="49"/>
      <c r="I465" s="49"/>
    </row>
    <row r="466">
      <c r="A466" s="49"/>
      <c r="B466" s="49"/>
      <c r="C466" s="49"/>
      <c r="D466" s="49"/>
      <c r="E466" s="49"/>
      <c r="F466" s="49"/>
      <c r="G466" s="49"/>
      <c r="H466" s="49"/>
      <c r="I466" s="49"/>
    </row>
    <row r="467">
      <c r="A467" s="49"/>
      <c r="B467" s="49"/>
      <c r="C467" s="49"/>
      <c r="D467" s="49"/>
      <c r="E467" s="49"/>
      <c r="F467" s="49"/>
      <c r="G467" s="49"/>
      <c r="H467" s="49"/>
      <c r="I467" s="49"/>
    </row>
    <row r="468">
      <c r="A468" s="49"/>
      <c r="B468" s="49"/>
      <c r="C468" s="49"/>
      <c r="D468" s="49"/>
      <c r="E468" s="49"/>
      <c r="F468" s="49"/>
      <c r="G468" s="49"/>
      <c r="H468" s="49"/>
      <c r="I468" s="49"/>
    </row>
    <row r="469">
      <c r="A469" s="49"/>
      <c r="B469" s="49"/>
      <c r="C469" s="49"/>
      <c r="D469" s="49"/>
      <c r="E469" s="49"/>
      <c r="F469" s="49"/>
      <c r="G469" s="49"/>
      <c r="H469" s="49"/>
      <c r="I469" s="49"/>
    </row>
    <row r="470">
      <c r="A470" s="49"/>
      <c r="B470" s="49"/>
      <c r="C470" s="49"/>
      <c r="D470" s="49"/>
      <c r="E470" s="49"/>
      <c r="F470" s="49"/>
      <c r="G470" s="49"/>
      <c r="H470" s="49"/>
      <c r="I470" s="49"/>
    </row>
    <row r="471">
      <c r="A471" s="49"/>
      <c r="B471" s="49"/>
      <c r="C471" s="49"/>
      <c r="D471" s="49"/>
      <c r="E471" s="49"/>
      <c r="F471" s="49"/>
      <c r="G471" s="49"/>
      <c r="H471" s="49"/>
      <c r="I471" s="49"/>
    </row>
    <row r="472">
      <c r="A472" s="49"/>
      <c r="B472" s="49"/>
      <c r="C472" s="49"/>
      <c r="D472" s="49"/>
      <c r="E472" s="49"/>
      <c r="F472" s="49"/>
      <c r="G472" s="49"/>
      <c r="H472" s="49"/>
      <c r="I472" s="49"/>
    </row>
    <row r="473">
      <c r="A473" s="49"/>
      <c r="B473" s="49"/>
      <c r="C473" s="49"/>
      <c r="D473" s="49"/>
      <c r="E473" s="49"/>
      <c r="F473" s="49"/>
      <c r="G473" s="49"/>
      <c r="H473" s="49"/>
      <c r="I473" s="49"/>
    </row>
    <row r="474">
      <c r="A474" s="49"/>
      <c r="B474" s="49"/>
      <c r="C474" s="49"/>
      <c r="D474" s="49"/>
      <c r="E474" s="49"/>
      <c r="F474" s="49"/>
      <c r="G474" s="49"/>
      <c r="H474" s="49"/>
      <c r="I474" s="49"/>
    </row>
    <row r="475">
      <c r="A475" s="49"/>
      <c r="B475" s="49"/>
      <c r="C475" s="49"/>
      <c r="D475" s="49"/>
      <c r="E475" s="49"/>
      <c r="F475" s="49"/>
      <c r="G475" s="49"/>
      <c r="H475" s="49"/>
      <c r="I475" s="49"/>
    </row>
    <row r="476">
      <c r="A476" s="49"/>
      <c r="B476" s="49"/>
      <c r="C476" s="49"/>
      <c r="D476" s="49"/>
      <c r="E476" s="49"/>
      <c r="F476" s="49"/>
      <c r="G476" s="49"/>
      <c r="H476" s="49"/>
      <c r="I476" s="49"/>
    </row>
    <row r="477">
      <c r="A477" s="49"/>
      <c r="B477" s="49"/>
      <c r="C477" s="49"/>
      <c r="D477" s="49"/>
      <c r="E477" s="49"/>
      <c r="F477" s="49"/>
      <c r="G477" s="49"/>
      <c r="H477" s="49"/>
      <c r="I477" s="49"/>
    </row>
    <row r="478">
      <c r="A478" s="49"/>
      <c r="B478" s="49"/>
      <c r="C478" s="49"/>
      <c r="D478" s="49"/>
      <c r="E478" s="49"/>
      <c r="F478" s="49"/>
      <c r="G478" s="49"/>
      <c r="H478" s="49"/>
      <c r="I478" s="49"/>
    </row>
    <row r="479">
      <c r="A479" s="49"/>
      <c r="B479" s="49"/>
      <c r="C479" s="49"/>
      <c r="D479" s="49"/>
      <c r="E479" s="49"/>
      <c r="F479" s="49"/>
      <c r="G479" s="49"/>
      <c r="H479" s="49"/>
      <c r="I479" s="49"/>
    </row>
    <row r="480">
      <c r="A480" s="49"/>
      <c r="B480" s="49"/>
      <c r="C480" s="49"/>
      <c r="D480" s="49"/>
      <c r="E480" s="49"/>
      <c r="F480" s="49"/>
      <c r="G480" s="49"/>
      <c r="H480" s="49"/>
      <c r="I480" s="49"/>
    </row>
    <row r="481">
      <c r="A481" s="49"/>
      <c r="B481" s="49"/>
      <c r="C481" s="49"/>
      <c r="D481" s="49"/>
      <c r="E481" s="49"/>
      <c r="F481" s="49"/>
      <c r="G481" s="49"/>
      <c r="H481" s="49"/>
      <c r="I481" s="49"/>
    </row>
    <row r="482">
      <c r="A482" s="49"/>
      <c r="B482" s="49"/>
      <c r="C482" s="49"/>
      <c r="D482" s="49"/>
      <c r="E482" s="49"/>
      <c r="F482" s="49"/>
      <c r="G482" s="49"/>
      <c r="H482" s="49"/>
      <c r="I482" s="49"/>
    </row>
    <row r="483">
      <c r="A483" s="49"/>
      <c r="B483" s="49"/>
      <c r="C483" s="49"/>
      <c r="D483" s="49"/>
      <c r="E483" s="49"/>
      <c r="F483" s="49"/>
      <c r="G483" s="49"/>
      <c r="H483" s="49"/>
      <c r="I483" s="49"/>
    </row>
    <row r="484">
      <c r="A484" s="49"/>
      <c r="B484" s="49"/>
      <c r="C484" s="49"/>
      <c r="D484" s="49"/>
      <c r="E484" s="49"/>
      <c r="F484" s="49"/>
      <c r="G484" s="49"/>
      <c r="H484" s="49"/>
      <c r="I484" s="49"/>
    </row>
    <row r="485">
      <c r="A485" s="49"/>
      <c r="B485" s="49"/>
      <c r="C485" s="49"/>
      <c r="D485" s="49"/>
      <c r="E485" s="49"/>
      <c r="F485" s="49"/>
      <c r="G485" s="49"/>
      <c r="H485" s="49"/>
      <c r="I485" s="49"/>
    </row>
    <row r="486">
      <c r="A486" s="49"/>
      <c r="B486" s="49"/>
      <c r="C486" s="49"/>
      <c r="D486" s="49"/>
      <c r="E486" s="49"/>
      <c r="F486" s="49"/>
      <c r="G486" s="49"/>
      <c r="H486" s="49"/>
      <c r="I486" s="49"/>
    </row>
    <row r="487">
      <c r="A487" s="49"/>
      <c r="B487" s="49"/>
      <c r="C487" s="49"/>
      <c r="D487" s="49"/>
      <c r="E487" s="49"/>
      <c r="F487" s="49"/>
      <c r="G487" s="49"/>
      <c r="H487" s="49"/>
      <c r="I487" s="49"/>
    </row>
    <row r="488">
      <c r="A488" s="49"/>
      <c r="B488" s="49"/>
      <c r="C488" s="49"/>
      <c r="D488" s="49"/>
      <c r="E488" s="49"/>
      <c r="F488" s="49"/>
      <c r="G488" s="49"/>
      <c r="H488" s="49"/>
      <c r="I488" s="49"/>
    </row>
    <row r="489">
      <c r="A489" s="49"/>
      <c r="B489" s="49"/>
      <c r="C489" s="49"/>
      <c r="D489" s="49"/>
      <c r="E489" s="49"/>
      <c r="F489" s="49"/>
      <c r="G489" s="49"/>
      <c r="H489" s="49"/>
      <c r="I489" s="49"/>
    </row>
    <row r="490">
      <c r="A490" s="49"/>
      <c r="B490" s="49"/>
      <c r="C490" s="49"/>
      <c r="D490" s="49"/>
      <c r="E490" s="49"/>
      <c r="F490" s="49"/>
      <c r="G490" s="49"/>
      <c r="H490" s="49"/>
      <c r="I490" s="49"/>
    </row>
    <row r="491">
      <c r="A491" s="49"/>
      <c r="B491" s="49"/>
      <c r="C491" s="49"/>
      <c r="D491" s="49"/>
      <c r="E491" s="49"/>
      <c r="F491" s="49"/>
      <c r="G491" s="49"/>
      <c r="H491" s="49"/>
      <c r="I491" s="49"/>
    </row>
    <row r="492">
      <c r="A492" s="49"/>
      <c r="B492" s="49"/>
      <c r="C492" s="49"/>
      <c r="D492" s="49"/>
      <c r="E492" s="49"/>
      <c r="F492" s="49"/>
      <c r="G492" s="49"/>
      <c r="H492" s="49"/>
      <c r="I492" s="49"/>
    </row>
    <row r="493">
      <c r="A493" s="49"/>
      <c r="B493" s="49"/>
      <c r="C493" s="49"/>
      <c r="D493" s="49"/>
      <c r="E493" s="49"/>
      <c r="F493" s="49"/>
      <c r="G493" s="49"/>
      <c r="H493" s="49"/>
      <c r="I493" s="49"/>
    </row>
    <row r="494">
      <c r="A494" s="49"/>
      <c r="B494" s="49"/>
      <c r="C494" s="49"/>
      <c r="D494" s="49"/>
      <c r="E494" s="49"/>
      <c r="F494" s="49"/>
      <c r="G494" s="49"/>
      <c r="H494" s="49"/>
      <c r="I494" s="49"/>
    </row>
    <row r="495">
      <c r="A495" s="49"/>
      <c r="B495" s="49"/>
      <c r="C495" s="49"/>
      <c r="D495" s="49"/>
      <c r="E495" s="49"/>
      <c r="F495" s="49"/>
      <c r="G495" s="49"/>
      <c r="H495" s="49"/>
      <c r="I495" s="49"/>
    </row>
    <row r="496">
      <c r="A496" s="49"/>
      <c r="B496" s="49"/>
      <c r="C496" s="49"/>
      <c r="D496" s="49"/>
      <c r="E496" s="49"/>
      <c r="F496" s="49"/>
      <c r="G496" s="49"/>
      <c r="H496" s="49"/>
      <c r="I496" s="49"/>
    </row>
    <row r="497">
      <c r="A497" s="49"/>
      <c r="B497" s="49"/>
      <c r="C497" s="49"/>
      <c r="D497" s="49"/>
      <c r="E497" s="49"/>
      <c r="F497" s="49"/>
      <c r="G497" s="49"/>
      <c r="H497" s="49"/>
      <c r="I497" s="49"/>
    </row>
    <row r="498">
      <c r="A498" s="49"/>
      <c r="B498" s="49"/>
      <c r="C498" s="49"/>
      <c r="D498" s="49"/>
      <c r="E498" s="49"/>
      <c r="F498" s="49"/>
      <c r="G498" s="49"/>
      <c r="H498" s="49"/>
      <c r="I498" s="49"/>
    </row>
    <row r="499">
      <c r="A499" s="49"/>
      <c r="B499" s="49"/>
      <c r="C499" s="49"/>
      <c r="D499" s="49"/>
      <c r="E499" s="49"/>
      <c r="F499" s="49"/>
      <c r="G499" s="49"/>
      <c r="H499" s="49"/>
      <c r="I499" s="49"/>
    </row>
    <row r="500">
      <c r="A500" s="49"/>
      <c r="B500" s="49"/>
      <c r="C500" s="49"/>
      <c r="D500" s="49"/>
      <c r="E500" s="49"/>
      <c r="F500" s="49"/>
      <c r="G500" s="49"/>
      <c r="H500" s="49"/>
      <c r="I500" s="49"/>
    </row>
    <row r="501">
      <c r="A501" s="49"/>
      <c r="B501" s="49"/>
      <c r="C501" s="49"/>
      <c r="D501" s="49"/>
      <c r="E501" s="49"/>
      <c r="F501" s="49"/>
      <c r="G501" s="49"/>
      <c r="H501" s="49"/>
      <c r="I501" s="49"/>
    </row>
    <row r="502">
      <c r="A502" s="49"/>
      <c r="B502" s="49"/>
      <c r="C502" s="49"/>
      <c r="D502" s="49"/>
      <c r="E502" s="49"/>
      <c r="F502" s="49"/>
      <c r="G502" s="49"/>
      <c r="H502" s="49"/>
      <c r="I502" s="49"/>
    </row>
    <row r="503">
      <c r="A503" s="49"/>
      <c r="B503" s="49"/>
      <c r="C503" s="49"/>
      <c r="D503" s="49"/>
      <c r="E503" s="49"/>
      <c r="F503" s="49"/>
      <c r="G503" s="49"/>
      <c r="H503" s="49"/>
      <c r="I503" s="49"/>
    </row>
    <row r="504">
      <c r="A504" s="49"/>
      <c r="B504" s="49"/>
      <c r="C504" s="49"/>
      <c r="D504" s="49"/>
      <c r="E504" s="49"/>
      <c r="F504" s="49"/>
      <c r="G504" s="49"/>
      <c r="H504" s="49"/>
      <c r="I504" s="49"/>
    </row>
    <row r="505">
      <c r="A505" s="49"/>
      <c r="B505" s="49"/>
      <c r="C505" s="49"/>
      <c r="D505" s="49"/>
      <c r="E505" s="49"/>
      <c r="F505" s="49"/>
      <c r="G505" s="49"/>
      <c r="H505" s="49"/>
      <c r="I505" s="49"/>
    </row>
    <row r="506">
      <c r="A506" s="49"/>
      <c r="B506" s="49"/>
      <c r="C506" s="49"/>
      <c r="D506" s="49"/>
      <c r="E506" s="49"/>
      <c r="F506" s="49"/>
      <c r="G506" s="49"/>
      <c r="H506" s="49"/>
      <c r="I506" s="49"/>
    </row>
    <row r="507">
      <c r="A507" s="49"/>
      <c r="B507" s="49"/>
      <c r="C507" s="49"/>
      <c r="D507" s="49"/>
      <c r="E507" s="49"/>
      <c r="F507" s="49"/>
      <c r="G507" s="49"/>
      <c r="H507" s="49"/>
      <c r="I507" s="49"/>
    </row>
    <row r="508">
      <c r="A508" s="49"/>
      <c r="B508" s="49"/>
      <c r="C508" s="49"/>
      <c r="D508" s="49"/>
      <c r="E508" s="49"/>
      <c r="F508" s="49"/>
      <c r="G508" s="49"/>
      <c r="H508" s="49"/>
      <c r="I508" s="49"/>
    </row>
    <row r="509">
      <c r="A509" s="49"/>
      <c r="B509" s="49"/>
      <c r="C509" s="49"/>
      <c r="D509" s="49"/>
      <c r="E509" s="49"/>
      <c r="F509" s="49"/>
      <c r="G509" s="49"/>
      <c r="H509" s="49"/>
      <c r="I509" s="49"/>
    </row>
    <row r="510">
      <c r="A510" s="49"/>
      <c r="B510" s="49"/>
      <c r="C510" s="49"/>
      <c r="D510" s="49"/>
      <c r="E510" s="49"/>
      <c r="F510" s="49"/>
      <c r="G510" s="49"/>
      <c r="H510" s="49"/>
      <c r="I510" s="49"/>
    </row>
    <row r="511">
      <c r="A511" s="49"/>
      <c r="B511" s="49"/>
      <c r="C511" s="49"/>
      <c r="D511" s="49"/>
      <c r="E511" s="49"/>
      <c r="F511" s="49"/>
      <c r="G511" s="49"/>
      <c r="H511" s="49"/>
      <c r="I511" s="49"/>
    </row>
    <row r="512">
      <c r="A512" s="49"/>
      <c r="B512" s="49"/>
      <c r="C512" s="49"/>
      <c r="D512" s="49"/>
      <c r="E512" s="49"/>
      <c r="F512" s="49"/>
      <c r="G512" s="49"/>
      <c r="H512" s="49"/>
      <c r="I512" s="49"/>
    </row>
    <row r="513">
      <c r="A513" s="49"/>
      <c r="B513" s="49"/>
      <c r="C513" s="49"/>
      <c r="D513" s="49"/>
      <c r="E513" s="49"/>
      <c r="F513" s="49"/>
      <c r="G513" s="49"/>
      <c r="H513" s="49"/>
      <c r="I513" s="49"/>
    </row>
    <row r="514">
      <c r="A514" s="49"/>
      <c r="B514" s="49"/>
      <c r="C514" s="49"/>
      <c r="D514" s="49"/>
      <c r="E514" s="49"/>
      <c r="F514" s="49"/>
      <c r="G514" s="49"/>
      <c r="H514" s="49"/>
      <c r="I514" s="49"/>
    </row>
    <row r="515">
      <c r="A515" s="49"/>
      <c r="B515" s="49"/>
      <c r="C515" s="49"/>
      <c r="D515" s="49"/>
      <c r="E515" s="49"/>
      <c r="F515" s="49"/>
      <c r="G515" s="49"/>
      <c r="H515" s="49"/>
      <c r="I515" s="49"/>
    </row>
    <row r="516">
      <c r="A516" s="49"/>
      <c r="B516" s="49"/>
      <c r="C516" s="49"/>
      <c r="D516" s="49"/>
      <c r="E516" s="49"/>
      <c r="F516" s="49"/>
      <c r="G516" s="49"/>
      <c r="H516" s="49"/>
      <c r="I516" s="49"/>
    </row>
    <row r="517">
      <c r="A517" s="49"/>
      <c r="B517" s="49"/>
      <c r="C517" s="49"/>
      <c r="D517" s="49"/>
      <c r="E517" s="49"/>
      <c r="F517" s="49"/>
      <c r="G517" s="49"/>
      <c r="H517" s="49"/>
      <c r="I517" s="49"/>
    </row>
    <row r="518">
      <c r="A518" s="49"/>
      <c r="B518" s="49"/>
      <c r="C518" s="49"/>
      <c r="D518" s="49"/>
      <c r="E518" s="49"/>
      <c r="F518" s="49"/>
      <c r="G518" s="49"/>
      <c r="H518" s="49"/>
      <c r="I518" s="49"/>
    </row>
    <row r="519">
      <c r="A519" s="49"/>
      <c r="B519" s="49"/>
      <c r="C519" s="49"/>
      <c r="D519" s="49"/>
      <c r="E519" s="49"/>
      <c r="F519" s="49"/>
      <c r="G519" s="49"/>
      <c r="H519" s="49"/>
      <c r="I519" s="49"/>
    </row>
    <row r="520">
      <c r="A520" s="49"/>
      <c r="B520" s="49"/>
      <c r="C520" s="49"/>
      <c r="D520" s="49"/>
      <c r="E520" s="49"/>
      <c r="F520" s="49"/>
      <c r="G520" s="49"/>
      <c r="H520" s="49"/>
      <c r="I520" s="49"/>
    </row>
    <row r="521">
      <c r="A521" s="49"/>
      <c r="B521" s="49"/>
      <c r="C521" s="49"/>
      <c r="D521" s="49"/>
      <c r="E521" s="49"/>
      <c r="F521" s="49"/>
      <c r="G521" s="49"/>
      <c r="H521" s="49"/>
      <c r="I521" s="49"/>
    </row>
    <row r="522">
      <c r="A522" s="49"/>
      <c r="B522" s="49"/>
      <c r="C522" s="49"/>
      <c r="D522" s="49"/>
      <c r="E522" s="49"/>
      <c r="F522" s="49"/>
      <c r="G522" s="49"/>
      <c r="H522" s="49"/>
      <c r="I522" s="49"/>
    </row>
    <row r="523">
      <c r="A523" s="49"/>
      <c r="B523" s="49"/>
      <c r="C523" s="49"/>
      <c r="D523" s="49"/>
      <c r="E523" s="49"/>
      <c r="F523" s="49"/>
      <c r="G523" s="49"/>
      <c r="H523" s="49"/>
      <c r="I523" s="49"/>
    </row>
    <row r="524">
      <c r="A524" s="49"/>
      <c r="B524" s="49"/>
      <c r="C524" s="49"/>
      <c r="D524" s="49"/>
      <c r="E524" s="49"/>
      <c r="F524" s="49"/>
      <c r="G524" s="49"/>
      <c r="H524" s="49"/>
      <c r="I524" s="49"/>
    </row>
    <row r="525">
      <c r="A525" s="49"/>
      <c r="B525" s="49"/>
      <c r="C525" s="49"/>
      <c r="D525" s="49"/>
      <c r="E525" s="49"/>
      <c r="F525" s="49"/>
      <c r="G525" s="49"/>
      <c r="H525" s="49"/>
      <c r="I525" s="49"/>
    </row>
    <row r="526">
      <c r="A526" s="49"/>
      <c r="B526" s="49"/>
      <c r="C526" s="49"/>
      <c r="D526" s="49"/>
      <c r="E526" s="49"/>
      <c r="F526" s="49"/>
      <c r="G526" s="49"/>
      <c r="H526" s="49"/>
      <c r="I526" s="49"/>
    </row>
    <row r="527">
      <c r="A527" s="49"/>
      <c r="B527" s="49"/>
      <c r="C527" s="49"/>
      <c r="D527" s="49"/>
      <c r="E527" s="49"/>
      <c r="F527" s="49"/>
      <c r="G527" s="49"/>
      <c r="H527" s="49"/>
      <c r="I527" s="49"/>
    </row>
    <row r="528">
      <c r="A528" s="49"/>
      <c r="B528" s="49"/>
      <c r="C528" s="49"/>
      <c r="D528" s="49"/>
      <c r="E528" s="49"/>
      <c r="F528" s="49"/>
      <c r="G528" s="49"/>
      <c r="H528" s="49"/>
      <c r="I528" s="49"/>
    </row>
    <row r="529">
      <c r="A529" s="49"/>
      <c r="B529" s="49"/>
      <c r="C529" s="49"/>
      <c r="D529" s="49"/>
      <c r="E529" s="49"/>
      <c r="F529" s="49"/>
      <c r="G529" s="49"/>
      <c r="H529" s="49"/>
      <c r="I529" s="49"/>
    </row>
    <row r="530">
      <c r="A530" s="49"/>
      <c r="B530" s="49"/>
      <c r="C530" s="49"/>
      <c r="D530" s="49"/>
      <c r="E530" s="49"/>
      <c r="F530" s="49"/>
      <c r="G530" s="49"/>
      <c r="H530" s="49"/>
      <c r="I530" s="49"/>
    </row>
    <row r="531">
      <c r="A531" s="49"/>
      <c r="B531" s="49"/>
      <c r="C531" s="49"/>
      <c r="D531" s="49"/>
      <c r="E531" s="49"/>
      <c r="F531" s="49"/>
      <c r="G531" s="49"/>
      <c r="H531" s="49"/>
      <c r="I531" s="49"/>
    </row>
    <row r="532">
      <c r="A532" s="49"/>
      <c r="B532" s="49"/>
      <c r="C532" s="49"/>
      <c r="D532" s="49"/>
      <c r="E532" s="49"/>
      <c r="F532" s="49"/>
      <c r="G532" s="49"/>
      <c r="H532" s="49"/>
      <c r="I532" s="49"/>
    </row>
    <row r="533">
      <c r="A533" s="49"/>
      <c r="B533" s="49"/>
      <c r="C533" s="49"/>
      <c r="D533" s="49"/>
      <c r="E533" s="49"/>
      <c r="F533" s="49"/>
      <c r="G533" s="49"/>
      <c r="H533" s="49"/>
      <c r="I533" s="49"/>
    </row>
    <row r="534">
      <c r="A534" s="49"/>
      <c r="B534" s="49"/>
      <c r="C534" s="49"/>
      <c r="D534" s="49"/>
      <c r="E534" s="49"/>
      <c r="F534" s="49"/>
      <c r="G534" s="49"/>
      <c r="H534" s="49"/>
      <c r="I534" s="49"/>
    </row>
    <row r="535">
      <c r="A535" s="49"/>
      <c r="B535" s="49"/>
      <c r="C535" s="49"/>
      <c r="D535" s="49"/>
      <c r="E535" s="49"/>
      <c r="F535" s="49"/>
      <c r="G535" s="49"/>
      <c r="H535" s="49"/>
      <c r="I535" s="49"/>
    </row>
    <row r="536">
      <c r="A536" s="49"/>
      <c r="B536" s="49"/>
      <c r="C536" s="49"/>
      <c r="D536" s="49"/>
      <c r="E536" s="49"/>
      <c r="F536" s="49"/>
      <c r="G536" s="49"/>
      <c r="H536" s="49"/>
      <c r="I536" s="49"/>
    </row>
    <row r="537">
      <c r="A537" s="49"/>
      <c r="B537" s="49"/>
      <c r="C537" s="49"/>
      <c r="D537" s="49"/>
      <c r="E537" s="49"/>
      <c r="F537" s="49"/>
      <c r="G537" s="49"/>
      <c r="H537" s="49"/>
      <c r="I537" s="49"/>
    </row>
    <row r="538">
      <c r="A538" s="49"/>
      <c r="B538" s="49"/>
      <c r="C538" s="49"/>
      <c r="D538" s="49"/>
      <c r="E538" s="49"/>
      <c r="F538" s="49"/>
      <c r="G538" s="49"/>
      <c r="H538" s="49"/>
      <c r="I538" s="49"/>
    </row>
    <row r="539">
      <c r="A539" s="49"/>
      <c r="B539" s="49"/>
      <c r="C539" s="49"/>
      <c r="D539" s="49"/>
      <c r="E539" s="49"/>
      <c r="F539" s="49"/>
      <c r="G539" s="49"/>
      <c r="H539" s="49"/>
      <c r="I539" s="49"/>
    </row>
    <row r="540">
      <c r="A540" s="49"/>
      <c r="B540" s="49"/>
      <c r="C540" s="49"/>
      <c r="D540" s="49"/>
      <c r="E540" s="49"/>
      <c r="F540" s="49"/>
      <c r="G540" s="49"/>
      <c r="H540" s="49"/>
      <c r="I540" s="49"/>
    </row>
    <row r="541">
      <c r="A541" s="49"/>
      <c r="B541" s="49"/>
      <c r="C541" s="49"/>
      <c r="D541" s="49"/>
      <c r="E541" s="49"/>
      <c r="F541" s="49"/>
      <c r="G541" s="49"/>
      <c r="H541" s="49"/>
      <c r="I541" s="49"/>
    </row>
    <row r="542">
      <c r="A542" s="49"/>
      <c r="B542" s="49"/>
      <c r="C542" s="49"/>
      <c r="D542" s="49"/>
      <c r="E542" s="49"/>
      <c r="F542" s="49"/>
      <c r="G542" s="49"/>
      <c r="H542" s="49"/>
      <c r="I542" s="49"/>
    </row>
    <row r="543">
      <c r="A543" s="49"/>
      <c r="B543" s="49"/>
      <c r="C543" s="49"/>
      <c r="D543" s="49"/>
      <c r="E543" s="49"/>
      <c r="F543" s="49"/>
      <c r="G543" s="49"/>
      <c r="H543" s="49"/>
      <c r="I543" s="49"/>
    </row>
    <row r="544">
      <c r="A544" s="49"/>
      <c r="B544" s="49"/>
      <c r="C544" s="49"/>
      <c r="D544" s="49"/>
      <c r="E544" s="49"/>
      <c r="F544" s="49"/>
      <c r="G544" s="49"/>
      <c r="H544" s="49"/>
      <c r="I544" s="49"/>
    </row>
    <row r="545">
      <c r="A545" s="49"/>
      <c r="B545" s="49"/>
      <c r="C545" s="49"/>
      <c r="D545" s="49"/>
      <c r="E545" s="49"/>
      <c r="F545" s="49"/>
      <c r="G545" s="49"/>
      <c r="H545" s="49"/>
      <c r="I545" s="49"/>
    </row>
    <row r="546">
      <c r="A546" s="49"/>
      <c r="B546" s="49"/>
      <c r="C546" s="49"/>
      <c r="D546" s="49"/>
      <c r="E546" s="49"/>
      <c r="F546" s="49"/>
      <c r="G546" s="49"/>
      <c r="H546" s="49"/>
      <c r="I546" s="49"/>
    </row>
    <row r="547">
      <c r="A547" s="49"/>
      <c r="B547" s="49"/>
      <c r="C547" s="49"/>
      <c r="D547" s="49"/>
      <c r="E547" s="49"/>
      <c r="F547" s="49"/>
      <c r="G547" s="49"/>
      <c r="H547" s="49"/>
      <c r="I547" s="49"/>
    </row>
    <row r="548">
      <c r="A548" s="49"/>
      <c r="B548" s="49"/>
      <c r="C548" s="49"/>
      <c r="D548" s="49"/>
      <c r="E548" s="49"/>
      <c r="F548" s="49"/>
      <c r="G548" s="49"/>
      <c r="H548" s="49"/>
      <c r="I548" s="49"/>
    </row>
    <row r="549">
      <c r="A549" s="49"/>
      <c r="B549" s="49"/>
      <c r="C549" s="49"/>
      <c r="D549" s="49"/>
      <c r="E549" s="49"/>
      <c r="F549" s="49"/>
      <c r="G549" s="49"/>
      <c r="H549" s="49"/>
      <c r="I549" s="49"/>
    </row>
    <row r="550">
      <c r="A550" s="49"/>
      <c r="B550" s="49"/>
      <c r="C550" s="49"/>
      <c r="D550" s="49"/>
      <c r="E550" s="49"/>
      <c r="F550" s="49"/>
      <c r="G550" s="49"/>
      <c r="H550" s="49"/>
      <c r="I550" s="49"/>
    </row>
    <row r="551">
      <c r="A551" s="49"/>
      <c r="B551" s="49"/>
      <c r="C551" s="49"/>
      <c r="D551" s="49"/>
      <c r="E551" s="49"/>
      <c r="F551" s="49"/>
      <c r="G551" s="49"/>
      <c r="H551" s="49"/>
      <c r="I551" s="49"/>
    </row>
    <row r="552">
      <c r="A552" s="49"/>
      <c r="B552" s="49"/>
      <c r="C552" s="49"/>
      <c r="D552" s="49"/>
      <c r="E552" s="49"/>
      <c r="F552" s="49"/>
      <c r="G552" s="49"/>
      <c r="H552" s="49"/>
      <c r="I552" s="49"/>
    </row>
    <row r="553">
      <c r="A553" s="49"/>
      <c r="B553" s="49"/>
      <c r="C553" s="49"/>
      <c r="D553" s="49"/>
      <c r="E553" s="49"/>
      <c r="F553" s="49"/>
      <c r="G553" s="49"/>
      <c r="H553" s="49"/>
      <c r="I553" s="49"/>
    </row>
    <row r="554">
      <c r="A554" s="49"/>
      <c r="B554" s="49"/>
      <c r="C554" s="49"/>
      <c r="D554" s="49"/>
      <c r="E554" s="49"/>
      <c r="F554" s="49"/>
      <c r="G554" s="49"/>
      <c r="H554" s="49"/>
      <c r="I554" s="49"/>
    </row>
    <row r="555">
      <c r="A555" s="49"/>
      <c r="B555" s="49"/>
      <c r="C555" s="49"/>
      <c r="D555" s="49"/>
      <c r="E555" s="49"/>
      <c r="F555" s="49"/>
      <c r="G555" s="49"/>
      <c r="H555" s="49"/>
      <c r="I555" s="49"/>
    </row>
    <row r="556">
      <c r="A556" s="49"/>
      <c r="B556" s="49"/>
      <c r="C556" s="49"/>
      <c r="D556" s="49"/>
      <c r="E556" s="49"/>
      <c r="F556" s="49"/>
      <c r="G556" s="49"/>
      <c r="H556" s="49"/>
      <c r="I556" s="49"/>
    </row>
    <row r="557">
      <c r="A557" s="49"/>
      <c r="B557" s="49"/>
      <c r="C557" s="49"/>
      <c r="D557" s="49"/>
      <c r="E557" s="49"/>
      <c r="F557" s="49"/>
      <c r="G557" s="49"/>
      <c r="H557" s="49"/>
      <c r="I557" s="49"/>
    </row>
    <row r="558">
      <c r="A558" s="49"/>
      <c r="B558" s="49"/>
      <c r="C558" s="49"/>
      <c r="D558" s="49"/>
      <c r="E558" s="49"/>
      <c r="F558" s="49"/>
      <c r="G558" s="49"/>
      <c r="H558" s="49"/>
      <c r="I558" s="49"/>
    </row>
    <row r="559">
      <c r="A559" s="49"/>
      <c r="B559" s="49"/>
      <c r="C559" s="49"/>
      <c r="D559" s="49"/>
      <c r="E559" s="49"/>
      <c r="F559" s="49"/>
      <c r="G559" s="49"/>
      <c r="H559" s="49"/>
      <c r="I559" s="49"/>
    </row>
    <row r="560">
      <c r="A560" s="49"/>
      <c r="B560" s="49"/>
      <c r="C560" s="49"/>
      <c r="D560" s="49"/>
      <c r="E560" s="49"/>
      <c r="F560" s="49"/>
      <c r="G560" s="49"/>
      <c r="H560" s="49"/>
      <c r="I560" s="49"/>
    </row>
    <row r="561">
      <c r="A561" s="49"/>
      <c r="B561" s="49"/>
      <c r="C561" s="49"/>
      <c r="D561" s="49"/>
      <c r="E561" s="49"/>
      <c r="F561" s="49"/>
      <c r="G561" s="49"/>
      <c r="H561" s="49"/>
      <c r="I561" s="49"/>
    </row>
    <row r="562">
      <c r="A562" s="49"/>
      <c r="B562" s="49"/>
      <c r="C562" s="49"/>
      <c r="D562" s="49"/>
      <c r="E562" s="49"/>
      <c r="F562" s="49"/>
      <c r="G562" s="49"/>
      <c r="H562" s="49"/>
      <c r="I562" s="49"/>
    </row>
    <row r="563">
      <c r="A563" s="49"/>
      <c r="B563" s="49"/>
      <c r="C563" s="49"/>
      <c r="D563" s="49"/>
      <c r="E563" s="49"/>
      <c r="F563" s="49"/>
      <c r="G563" s="49"/>
      <c r="H563" s="49"/>
      <c r="I563" s="49"/>
    </row>
    <row r="564">
      <c r="A564" s="49"/>
      <c r="B564" s="49"/>
      <c r="C564" s="49"/>
      <c r="D564" s="49"/>
      <c r="E564" s="49"/>
      <c r="F564" s="49"/>
      <c r="G564" s="49"/>
      <c r="H564" s="49"/>
      <c r="I564" s="49"/>
    </row>
    <row r="565">
      <c r="A565" s="49"/>
      <c r="B565" s="49"/>
      <c r="C565" s="49"/>
      <c r="D565" s="49"/>
      <c r="E565" s="49"/>
      <c r="F565" s="49"/>
      <c r="G565" s="49"/>
      <c r="H565" s="49"/>
      <c r="I565" s="49"/>
    </row>
    <row r="566">
      <c r="A566" s="49"/>
      <c r="B566" s="49"/>
      <c r="C566" s="49"/>
      <c r="D566" s="49"/>
      <c r="E566" s="49"/>
      <c r="F566" s="49"/>
      <c r="G566" s="49"/>
      <c r="H566" s="49"/>
      <c r="I566" s="49"/>
    </row>
    <row r="567">
      <c r="A567" s="49"/>
      <c r="B567" s="49"/>
      <c r="C567" s="49"/>
      <c r="D567" s="49"/>
      <c r="E567" s="49"/>
      <c r="F567" s="49"/>
      <c r="G567" s="49"/>
      <c r="H567" s="49"/>
      <c r="I567" s="49"/>
    </row>
    <row r="568">
      <c r="A568" s="49"/>
      <c r="B568" s="49"/>
      <c r="C568" s="49"/>
      <c r="D568" s="49"/>
      <c r="E568" s="49"/>
      <c r="F568" s="49"/>
      <c r="G568" s="49"/>
      <c r="H568" s="49"/>
      <c r="I568" s="49"/>
    </row>
    <row r="569">
      <c r="A569" s="49"/>
      <c r="B569" s="49"/>
      <c r="C569" s="49"/>
      <c r="D569" s="49"/>
      <c r="E569" s="49"/>
      <c r="F569" s="49"/>
      <c r="G569" s="49"/>
      <c r="H569" s="49"/>
      <c r="I569" s="49"/>
    </row>
    <row r="570">
      <c r="A570" s="49"/>
      <c r="B570" s="49"/>
      <c r="C570" s="49"/>
      <c r="D570" s="49"/>
      <c r="E570" s="49"/>
      <c r="F570" s="49"/>
      <c r="G570" s="49"/>
      <c r="H570" s="49"/>
      <c r="I570" s="49"/>
    </row>
    <row r="571">
      <c r="A571" s="49"/>
      <c r="B571" s="49"/>
      <c r="C571" s="49"/>
      <c r="D571" s="49"/>
      <c r="E571" s="49"/>
      <c r="F571" s="49"/>
      <c r="G571" s="49"/>
      <c r="H571" s="49"/>
      <c r="I571" s="49"/>
    </row>
    <row r="572">
      <c r="A572" s="49"/>
      <c r="B572" s="49"/>
      <c r="C572" s="49"/>
      <c r="D572" s="49"/>
      <c r="E572" s="49"/>
      <c r="F572" s="49"/>
      <c r="G572" s="49"/>
      <c r="H572" s="49"/>
      <c r="I572" s="49"/>
    </row>
    <row r="573">
      <c r="A573" s="49"/>
      <c r="B573" s="49"/>
      <c r="C573" s="49"/>
      <c r="D573" s="49"/>
      <c r="E573" s="49"/>
      <c r="F573" s="49"/>
      <c r="G573" s="49"/>
      <c r="H573" s="49"/>
      <c r="I573" s="49"/>
    </row>
    <row r="574">
      <c r="A574" s="49"/>
      <c r="B574" s="49"/>
      <c r="C574" s="49"/>
      <c r="D574" s="49"/>
      <c r="E574" s="49"/>
      <c r="F574" s="49"/>
      <c r="G574" s="49"/>
      <c r="H574" s="49"/>
      <c r="I574" s="49"/>
    </row>
    <row r="575">
      <c r="A575" s="49"/>
      <c r="B575" s="49"/>
      <c r="C575" s="49"/>
      <c r="D575" s="49"/>
      <c r="E575" s="49"/>
      <c r="F575" s="49"/>
      <c r="G575" s="49"/>
      <c r="H575" s="49"/>
      <c r="I575" s="49"/>
    </row>
    <row r="576">
      <c r="A576" s="49"/>
      <c r="B576" s="49"/>
      <c r="C576" s="49"/>
      <c r="D576" s="49"/>
      <c r="E576" s="49"/>
      <c r="F576" s="49"/>
      <c r="G576" s="49"/>
      <c r="H576" s="49"/>
      <c r="I576" s="49"/>
    </row>
    <row r="577">
      <c r="A577" s="49"/>
      <c r="B577" s="49"/>
      <c r="C577" s="49"/>
      <c r="D577" s="49"/>
      <c r="E577" s="49"/>
      <c r="F577" s="49"/>
      <c r="G577" s="49"/>
      <c r="H577" s="49"/>
      <c r="I577" s="49"/>
    </row>
    <row r="578">
      <c r="A578" s="49"/>
      <c r="B578" s="49"/>
      <c r="C578" s="49"/>
      <c r="D578" s="49"/>
      <c r="E578" s="49"/>
      <c r="F578" s="49"/>
      <c r="G578" s="49"/>
      <c r="H578" s="49"/>
      <c r="I578" s="49"/>
    </row>
    <row r="579">
      <c r="A579" s="49"/>
      <c r="B579" s="49"/>
      <c r="C579" s="49"/>
      <c r="D579" s="49"/>
      <c r="E579" s="49"/>
      <c r="F579" s="49"/>
      <c r="G579" s="49"/>
      <c r="H579" s="49"/>
      <c r="I579" s="49"/>
    </row>
    <row r="580">
      <c r="A580" s="49"/>
      <c r="B580" s="49"/>
      <c r="C580" s="49"/>
      <c r="D580" s="49"/>
      <c r="E580" s="49"/>
      <c r="F580" s="49"/>
      <c r="G580" s="49"/>
      <c r="H580" s="49"/>
      <c r="I580" s="49"/>
    </row>
    <row r="581">
      <c r="A581" s="49"/>
      <c r="B581" s="49"/>
      <c r="C581" s="49"/>
      <c r="D581" s="49"/>
      <c r="E581" s="49"/>
      <c r="F581" s="49"/>
      <c r="G581" s="49"/>
      <c r="H581" s="49"/>
      <c r="I581" s="49"/>
    </row>
    <row r="582">
      <c r="A582" s="49"/>
      <c r="B582" s="49"/>
      <c r="C582" s="49"/>
      <c r="D582" s="49"/>
      <c r="E582" s="49"/>
      <c r="F582" s="49"/>
      <c r="G582" s="49"/>
      <c r="H582" s="49"/>
      <c r="I582" s="49"/>
    </row>
    <row r="583">
      <c r="A583" s="49"/>
      <c r="B583" s="49"/>
      <c r="C583" s="49"/>
      <c r="D583" s="49"/>
      <c r="E583" s="49"/>
      <c r="F583" s="49"/>
      <c r="G583" s="49"/>
      <c r="H583" s="49"/>
      <c r="I583" s="49"/>
    </row>
    <row r="584">
      <c r="A584" s="49"/>
      <c r="B584" s="49"/>
      <c r="C584" s="49"/>
      <c r="D584" s="49"/>
      <c r="E584" s="49"/>
      <c r="F584" s="49"/>
      <c r="G584" s="49"/>
      <c r="H584" s="49"/>
      <c r="I584" s="49"/>
    </row>
    <row r="585">
      <c r="A585" s="49"/>
      <c r="B585" s="49"/>
      <c r="C585" s="49"/>
      <c r="D585" s="49"/>
      <c r="E585" s="49"/>
      <c r="F585" s="49"/>
      <c r="G585" s="49"/>
      <c r="H585" s="49"/>
      <c r="I585" s="49"/>
    </row>
    <row r="586">
      <c r="A586" s="49"/>
      <c r="B586" s="49"/>
      <c r="C586" s="49"/>
      <c r="D586" s="49"/>
      <c r="E586" s="49"/>
      <c r="F586" s="49"/>
      <c r="G586" s="49"/>
      <c r="H586" s="49"/>
      <c r="I586" s="49"/>
    </row>
    <row r="587">
      <c r="A587" s="49"/>
      <c r="B587" s="49"/>
      <c r="C587" s="49"/>
      <c r="D587" s="49"/>
      <c r="E587" s="49"/>
      <c r="F587" s="49"/>
      <c r="G587" s="49"/>
      <c r="H587" s="49"/>
      <c r="I587" s="49"/>
    </row>
    <row r="588">
      <c r="A588" s="49"/>
      <c r="B588" s="49"/>
      <c r="C588" s="49"/>
      <c r="D588" s="49"/>
      <c r="E588" s="49"/>
      <c r="F588" s="49"/>
      <c r="G588" s="49"/>
      <c r="H588" s="49"/>
      <c r="I588" s="49"/>
    </row>
    <row r="589">
      <c r="A589" s="49"/>
      <c r="B589" s="49"/>
      <c r="C589" s="49"/>
      <c r="D589" s="49"/>
      <c r="E589" s="49"/>
      <c r="F589" s="49"/>
      <c r="G589" s="49"/>
      <c r="H589" s="49"/>
      <c r="I589" s="49"/>
    </row>
    <row r="590">
      <c r="A590" s="49"/>
      <c r="B590" s="49"/>
      <c r="C590" s="49"/>
      <c r="D590" s="49"/>
      <c r="E590" s="49"/>
      <c r="F590" s="49"/>
      <c r="G590" s="49"/>
      <c r="H590" s="49"/>
      <c r="I590" s="49"/>
    </row>
    <row r="591">
      <c r="A591" s="49"/>
      <c r="B591" s="49"/>
      <c r="C591" s="49"/>
      <c r="D591" s="49"/>
      <c r="E591" s="49"/>
      <c r="F591" s="49"/>
      <c r="G591" s="49"/>
      <c r="H591" s="49"/>
      <c r="I591" s="49"/>
    </row>
    <row r="592">
      <c r="A592" s="49"/>
      <c r="B592" s="49"/>
      <c r="C592" s="49"/>
      <c r="D592" s="49"/>
      <c r="E592" s="49"/>
      <c r="F592" s="49"/>
      <c r="G592" s="49"/>
      <c r="H592" s="49"/>
      <c r="I592" s="49"/>
    </row>
    <row r="593">
      <c r="A593" s="49"/>
      <c r="B593" s="49"/>
      <c r="C593" s="49"/>
      <c r="D593" s="49"/>
      <c r="E593" s="49"/>
      <c r="F593" s="49"/>
      <c r="G593" s="49"/>
      <c r="H593" s="49"/>
      <c r="I593" s="49"/>
    </row>
    <row r="594">
      <c r="A594" s="49"/>
      <c r="B594" s="49"/>
      <c r="C594" s="49"/>
      <c r="D594" s="49"/>
      <c r="E594" s="49"/>
      <c r="F594" s="49"/>
      <c r="G594" s="49"/>
      <c r="H594" s="49"/>
      <c r="I594" s="49"/>
    </row>
    <row r="595">
      <c r="A595" s="49"/>
      <c r="B595" s="49"/>
      <c r="C595" s="49"/>
      <c r="D595" s="49"/>
      <c r="E595" s="49"/>
      <c r="F595" s="49"/>
      <c r="G595" s="49"/>
      <c r="H595" s="49"/>
      <c r="I595" s="49"/>
    </row>
    <row r="596">
      <c r="A596" s="49"/>
      <c r="B596" s="49"/>
      <c r="C596" s="49"/>
      <c r="D596" s="49"/>
      <c r="E596" s="49"/>
      <c r="F596" s="49"/>
      <c r="G596" s="49"/>
      <c r="H596" s="49"/>
      <c r="I596" s="49"/>
    </row>
    <row r="597">
      <c r="A597" s="49"/>
      <c r="B597" s="49"/>
      <c r="C597" s="49"/>
      <c r="D597" s="49"/>
      <c r="E597" s="49"/>
      <c r="F597" s="49"/>
      <c r="G597" s="49"/>
      <c r="H597" s="49"/>
      <c r="I597" s="49"/>
    </row>
    <row r="598">
      <c r="A598" s="49"/>
      <c r="B598" s="49"/>
      <c r="C598" s="49"/>
      <c r="D598" s="49"/>
      <c r="E598" s="49"/>
      <c r="F598" s="49"/>
      <c r="G598" s="49"/>
      <c r="H598" s="49"/>
      <c r="I598" s="49"/>
    </row>
    <row r="599">
      <c r="A599" s="49"/>
      <c r="B599" s="49"/>
      <c r="C599" s="49"/>
      <c r="D599" s="49"/>
      <c r="E599" s="49"/>
      <c r="F599" s="49"/>
      <c r="G599" s="49"/>
      <c r="H599" s="49"/>
      <c r="I599" s="49"/>
    </row>
    <row r="600">
      <c r="A600" s="49"/>
      <c r="B600" s="49"/>
      <c r="C600" s="49"/>
      <c r="D600" s="49"/>
      <c r="E600" s="49"/>
      <c r="F600" s="49"/>
      <c r="G600" s="49"/>
      <c r="H600" s="49"/>
      <c r="I600" s="49"/>
    </row>
    <row r="601">
      <c r="A601" s="49"/>
      <c r="B601" s="49"/>
      <c r="C601" s="49"/>
      <c r="D601" s="49"/>
      <c r="E601" s="49"/>
      <c r="F601" s="49"/>
      <c r="G601" s="49"/>
      <c r="H601" s="49"/>
      <c r="I601" s="49"/>
    </row>
    <row r="602">
      <c r="A602" s="49"/>
      <c r="B602" s="49"/>
      <c r="C602" s="49"/>
      <c r="D602" s="49"/>
      <c r="E602" s="49"/>
      <c r="F602" s="49"/>
      <c r="G602" s="49"/>
      <c r="H602" s="49"/>
      <c r="I602" s="49"/>
    </row>
    <row r="603">
      <c r="A603" s="49"/>
      <c r="B603" s="49"/>
      <c r="C603" s="49"/>
      <c r="D603" s="49"/>
      <c r="E603" s="49"/>
      <c r="F603" s="49"/>
      <c r="G603" s="49"/>
      <c r="H603" s="49"/>
      <c r="I603" s="49"/>
    </row>
    <row r="604">
      <c r="A604" s="49"/>
      <c r="B604" s="49"/>
      <c r="C604" s="49"/>
      <c r="D604" s="49"/>
      <c r="E604" s="49"/>
      <c r="F604" s="49"/>
      <c r="G604" s="49"/>
      <c r="H604" s="49"/>
      <c r="I604" s="49"/>
    </row>
    <row r="605">
      <c r="A605" s="49"/>
      <c r="B605" s="49"/>
      <c r="C605" s="49"/>
      <c r="D605" s="49"/>
      <c r="E605" s="49"/>
      <c r="F605" s="49"/>
      <c r="G605" s="49"/>
      <c r="H605" s="49"/>
      <c r="I605" s="49"/>
    </row>
    <row r="606">
      <c r="A606" s="49"/>
      <c r="B606" s="49"/>
      <c r="C606" s="49"/>
      <c r="D606" s="49"/>
      <c r="E606" s="49"/>
      <c r="F606" s="49"/>
      <c r="G606" s="49"/>
      <c r="H606" s="49"/>
      <c r="I606" s="49"/>
    </row>
    <row r="607">
      <c r="A607" s="49"/>
      <c r="B607" s="49"/>
      <c r="C607" s="49"/>
      <c r="D607" s="49"/>
      <c r="E607" s="49"/>
      <c r="F607" s="49"/>
      <c r="G607" s="49"/>
      <c r="H607" s="49"/>
      <c r="I607" s="49"/>
    </row>
    <row r="608">
      <c r="A608" s="49"/>
      <c r="B608" s="49"/>
      <c r="C608" s="49"/>
      <c r="D608" s="49"/>
      <c r="E608" s="49"/>
      <c r="F608" s="49"/>
      <c r="G608" s="49"/>
      <c r="H608" s="49"/>
      <c r="I608" s="49"/>
    </row>
    <row r="609">
      <c r="A609" s="49"/>
      <c r="B609" s="49"/>
      <c r="C609" s="49"/>
      <c r="D609" s="49"/>
      <c r="E609" s="49"/>
      <c r="F609" s="49"/>
      <c r="G609" s="49"/>
      <c r="H609" s="49"/>
      <c r="I609" s="49"/>
    </row>
    <row r="610">
      <c r="A610" s="49"/>
      <c r="B610" s="49"/>
      <c r="C610" s="49"/>
      <c r="D610" s="49"/>
      <c r="E610" s="49"/>
      <c r="F610" s="49"/>
      <c r="G610" s="49"/>
      <c r="H610" s="49"/>
      <c r="I610" s="49"/>
    </row>
    <row r="611">
      <c r="A611" s="49"/>
      <c r="B611" s="49"/>
      <c r="C611" s="49"/>
      <c r="D611" s="49"/>
      <c r="E611" s="49"/>
      <c r="F611" s="49"/>
      <c r="G611" s="49"/>
      <c r="H611" s="49"/>
      <c r="I611" s="49"/>
    </row>
    <row r="612">
      <c r="A612" s="49"/>
      <c r="B612" s="49"/>
      <c r="C612" s="49"/>
      <c r="D612" s="49"/>
      <c r="E612" s="49"/>
      <c r="F612" s="49"/>
      <c r="G612" s="49"/>
      <c r="H612" s="49"/>
      <c r="I612" s="49"/>
    </row>
    <row r="613">
      <c r="A613" s="49"/>
      <c r="B613" s="49"/>
      <c r="C613" s="49"/>
      <c r="D613" s="49"/>
      <c r="E613" s="49"/>
      <c r="F613" s="49"/>
      <c r="G613" s="49"/>
      <c r="H613" s="49"/>
      <c r="I613" s="49"/>
    </row>
    <row r="614">
      <c r="A614" s="49"/>
      <c r="B614" s="49"/>
      <c r="C614" s="49"/>
      <c r="D614" s="49"/>
      <c r="E614" s="49"/>
      <c r="F614" s="49"/>
      <c r="G614" s="49"/>
      <c r="H614" s="49"/>
      <c r="I614" s="49"/>
    </row>
    <row r="615">
      <c r="A615" s="49"/>
      <c r="B615" s="49"/>
      <c r="C615" s="49"/>
      <c r="D615" s="49"/>
      <c r="E615" s="49"/>
      <c r="F615" s="49"/>
      <c r="G615" s="49"/>
      <c r="H615" s="49"/>
      <c r="I615" s="49"/>
    </row>
    <row r="616">
      <c r="A616" s="49"/>
      <c r="B616" s="49"/>
      <c r="C616" s="49"/>
      <c r="D616" s="49"/>
      <c r="E616" s="49"/>
      <c r="F616" s="49"/>
      <c r="G616" s="49"/>
      <c r="H616" s="49"/>
      <c r="I616" s="49"/>
    </row>
    <row r="617">
      <c r="A617" s="49"/>
      <c r="B617" s="49"/>
      <c r="C617" s="49"/>
      <c r="D617" s="49"/>
      <c r="E617" s="49"/>
      <c r="F617" s="49"/>
      <c r="G617" s="49"/>
      <c r="H617" s="49"/>
      <c r="I617" s="49"/>
    </row>
    <row r="618">
      <c r="A618" s="49"/>
      <c r="B618" s="49"/>
      <c r="C618" s="49"/>
      <c r="D618" s="49"/>
      <c r="E618" s="49"/>
      <c r="F618" s="49"/>
      <c r="G618" s="49"/>
      <c r="H618" s="49"/>
      <c r="I618" s="49"/>
    </row>
    <row r="619">
      <c r="A619" s="49"/>
      <c r="B619" s="49"/>
      <c r="C619" s="49"/>
      <c r="D619" s="49"/>
      <c r="E619" s="49"/>
      <c r="F619" s="49"/>
      <c r="G619" s="49"/>
      <c r="H619" s="49"/>
      <c r="I619" s="49"/>
    </row>
    <row r="620">
      <c r="A620" s="49"/>
      <c r="B620" s="49"/>
      <c r="C620" s="49"/>
      <c r="D620" s="49"/>
      <c r="E620" s="49"/>
      <c r="F620" s="49"/>
      <c r="G620" s="49"/>
      <c r="H620" s="49"/>
      <c r="I620" s="49"/>
    </row>
    <row r="621">
      <c r="A621" s="49"/>
      <c r="B621" s="49"/>
      <c r="C621" s="49"/>
      <c r="D621" s="49"/>
      <c r="E621" s="49"/>
      <c r="F621" s="49"/>
      <c r="G621" s="49"/>
      <c r="H621" s="49"/>
      <c r="I621" s="49"/>
    </row>
    <row r="622">
      <c r="A622" s="49"/>
      <c r="B622" s="49"/>
      <c r="C622" s="49"/>
      <c r="D622" s="49"/>
      <c r="E622" s="49"/>
      <c r="F622" s="49"/>
      <c r="G622" s="49"/>
      <c r="H622" s="49"/>
      <c r="I622" s="49"/>
    </row>
    <row r="623">
      <c r="A623" s="49"/>
      <c r="B623" s="49"/>
      <c r="C623" s="49"/>
      <c r="D623" s="49"/>
      <c r="E623" s="49"/>
      <c r="F623" s="49"/>
      <c r="G623" s="49"/>
      <c r="H623" s="49"/>
      <c r="I623" s="49"/>
    </row>
    <row r="624">
      <c r="A624" s="49"/>
      <c r="B624" s="49"/>
      <c r="C624" s="49"/>
      <c r="D624" s="49"/>
      <c r="E624" s="49"/>
      <c r="F624" s="49"/>
      <c r="G624" s="49"/>
      <c r="H624" s="49"/>
      <c r="I624" s="49"/>
    </row>
    <row r="625">
      <c r="A625" s="49"/>
      <c r="B625" s="49"/>
      <c r="C625" s="49"/>
      <c r="D625" s="49"/>
      <c r="E625" s="49"/>
      <c r="F625" s="49"/>
      <c r="G625" s="49"/>
      <c r="H625" s="49"/>
      <c r="I625" s="49"/>
    </row>
    <row r="626">
      <c r="A626" s="49"/>
      <c r="B626" s="49"/>
      <c r="C626" s="49"/>
      <c r="D626" s="49"/>
      <c r="E626" s="49"/>
      <c r="F626" s="49"/>
      <c r="G626" s="49"/>
      <c r="H626" s="49"/>
      <c r="I626" s="49"/>
    </row>
    <row r="627">
      <c r="A627" s="49"/>
      <c r="B627" s="49"/>
      <c r="C627" s="49"/>
      <c r="D627" s="49"/>
      <c r="E627" s="49"/>
      <c r="F627" s="49"/>
      <c r="G627" s="49"/>
      <c r="H627" s="49"/>
      <c r="I627" s="49"/>
    </row>
    <row r="628">
      <c r="A628" s="49"/>
      <c r="B628" s="49"/>
      <c r="C628" s="49"/>
      <c r="D628" s="49"/>
      <c r="E628" s="49"/>
      <c r="F628" s="49"/>
      <c r="G628" s="49"/>
      <c r="H628" s="49"/>
      <c r="I628" s="49"/>
    </row>
    <row r="629">
      <c r="A629" s="49"/>
      <c r="B629" s="49"/>
      <c r="C629" s="49"/>
      <c r="D629" s="49"/>
      <c r="E629" s="49"/>
      <c r="F629" s="49"/>
      <c r="G629" s="49"/>
      <c r="H629" s="49"/>
      <c r="I629" s="49"/>
    </row>
    <row r="630">
      <c r="A630" s="49"/>
      <c r="B630" s="49"/>
      <c r="C630" s="49"/>
      <c r="D630" s="49"/>
      <c r="E630" s="49"/>
      <c r="F630" s="49"/>
      <c r="G630" s="49"/>
      <c r="H630" s="49"/>
      <c r="I630" s="49"/>
    </row>
    <row r="631">
      <c r="A631" s="49"/>
      <c r="B631" s="49"/>
      <c r="C631" s="49"/>
      <c r="D631" s="49"/>
      <c r="E631" s="49"/>
      <c r="F631" s="49"/>
      <c r="G631" s="49"/>
      <c r="H631" s="49"/>
      <c r="I631" s="49"/>
    </row>
    <row r="632">
      <c r="A632" s="49"/>
      <c r="B632" s="49"/>
      <c r="C632" s="49"/>
      <c r="D632" s="49"/>
      <c r="E632" s="49"/>
      <c r="F632" s="49"/>
      <c r="G632" s="49"/>
      <c r="H632" s="49"/>
      <c r="I632" s="49"/>
    </row>
    <row r="633">
      <c r="A633" s="49"/>
      <c r="B633" s="49"/>
      <c r="C633" s="49"/>
      <c r="D633" s="49"/>
      <c r="E633" s="49"/>
      <c r="F633" s="49"/>
      <c r="G633" s="49"/>
      <c r="H633" s="49"/>
      <c r="I633" s="49"/>
    </row>
    <row r="634">
      <c r="A634" s="49"/>
      <c r="B634" s="49"/>
      <c r="C634" s="49"/>
      <c r="D634" s="49"/>
      <c r="E634" s="49"/>
      <c r="F634" s="49"/>
      <c r="G634" s="49"/>
      <c r="H634" s="49"/>
      <c r="I634" s="49"/>
    </row>
    <row r="635">
      <c r="A635" s="49"/>
      <c r="B635" s="49"/>
      <c r="C635" s="49"/>
      <c r="D635" s="49"/>
      <c r="E635" s="49"/>
      <c r="F635" s="49"/>
      <c r="G635" s="49"/>
      <c r="H635" s="49"/>
      <c r="I635" s="49"/>
    </row>
    <row r="636">
      <c r="A636" s="49"/>
      <c r="B636" s="49"/>
      <c r="C636" s="49"/>
      <c r="D636" s="49"/>
      <c r="E636" s="49"/>
      <c r="F636" s="49"/>
      <c r="G636" s="49"/>
      <c r="H636" s="49"/>
      <c r="I636" s="49"/>
    </row>
    <row r="637">
      <c r="A637" s="49"/>
      <c r="B637" s="49"/>
      <c r="C637" s="49"/>
      <c r="D637" s="49"/>
      <c r="E637" s="49"/>
      <c r="F637" s="49"/>
      <c r="G637" s="49"/>
      <c r="H637" s="49"/>
      <c r="I637" s="49"/>
    </row>
    <row r="638">
      <c r="A638" s="49"/>
      <c r="B638" s="49"/>
      <c r="C638" s="49"/>
      <c r="D638" s="49"/>
      <c r="E638" s="49"/>
      <c r="F638" s="49"/>
      <c r="G638" s="49"/>
      <c r="H638" s="49"/>
      <c r="I638" s="49"/>
    </row>
    <row r="639">
      <c r="A639" s="49"/>
      <c r="B639" s="49"/>
      <c r="C639" s="49"/>
      <c r="D639" s="49"/>
      <c r="E639" s="49"/>
      <c r="F639" s="49"/>
      <c r="G639" s="49"/>
      <c r="H639" s="49"/>
      <c r="I639" s="49"/>
    </row>
    <row r="640">
      <c r="A640" s="49"/>
      <c r="B640" s="49"/>
      <c r="C640" s="49"/>
      <c r="D640" s="49"/>
      <c r="E640" s="49"/>
      <c r="F640" s="49"/>
      <c r="G640" s="49"/>
      <c r="H640" s="49"/>
      <c r="I640" s="49"/>
    </row>
    <row r="641">
      <c r="A641" s="49"/>
      <c r="B641" s="49"/>
      <c r="C641" s="49"/>
      <c r="D641" s="49"/>
      <c r="E641" s="49"/>
      <c r="F641" s="49"/>
      <c r="G641" s="49"/>
      <c r="H641" s="49"/>
      <c r="I641" s="49"/>
    </row>
    <row r="642">
      <c r="A642" s="49"/>
      <c r="B642" s="49"/>
      <c r="C642" s="49"/>
      <c r="D642" s="49"/>
      <c r="E642" s="49"/>
      <c r="F642" s="49"/>
      <c r="G642" s="49"/>
      <c r="H642" s="49"/>
      <c r="I642" s="49"/>
    </row>
    <row r="643">
      <c r="A643" s="49"/>
      <c r="B643" s="49"/>
      <c r="C643" s="49"/>
      <c r="D643" s="49"/>
      <c r="E643" s="49"/>
      <c r="F643" s="49"/>
      <c r="G643" s="49"/>
      <c r="H643" s="49"/>
      <c r="I643" s="49"/>
    </row>
    <row r="644">
      <c r="A644" s="49"/>
      <c r="B644" s="49"/>
      <c r="C644" s="49"/>
      <c r="D644" s="49"/>
      <c r="E644" s="49"/>
      <c r="F644" s="49"/>
      <c r="G644" s="49"/>
      <c r="H644" s="49"/>
      <c r="I644" s="49"/>
    </row>
    <row r="645">
      <c r="A645" s="49"/>
      <c r="B645" s="49"/>
      <c r="C645" s="49"/>
      <c r="D645" s="49"/>
      <c r="E645" s="49"/>
      <c r="F645" s="49"/>
      <c r="G645" s="49"/>
      <c r="H645" s="49"/>
      <c r="I645" s="49"/>
    </row>
    <row r="646">
      <c r="A646" s="49"/>
      <c r="B646" s="49"/>
      <c r="C646" s="49"/>
      <c r="D646" s="49"/>
      <c r="E646" s="49"/>
      <c r="F646" s="49"/>
      <c r="G646" s="49"/>
      <c r="H646" s="49"/>
      <c r="I646" s="49"/>
    </row>
    <row r="647">
      <c r="A647" s="49"/>
      <c r="B647" s="49"/>
      <c r="C647" s="49"/>
      <c r="D647" s="49"/>
      <c r="E647" s="49"/>
      <c r="F647" s="49"/>
      <c r="G647" s="49"/>
      <c r="H647" s="49"/>
      <c r="I647" s="49"/>
    </row>
    <row r="648">
      <c r="A648" s="49"/>
      <c r="B648" s="49"/>
      <c r="C648" s="49"/>
      <c r="D648" s="49"/>
      <c r="E648" s="49"/>
      <c r="F648" s="49"/>
      <c r="G648" s="49"/>
      <c r="H648" s="49"/>
      <c r="I648" s="49"/>
    </row>
    <row r="649">
      <c r="A649" s="49"/>
      <c r="B649" s="49"/>
      <c r="C649" s="49"/>
      <c r="D649" s="49"/>
      <c r="E649" s="49"/>
      <c r="F649" s="49"/>
      <c r="G649" s="49"/>
      <c r="H649" s="49"/>
      <c r="I649" s="49"/>
    </row>
    <row r="650">
      <c r="A650" s="49"/>
      <c r="B650" s="49"/>
      <c r="C650" s="49"/>
      <c r="D650" s="49"/>
      <c r="E650" s="49"/>
      <c r="F650" s="49"/>
      <c r="G650" s="49"/>
      <c r="H650" s="49"/>
      <c r="I650" s="49"/>
    </row>
    <row r="651">
      <c r="A651" s="49"/>
      <c r="B651" s="49"/>
      <c r="C651" s="49"/>
      <c r="D651" s="49"/>
      <c r="E651" s="49"/>
      <c r="F651" s="49"/>
      <c r="G651" s="49"/>
      <c r="H651" s="49"/>
      <c r="I651" s="49"/>
    </row>
    <row r="652">
      <c r="A652" s="49"/>
      <c r="B652" s="49"/>
      <c r="C652" s="49"/>
      <c r="D652" s="49"/>
      <c r="E652" s="49"/>
      <c r="F652" s="49"/>
      <c r="G652" s="49"/>
      <c r="H652" s="49"/>
      <c r="I652" s="49"/>
    </row>
    <row r="653">
      <c r="A653" s="49"/>
      <c r="B653" s="49"/>
      <c r="C653" s="49"/>
      <c r="D653" s="49"/>
      <c r="E653" s="49"/>
      <c r="F653" s="49"/>
      <c r="G653" s="49"/>
      <c r="H653" s="49"/>
      <c r="I653" s="49"/>
    </row>
    <row r="654">
      <c r="A654" s="49"/>
      <c r="B654" s="49"/>
      <c r="C654" s="49"/>
      <c r="D654" s="49"/>
      <c r="E654" s="49"/>
      <c r="F654" s="49"/>
      <c r="G654" s="49"/>
      <c r="H654" s="49"/>
      <c r="I654" s="49"/>
    </row>
    <row r="655">
      <c r="A655" s="49"/>
      <c r="B655" s="49"/>
      <c r="C655" s="49"/>
      <c r="D655" s="49"/>
      <c r="E655" s="49"/>
      <c r="F655" s="49"/>
      <c r="G655" s="49"/>
      <c r="H655" s="49"/>
      <c r="I655" s="49"/>
    </row>
    <row r="656">
      <c r="A656" s="49"/>
      <c r="B656" s="49"/>
      <c r="C656" s="49"/>
      <c r="D656" s="49"/>
      <c r="E656" s="49"/>
      <c r="F656" s="49"/>
      <c r="G656" s="49"/>
      <c r="H656" s="49"/>
      <c r="I656" s="49"/>
    </row>
    <row r="657">
      <c r="A657" s="49"/>
      <c r="B657" s="49"/>
      <c r="C657" s="49"/>
      <c r="D657" s="49"/>
      <c r="E657" s="49"/>
      <c r="F657" s="49"/>
      <c r="G657" s="49"/>
      <c r="H657" s="49"/>
      <c r="I657" s="49"/>
    </row>
    <row r="658">
      <c r="A658" s="49"/>
      <c r="B658" s="49"/>
      <c r="C658" s="49"/>
      <c r="D658" s="49"/>
      <c r="E658" s="49"/>
      <c r="F658" s="49"/>
      <c r="G658" s="49"/>
      <c r="H658" s="49"/>
      <c r="I658" s="49"/>
    </row>
    <row r="659">
      <c r="A659" s="49"/>
      <c r="B659" s="49"/>
      <c r="C659" s="49"/>
      <c r="D659" s="49"/>
      <c r="E659" s="49"/>
      <c r="F659" s="49"/>
      <c r="G659" s="49"/>
      <c r="H659" s="49"/>
      <c r="I659" s="49"/>
    </row>
    <row r="660">
      <c r="A660" s="49"/>
      <c r="B660" s="49"/>
      <c r="C660" s="49"/>
      <c r="D660" s="49"/>
      <c r="E660" s="49"/>
      <c r="F660" s="49"/>
      <c r="G660" s="49"/>
      <c r="H660" s="49"/>
      <c r="I660" s="49"/>
    </row>
    <row r="661">
      <c r="A661" s="49"/>
      <c r="B661" s="49"/>
      <c r="C661" s="49"/>
      <c r="D661" s="49"/>
      <c r="E661" s="49"/>
      <c r="F661" s="49"/>
      <c r="G661" s="49"/>
      <c r="H661" s="49"/>
      <c r="I661" s="49"/>
    </row>
    <row r="662">
      <c r="A662" s="49"/>
      <c r="B662" s="49"/>
      <c r="C662" s="49"/>
      <c r="D662" s="49"/>
      <c r="E662" s="49"/>
      <c r="F662" s="49"/>
      <c r="G662" s="49"/>
      <c r="H662" s="49"/>
      <c r="I662" s="49"/>
    </row>
    <row r="663">
      <c r="A663" s="49"/>
      <c r="B663" s="49"/>
      <c r="C663" s="49"/>
      <c r="D663" s="49"/>
      <c r="E663" s="49"/>
      <c r="F663" s="49"/>
      <c r="G663" s="49"/>
      <c r="H663" s="49"/>
      <c r="I663" s="49"/>
    </row>
    <row r="664">
      <c r="A664" s="49"/>
      <c r="B664" s="49"/>
      <c r="C664" s="49"/>
      <c r="D664" s="49"/>
      <c r="E664" s="49"/>
      <c r="F664" s="49"/>
      <c r="G664" s="49"/>
      <c r="H664" s="49"/>
      <c r="I664" s="49"/>
    </row>
    <row r="665">
      <c r="A665" s="49"/>
      <c r="B665" s="49"/>
      <c r="C665" s="49"/>
      <c r="D665" s="49"/>
      <c r="E665" s="49"/>
      <c r="F665" s="49"/>
      <c r="G665" s="49"/>
      <c r="H665" s="49"/>
      <c r="I665" s="49"/>
    </row>
    <row r="666">
      <c r="A666" s="49"/>
      <c r="B666" s="49"/>
      <c r="C666" s="49"/>
      <c r="D666" s="49"/>
      <c r="E666" s="49"/>
      <c r="F666" s="49"/>
      <c r="G666" s="49"/>
      <c r="H666" s="49"/>
      <c r="I666" s="49"/>
    </row>
    <row r="667">
      <c r="A667" s="49"/>
      <c r="B667" s="49"/>
      <c r="C667" s="49"/>
      <c r="D667" s="49"/>
      <c r="E667" s="49"/>
      <c r="F667" s="49"/>
      <c r="G667" s="49"/>
      <c r="H667" s="49"/>
      <c r="I667" s="49"/>
    </row>
    <row r="668">
      <c r="A668" s="49"/>
      <c r="B668" s="49"/>
      <c r="C668" s="49"/>
      <c r="D668" s="49"/>
      <c r="E668" s="49"/>
      <c r="F668" s="49"/>
      <c r="G668" s="49"/>
      <c r="H668" s="49"/>
      <c r="I668" s="49"/>
    </row>
    <row r="669">
      <c r="A669" s="49"/>
      <c r="B669" s="49"/>
      <c r="C669" s="49"/>
      <c r="D669" s="49"/>
      <c r="E669" s="49"/>
      <c r="F669" s="49"/>
      <c r="G669" s="49"/>
      <c r="H669" s="49"/>
      <c r="I669" s="49"/>
    </row>
    <row r="670">
      <c r="A670" s="49"/>
      <c r="B670" s="49"/>
      <c r="C670" s="49"/>
      <c r="D670" s="49"/>
      <c r="E670" s="49"/>
      <c r="F670" s="49"/>
      <c r="G670" s="49"/>
      <c r="H670" s="49"/>
      <c r="I670" s="49"/>
    </row>
    <row r="671">
      <c r="A671" s="49"/>
      <c r="B671" s="49"/>
      <c r="C671" s="49"/>
      <c r="D671" s="49"/>
      <c r="E671" s="49"/>
      <c r="F671" s="49"/>
      <c r="G671" s="49"/>
      <c r="H671" s="49"/>
      <c r="I671" s="49"/>
    </row>
    <row r="672">
      <c r="A672" s="49"/>
      <c r="B672" s="49"/>
      <c r="C672" s="49"/>
      <c r="D672" s="49"/>
      <c r="E672" s="49"/>
      <c r="F672" s="49"/>
      <c r="G672" s="49"/>
      <c r="H672" s="49"/>
      <c r="I672" s="49"/>
    </row>
    <row r="673">
      <c r="A673" s="49"/>
      <c r="B673" s="49"/>
      <c r="C673" s="49"/>
      <c r="D673" s="49"/>
      <c r="E673" s="49"/>
      <c r="F673" s="49"/>
      <c r="G673" s="49"/>
      <c r="H673" s="49"/>
      <c r="I673" s="49"/>
    </row>
    <row r="674">
      <c r="A674" s="49"/>
      <c r="B674" s="49"/>
      <c r="C674" s="49"/>
      <c r="D674" s="49"/>
      <c r="E674" s="49"/>
      <c r="F674" s="49"/>
      <c r="G674" s="49"/>
      <c r="H674" s="49"/>
      <c r="I674" s="49"/>
    </row>
    <row r="675">
      <c r="A675" s="49"/>
      <c r="B675" s="49"/>
      <c r="C675" s="49"/>
      <c r="D675" s="49"/>
      <c r="E675" s="49"/>
      <c r="F675" s="49"/>
      <c r="G675" s="49"/>
      <c r="H675" s="49"/>
      <c r="I675" s="49"/>
    </row>
    <row r="676">
      <c r="A676" s="49"/>
      <c r="B676" s="49"/>
      <c r="C676" s="49"/>
      <c r="D676" s="49"/>
      <c r="E676" s="49"/>
      <c r="F676" s="49"/>
      <c r="G676" s="49"/>
      <c r="H676" s="49"/>
      <c r="I676" s="49"/>
    </row>
    <row r="677">
      <c r="A677" s="49"/>
      <c r="B677" s="49"/>
      <c r="C677" s="49"/>
      <c r="D677" s="49"/>
      <c r="E677" s="49"/>
      <c r="F677" s="49"/>
      <c r="G677" s="49"/>
      <c r="H677" s="49"/>
      <c r="I677" s="49"/>
    </row>
    <row r="678">
      <c r="A678" s="49"/>
      <c r="B678" s="49"/>
      <c r="C678" s="49"/>
      <c r="D678" s="49"/>
      <c r="E678" s="49"/>
      <c r="F678" s="49"/>
      <c r="G678" s="49"/>
      <c r="H678" s="49"/>
      <c r="I678" s="49"/>
    </row>
    <row r="679">
      <c r="A679" s="49"/>
      <c r="B679" s="49"/>
      <c r="C679" s="49"/>
      <c r="D679" s="49"/>
      <c r="E679" s="49"/>
      <c r="F679" s="49"/>
      <c r="G679" s="49"/>
      <c r="H679" s="49"/>
      <c r="I679" s="49"/>
    </row>
    <row r="680">
      <c r="A680" s="49"/>
      <c r="B680" s="49"/>
      <c r="C680" s="49"/>
      <c r="D680" s="49"/>
      <c r="E680" s="49"/>
      <c r="F680" s="49"/>
      <c r="G680" s="49"/>
      <c r="H680" s="49"/>
      <c r="I680" s="49"/>
    </row>
    <row r="681">
      <c r="A681" s="49"/>
      <c r="B681" s="49"/>
      <c r="C681" s="49"/>
      <c r="D681" s="49"/>
      <c r="E681" s="49"/>
      <c r="F681" s="49"/>
      <c r="G681" s="49"/>
      <c r="H681" s="49"/>
      <c r="I681" s="49"/>
    </row>
    <row r="682">
      <c r="A682" s="49"/>
      <c r="B682" s="49"/>
      <c r="C682" s="49"/>
      <c r="D682" s="49"/>
      <c r="E682" s="49"/>
      <c r="F682" s="49"/>
      <c r="G682" s="49"/>
      <c r="H682" s="49"/>
      <c r="I682" s="49"/>
    </row>
    <row r="683">
      <c r="A683" s="49"/>
      <c r="B683" s="49"/>
      <c r="C683" s="49"/>
      <c r="D683" s="49"/>
      <c r="E683" s="49"/>
      <c r="F683" s="49"/>
      <c r="G683" s="49"/>
      <c r="H683" s="49"/>
      <c r="I683" s="49"/>
    </row>
    <row r="684">
      <c r="A684" s="49"/>
      <c r="B684" s="49"/>
      <c r="C684" s="49"/>
      <c r="D684" s="49"/>
      <c r="E684" s="49"/>
      <c r="F684" s="49"/>
      <c r="G684" s="49"/>
      <c r="H684" s="49"/>
      <c r="I684" s="49"/>
    </row>
    <row r="685">
      <c r="A685" s="49"/>
      <c r="B685" s="49"/>
      <c r="C685" s="49"/>
      <c r="D685" s="49"/>
      <c r="E685" s="49"/>
      <c r="F685" s="49"/>
      <c r="G685" s="49"/>
      <c r="H685" s="49"/>
      <c r="I685" s="49"/>
    </row>
    <row r="686">
      <c r="A686" s="49"/>
      <c r="B686" s="49"/>
      <c r="C686" s="49"/>
      <c r="D686" s="49"/>
      <c r="E686" s="49"/>
      <c r="F686" s="49"/>
      <c r="G686" s="49"/>
      <c r="H686" s="49"/>
      <c r="I686" s="49"/>
    </row>
    <row r="687">
      <c r="A687" s="49"/>
      <c r="B687" s="49"/>
      <c r="C687" s="49"/>
      <c r="D687" s="49"/>
      <c r="E687" s="49"/>
      <c r="F687" s="49"/>
      <c r="G687" s="49"/>
      <c r="H687" s="49"/>
      <c r="I687" s="49"/>
    </row>
    <row r="688">
      <c r="A688" s="49"/>
      <c r="B688" s="49"/>
      <c r="C688" s="49"/>
      <c r="D688" s="49"/>
      <c r="E688" s="49"/>
      <c r="F688" s="49"/>
      <c r="G688" s="49"/>
      <c r="H688" s="49"/>
      <c r="I688" s="49"/>
    </row>
    <row r="689">
      <c r="A689" s="49"/>
      <c r="B689" s="49"/>
      <c r="C689" s="49"/>
      <c r="D689" s="49"/>
      <c r="E689" s="49"/>
      <c r="F689" s="49"/>
      <c r="G689" s="49"/>
      <c r="H689" s="49"/>
      <c r="I689" s="49"/>
    </row>
    <row r="690">
      <c r="A690" s="49"/>
      <c r="B690" s="49"/>
      <c r="C690" s="49"/>
      <c r="D690" s="49"/>
      <c r="E690" s="49"/>
      <c r="F690" s="49"/>
      <c r="G690" s="49"/>
      <c r="H690" s="49"/>
      <c r="I690" s="49"/>
    </row>
    <row r="691">
      <c r="A691" s="49"/>
      <c r="B691" s="49"/>
      <c r="C691" s="49"/>
      <c r="D691" s="49"/>
      <c r="E691" s="49"/>
      <c r="F691" s="49"/>
      <c r="G691" s="49"/>
      <c r="H691" s="49"/>
      <c r="I691" s="49"/>
    </row>
    <row r="692">
      <c r="A692" s="49"/>
      <c r="B692" s="49"/>
      <c r="C692" s="49"/>
      <c r="D692" s="49"/>
      <c r="E692" s="49"/>
      <c r="F692" s="49"/>
      <c r="G692" s="49"/>
      <c r="H692" s="49"/>
      <c r="I692" s="49"/>
    </row>
    <row r="693">
      <c r="A693" s="49"/>
      <c r="B693" s="49"/>
      <c r="C693" s="49"/>
      <c r="D693" s="49"/>
      <c r="E693" s="49"/>
      <c r="F693" s="49"/>
      <c r="G693" s="49"/>
      <c r="H693" s="49"/>
      <c r="I693" s="49"/>
    </row>
    <row r="694">
      <c r="A694" s="49"/>
      <c r="B694" s="49"/>
      <c r="C694" s="49"/>
      <c r="D694" s="49"/>
      <c r="E694" s="49"/>
      <c r="F694" s="49"/>
      <c r="G694" s="49"/>
      <c r="H694" s="49"/>
      <c r="I694" s="49"/>
    </row>
    <row r="695">
      <c r="A695" s="49"/>
      <c r="B695" s="49"/>
      <c r="C695" s="49"/>
      <c r="D695" s="49"/>
      <c r="E695" s="49"/>
      <c r="F695" s="49"/>
      <c r="G695" s="49"/>
      <c r="H695" s="49"/>
      <c r="I695" s="49"/>
    </row>
    <row r="696">
      <c r="A696" s="49"/>
      <c r="B696" s="49"/>
      <c r="C696" s="49"/>
      <c r="D696" s="49"/>
      <c r="E696" s="49"/>
      <c r="F696" s="49"/>
      <c r="G696" s="49"/>
      <c r="H696" s="49"/>
      <c r="I696" s="49"/>
    </row>
    <row r="697">
      <c r="A697" s="49"/>
      <c r="B697" s="49"/>
      <c r="C697" s="49"/>
      <c r="D697" s="49"/>
      <c r="E697" s="49"/>
      <c r="F697" s="49"/>
      <c r="G697" s="49"/>
      <c r="H697" s="49"/>
      <c r="I697" s="49"/>
    </row>
    <row r="698">
      <c r="A698" s="49"/>
      <c r="B698" s="49"/>
      <c r="C698" s="49"/>
      <c r="D698" s="49"/>
      <c r="E698" s="49"/>
      <c r="F698" s="49"/>
      <c r="G698" s="49"/>
      <c r="H698" s="49"/>
      <c r="I698" s="49"/>
    </row>
    <row r="699">
      <c r="A699" s="49"/>
      <c r="B699" s="49"/>
      <c r="C699" s="49"/>
      <c r="D699" s="49"/>
      <c r="E699" s="49"/>
      <c r="F699" s="49"/>
      <c r="G699" s="49"/>
      <c r="H699" s="49"/>
      <c r="I699" s="49"/>
    </row>
    <row r="700">
      <c r="A700" s="49"/>
      <c r="B700" s="49"/>
      <c r="C700" s="49"/>
      <c r="D700" s="49"/>
      <c r="E700" s="49"/>
      <c r="F700" s="49"/>
      <c r="G700" s="49"/>
      <c r="H700" s="49"/>
      <c r="I700" s="49"/>
    </row>
    <row r="701">
      <c r="A701" s="49"/>
      <c r="B701" s="49"/>
      <c r="C701" s="49"/>
      <c r="D701" s="49"/>
      <c r="E701" s="49"/>
      <c r="F701" s="49"/>
      <c r="G701" s="49"/>
      <c r="H701" s="49"/>
      <c r="I701" s="49"/>
    </row>
    <row r="702">
      <c r="A702" s="49"/>
      <c r="B702" s="49"/>
      <c r="C702" s="49"/>
      <c r="D702" s="49"/>
      <c r="E702" s="49"/>
      <c r="F702" s="49"/>
      <c r="G702" s="49"/>
      <c r="H702" s="49"/>
      <c r="I702" s="49"/>
    </row>
    <row r="703">
      <c r="A703" s="49"/>
      <c r="B703" s="49"/>
      <c r="C703" s="49"/>
      <c r="D703" s="49"/>
      <c r="E703" s="49"/>
      <c r="F703" s="49"/>
      <c r="G703" s="49"/>
      <c r="H703" s="49"/>
      <c r="I703" s="49"/>
    </row>
    <row r="704">
      <c r="A704" s="49"/>
      <c r="B704" s="49"/>
      <c r="C704" s="49"/>
      <c r="D704" s="49"/>
      <c r="E704" s="49"/>
      <c r="F704" s="49"/>
      <c r="G704" s="49"/>
      <c r="H704" s="49"/>
      <c r="I704" s="49"/>
    </row>
    <row r="705">
      <c r="A705" s="49"/>
      <c r="B705" s="49"/>
      <c r="C705" s="49"/>
      <c r="D705" s="49"/>
      <c r="E705" s="49"/>
      <c r="F705" s="49"/>
      <c r="G705" s="49"/>
      <c r="H705" s="49"/>
      <c r="I705" s="49"/>
    </row>
    <row r="706">
      <c r="A706" s="49"/>
      <c r="B706" s="49"/>
      <c r="C706" s="49"/>
      <c r="D706" s="49"/>
      <c r="E706" s="49"/>
      <c r="F706" s="49"/>
      <c r="G706" s="49"/>
      <c r="H706" s="49"/>
      <c r="I706" s="49"/>
    </row>
    <row r="707">
      <c r="A707" s="49"/>
      <c r="B707" s="49"/>
      <c r="C707" s="49"/>
      <c r="D707" s="49"/>
      <c r="E707" s="49"/>
      <c r="F707" s="49"/>
      <c r="G707" s="49"/>
      <c r="H707" s="49"/>
      <c r="I707" s="49"/>
    </row>
    <row r="708">
      <c r="A708" s="49"/>
      <c r="B708" s="49"/>
      <c r="C708" s="49"/>
      <c r="D708" s="49"/>
      <c r="E708" s="49"/>
      <c r="F708" s="49"/>
      <c r="G708" s="49"/>
      <c r="H708" s="49"/>
      <c r="I708" s="49"/>
    </row>
    <row r="709">
      <c r="A709" s="49"/>
      <c r="B709" s="49"/>
      <c r="C709" s="49"/>
      <c r="D709" s="49"/>
      <c r="E709" s="49"/>
      <c r="F709" s="49"/>
      <c r="G709" s="49"/>
      <c r="H709" s="49"/>
      <c r="I709" s="49"/>
    </row>
    <row r="710">
      <c r="A710" s="49"/>
      <c r="B710" s="49"/>
      <c r="C710" s="49"/>
      <c r="D710" s="49"/>
      <c r="E710" s="49"/>
      <c r="F710" s="49"/>
      <c r="G710" s="49"/>
      <c r="H710" s="49"/>
      <c r="I710" s="49"/>
    </row>
    <row r="711">
      <c r="A711" s="49"/>
      <c r="B711" s="49"/>
      <c r="C711" s="49"/>
      <c r="D711" s="49"/>
      <c r="E711" s="49"/>
      <c r="F711" s="49"/>
      <c r="G711" s="49"/>
      <c r="H711" s="49"/>
      <c r="I711" s="49"/>
    </row>
    <row r="712">
      <c r="A712" s="49"/>
      <c r="B712" s="49"/>
      <c r="C712" s="49"/>
      <c r="D712" s="49"/>
      <c r="E712" s="49"/>
      <c r="F712" s="49"/>
      <c r="G712" s="49"/>
      <c r="H712" s="49"/>
      <c r="I712" s="49"/>
    </row>
    <row r="713">
      <c r="A713" s="49"/>
      <c r="B713" s="49"/>
      <c r="C713" s="49"/>
      <c r="D713" s="49"/>
      <c r="E713" s="49"/>
      <c r="F713" s="49"/>
      <c r="G713" s="49"/>
      <c r="H713" s="49"/>
      <c r="I713" s="49"/>
    </row>
    <row r="714">
      <c r="A714" s="49"/>
      <c r="B714" s="49"/>
      <c r="C714" s="49"/>
      <c r="D714" s="49"/>
      <c r="E714" s="49"/>
      <c r="F714" s="49"/>
      <c r="G714" s="49"/>
      <c r="H714" s="49"/>
      <c r="I714" s="49"/>
    </row>
    <row r="715">
      <c r="A715" s="49"/>
      <c r="B715" s="49"/>
      <c r="C715" s="49"/>
      <c r="D715" s="49"/>
      <c r="E715" s="49"/>
      <c r="F715" s="49"/>
      <c r="G715" s="49"/>
      <c r="H715" s="49"/>
      <c r="I715" s="49"/>
    </row>
    <row r="716">
      <c r="A716" s="49"/>
      <c r="B716" s="49"/>
      <c r="C716" s="49"/>
      <c r="D716" s="49"/>
      <c r="E716" s="49"/>
      <c r="F716" s="49"/>
      <c r="G716" s="49"/>
      <c r="H716" s="49"/>
      <c r="I716" s="49"/>
    </row>
    <row r="717">
      <c r="A717" s="49"/>
      <c r="B717" s="49"/>
      <c r="C717" s="49"/>
      <c r="D717" s="49"/>
      <c r="E717" s="49"/>
      <c r="F717" s="49"/>
      <c r="G717" s="49"/>
      <c r="H717" s="49"/>
      <c r="I717" s="49"/>
    </row>
    <row r="718">
      <c r="A718" s="49"/>
      <c r="B718" s="49"/>
      <c r="C718" s="49"/>
      <c r="D718" s="49"/>
      <c r="E718" s="49"/>
      <c r="F718" s="49"/>
      <c r="G718" s="49"/>
      <c r="H718" s="49"/>
      <c r="I718" s="49"/>
    </row>
    <row r="719">
      <c r="A719" s="49"/>
      <c r="B719" s="49"/>
      <c r="C719" s="49"/>
      <c r="D719" s="49"/>
      <c r="E719" s="49"/>
      <c r="F719" s="49"/>
      <c r="G719" s="49"/>
      <c r="H719" s="49"/>
      <c r="I719" s="49"/>
    </row>
    <row r="720">
      <c r="A720" s="49"/>
      <c r="B720" s="49"/>
      <c r="C720" s="49"/>
      <c r="D720" s="49"/>
      <c r="E720" s="49"/>
      <c r="F720" s="49"/>
      <c r="G720" s="49"/>
      <c r="H720" s="49"/>
      <c r="I720" s="49"/>
    </row>
    <row r="721">
      <c r="A721" s="49"/>
      <c r="B721" s="49"/>
      <c r="C721" s="49"/>
      <c r="D721" s="49"/>
      <c r="E721" s="49"/>
      <c r="F721" s="49"/>
      <c r="G721" s="49"/>
      <c r="H721" s="49"/>
      <c r="I721" s="49"/>
    </row>
    <row r="722">
      <c r="A722" s="49"/>
      <c r="B722" s="49"/>
      <c r="C722" s="49"/>
      <c r="D722" s="49"/>
      <c r="E722" s="49"/>
      <c r="F722" s="49"/>
      <c r="G722" s="49"/>
      <c r="H722" s="49"/>
      <c r="I722" s="49"/>
    </row>
    <row r="723">
      <c r="A723" s="49"/>
      <c r="B723" s="49"/>
      <c r="C723" s="49"/>
      <c r="D723" s="49"/>
      <c r="E723" s="49"/>
      <c r="F723" s="49"/>
      <c r="G723" s="49"/>
      <c r="H723" s="49"/>
      <c r="I723" s="49"/>
    </row>
    <row r="724">
      <c r="A724" s="49"/>
      <c r="B724" s="49"/>
      <c r="C724" s="49"/>
      <c r="D724" s="49"/>
      <c r="E724" s="49"/>
      <c r="F724" s="49"/>
      <c r="G724" s="49"/>
      <c r="H724" s="49"/>
      <c r="I724" s="49"/>
    </row>
    <row r="725">
      <c r="A725" s="49"/>
      <c r="B725" s="49"/>
      <c r="C725" s="49"/>
      <c r="D725" s="49"/>
      <c r="E725" s="49"/>
      <c r="F725" s="49"/>
      <c r="G725" s="49"/>
      <c r="H725" s="49"/>
      <c r="I725" s="49"/>
    </row>
    <row r="726">
      <c r="A726" s="49"/>
      <c r="B726" s="49"/>
      <c r="C726" s="49"/>
      <c r="D726" s="49"/>
      <c r="E726" s="49"/>
      <c r="F726" s="49"/>
      <c r="G726" s="49"/>
      <c r="H726" s="49"/>
      <c r="I726" s="49"/>
    </row>
    <row r="727">
      <c r="A727" s="49"/>
      <c r="B727" s="49"/>
      <c r="C727" s="49"/>
      <c r="D727" s="49"/>
      <c r="E727" s="49"/>
      <c r="F727" s="49"/>
      <c r="G727" s="49"/>
      <c r="H727" s="49"/>
      <c r="I727" s="49"/>
    </row>
    <row r="728">
      <c r="A728" s="49"/>
      <c r="B728" s="49"/>
      <c r="C728" s="49"/>
      <c r="D728" s="49"/>
      <c r="E728" s="49"/>
      <c r="F728" s="49"/>
      <c r="G728" s="49"/>
      <c r="H728" s="49"/>
      <c r="I728" s="49"/>
    </row>
    <row r="729">
      <c r="A729" s="49"/>
      <c r="B729" s="49"/>
      <c r="C729" s="49"/>
      <c r="D729" s="49"/>
      <c r="E729" s="49"/>
      <c r="F729" s="49"/>
      <c r="G729" s="49"/>
      <c r="H729" s="49"/>
      <c r="I729" s="49"/>
    </row>
    <row r="730">
      <c r="A730" s="49"/>
      <c r="B730" s="49"/>
      <c r="C730" s="49"/>
      <c r="D730" s="49"/>
      <c r="E730" s="49"/>
      <c r="F730" s="49"/>
      <c r="G730" s="49"/>
      <c r="H730" s="49"/>
      <c r="I730" s="49"/>
    </row>
    <row r="731">
      <c r="A731" s="49"/>
      <c r="B731" s="49"/>
      <c r="C731" s="49"/>
      <c r="D731" s="49"/>
      <c r="E731" s="49"/>
      <c r="F731" s="49"/>
      <c r="G731" s="49"/>
      <c r="H731" s="49"/>
      <c r="I731" s="49"/>
    </row>
    <row r="732">
      <c r="A732" s="49"/>
      <c r="B732" s="49"/>
      <c r="C732" s="49"/>
      <c r="D732" s="49"/>
      <c r="E732" s="49"/>
      <c r="F732" s="49"/>
      <c r="G732" s="49"/>
      <c r="H732" s="49"/>
      <c r="I732" s="49"/>
    </row>
    <row r="733">
      <c r="A733" s="49"/>
      <c r="B733" s="49"/>
      <c r="C733" s="49"/>
      <c r="D733" s="49"/>
      <c r="E733" s="49"/>
      <c r="F733" s="49"/>
      <c r="G733" s="49"/>
      <c r="H733" s="49"/>
      <c r="I733" s="49"/>
    </row>
    <row r="734">
      <c r="A734" s="49"/>
      <c r="B734" s="49"/>
      <c r="C734" s="49"/>
      <c r="D734" s="49"/>
      <c r="E734" s="49"/>
      <c r="F734" s="49"/>
      <c r="G734" s="49"/>
      <c r="H734" s="49"/>
      <c r="I734" s="49"/>
    </row>
    <row r="735">
      <c r="A735" s="49"/>
      <c r="B735" s="49"/>
      <c r="C735" s="49"/>
      <c r="D735" s="49"/>
      <c r="E735" s="49"/>
      <c r="F735" s="49"/>
      <c r="G735" s="49"/>
      <c r="H735" s="49"/>
      <c r="I735" s="49"/>
    </row>
    <row r="736">
      <c r="A736" s="49"/>
      <c r="B736" s="49"/>
      <c r="C736" s="49"/>
      <c r="D736" s="49"/>
      <c r="E736" s="49"/>
      <c r="F736" s="49"/>
      <c r="G736" s="49"/>
      <c r="H736" s="49"/>
      <c r="I736" s="49"/>
    </row>
    <row r="737">
      <c r="A737" s="49"/>
      <c r="B737" s="49"/>
      <c r="C737" s="49"/>
      <c r="D737" s="49"/>
      <c r="E737" s="49"/>
      <c r="F737" s="49"/>
      <c r="G737" s="49"/>
      <c r="H737" s="49"/>
      <c r="I737" s="49"/>
    </row>
    <row r="738">
      <c r="A738" s="49"/>
      <c r="B738" s="49"/>
      <c r="C738" s="49"/>
      <c r="D738" s="49"/>
      <c r="E738" s="49"/>
      <c r="F738" s="49"/>
      <c r="G738" s="49"/>
      <c r="H738" s="49"/>
      <c r="I738" s="49"/>
    </row>
    <row r="739">
      <c r="A739" s="49"/>
      <c r="B739" s="49"/>
      <c r="C739" s="49"/>
      <c r="D739" s="49"/>
      <c r="E739" s="49"/>
      <c r="F739" s="49"/>
      <c r="G739" s="49"/>
      <c r="H739" s="49"/>
      <c r="I739" s="49"/>
    </row>
    <row r="740">
      <c r="A740" s="49"/>
      <c r="B740" s="49"/>
      <c r="C740" s="49"/>
      <c r="D740" s="49"/>
      <c r="E740" s="49"/>
      <c r="F740" s="49"/>
      <c r="G740" s="49"/>
      <c r="H740" s="49"/>
      <c r="I740" s="49"/>
    </row>
    <row r="741">
      <c r="A741" s="49"/>
      <c r="B741" s="49"/>
      <c r="C741" s="49"/>
      <c r="D741" s="49"/>
      <c r="E741" s="49"/>
      <c r="F741" s="49"/>
      <c r="G741" s="49"/>
      <c r="H741" s="49"/>
      <c r="I741" s="49"/>
    </row>
    <row r="742">
      <c r="A742" s="49"/>
      <c r="B742" s="49"/>
      <c r="C742" s="49"/>
      <c r="D742" s="49"/>
      <c r="E742" s="49"/>
      <c r="F742" s="49"/>
      <c r="G742" s="49"/>
      <c r="H742" s="49"/>
      <c r="I742" s="49"/>
    </row>
    <row r="743">
      <c r="A743" s="49"/>
      <c r="B743" s="49"/>
      <c r="C743" s="49"/>
      <c r="D743" s="49"/>
      <c r="E743" s="49"/>
      <c r="F743" s="49"/>
      <c r="G743" s="49"/>
      <c r="H743" s="49"/>
      <c r="I743" s="49"/>
    </row>
    <row r="744">
      <c r="A744" s="49"/>
      <c r="B744" s="49"/>
      <c r="C744" s="49"/>
      <c r="D744" s="49"/>
      <c r="E744" s="49"/>
      <c r="F744" s="49"/>
      <c r="G744" s="49"/>
      <c r="H744" s="49"/>
      <c r="I744" s="49"/>
    </row>
    <row r="745">
      <c r="A745" s="49"/>
      <c r="B745" s="49"/>
      <c r="C745" s="49"/>
      <c r="D745" s="49"/>
      <c r="E745" s="49"/>
      <c r="F745" s="49"/>
      <c r="G745" s="49"/>
      <c r="H745" s="49"/>
      <c r="I745" s="49"/>
    </row>
    <row r="746">
      <c r="A746" s="49"/>
      <c r="B746" s="49"/>
      <c r="C746" s="49"/>
      <c r="D746" s="49"/>
      <c r="E746" s="49"/>
      <c r="F746" s="49"/>
      <c r="G746" s="49"/>
      <c r="H746" s="49"/>
      <c r="I746" s="49"/>
    </row>
    <row r="747">
      <c r="A747" s="49"/>
      <c r="B747" s="49"/>
      <c r="C747" s="49"/>
      <c r="D747" s="49"/>
      <c r="E747" s="49"/>
      <c r="F747" s="49"/>
      <c r="G747" s="49"/>
      <c r="H747" s="49"/>
      <c r="I747" s="49"/>
    </row>
    <row r="748">
      <c r="A748" s="49"/>
      <c r="B748" s="49"/>
      <c r="C748" s="49"/>
      <c r="D748" s="49"/>
      <c r="E748" s="49"/>
      <c r="F748" s="49"/>
      <c r="G748" s="49"/>
      <c r="H748" s="49"/>
      <c r="I748" s="49"/>
    </row>
    <row r="749">
      <c r="A749" s="49"/>
      <c r="B749" s="49"/>
      <c r="C749" s="49"/>
      <c r="D749" s="49"/>
      <c r="E749" s="49"/>
      <c r="F749" s="49"/>
      <c r="G749" s="49"/>
      <c r="H749" s="49"/>
      <c r="I749" s="49"/>
    </row>
    <row r="750">
      <c r="A750" s="49"/>
      <c r="B750" s="49"/>
      <c r="C750" s="49"/>
      <c r="D750" s="49"/>
      <c r="E750" s="49"/>
      <c r="F750" s="49"/>
      <c r="G750" s="49"/>
      <c r="H750" s="49"/>
      <c r="I750" s="49"/>
    </row>
    <row r="751">
      <c r="A751" s="49"/>
      <c r="B751" s="49"/>
      <c r="C751" s="49"/>
      <c r="D751" s="49"/>
      <c r="E751" s="49"/>
      <c r="F751" s="49"/>
      <c r="G751" s="49"/>
      <c r="H751" s="49"/>
      <c r="I751" s="49"/>
    </row>
    <row r="752">
      <c r="A752" s="49"/>
      <c r="B752" s="49"/>
      <c r="C752" s="49"/>
      <c r="D752" s="49"/>
      <c r="E752" s="49"/>
      <c r="F752" s="49"/>
      <c r="G752" s="49"/>
      <c r="H752" s="49"/>
      <c r="I752" s="49"/>
    </row>
    <row r="753">
      <c r="A753" s="49"/>
      <c r="B753" s="49"/>
      <c r="C753" s="49"/>
      <c r="D753" s="49"/>
      <c r="E753" s="49"/>
      <c r="F753" s="49"/>
      <c r="G753" s="49"/>
      <c r="H753" s="49"/>
      <c r="I753" s="49"/>
    </row>
    <row r="754">
      <c r="A754" s="49"/>
      <c r="B754" s="49"/>
      <c r="C754" s="49"/>
      <c r="D754" s="49"/>
      <c r="E754" s="49"/>
      <c r="F754" s="49"/>
      <c r="G754" s="49"/>
      <c r="H754" s="49"/>
      <c r="I754" s="49"/>
    </row>
    <row r="755">
      <c r="A755" s="49"/>
      <c r="B755" s="49"/>
      <c r="C755" s="49"/>
      <c r="D755" s="49"/>
      <c r="E755" s="49"/>
      <c r="F755" s="49"/>
      <c r="G755" s="49"/>
      <c r="H755" s="49"/>
      <c r="I755" s="49"/>
    </row>
    <row r="756">
      <c r="A756" s="49"/>
      <c r="B756" s="49"/>
      <c r="C756" s="49"/>
      <c r="D756" s="49"/>
      <c r="E756" s="49"/>
      <c r="F756" s="49"/>
      <c r="G756" s="49"/>
      <c r="H756" s="49"/>
      <c r="I756" s="49"/>
    </row>
    <row r="757">
      <c r="A757" s="49"/>
      <c r="B757" s="49"/>
      <c r="C757" s="49"/>
      <c r="D757" s="49"/>
      <c r="E757" s="49"/>
      <c r="F757" s="49"/>
      <c r="G757" s="49"/>
      <c r="H757" s="49"/>
      <c r="I757" s="49"/>
    </row>
    <row r="758">
      <c r="A758" s="49"/>
      <c r="B758" s="49"/>
      <c r="C758" s="49"/>
      <c r="D758" s="49"/>
      <c r="E758" s="49"/>
      <c r="F758" s="49"/>
      <c r="G758" s="49"/>
      <c r="H758" s="49"/>
      <c r="I758" s="49"/>
    </row>
    <row r="759">
      <c r="A759" s="49"/>
      <c r="B759" s="49"/>
      <c r="C759" s="49"/>
      <c r="D759" s="49"/>
      <c r="E759" s="49"/>
      <c r="F759" s="49"/>
      <c r="G759" s="49"/>
      <c r="H759" s="49"/>
      <c r="I759" s="49"/>
    </row>
    <row r="760">
      <c r="A760" s="49"/>
      <c r="B760" s="49"/>
      <c r="C760" s="49"/>
      <c r="D760" s="49"/>
      <c r="E760" s="49"/>
      <c r="F760" s="49"/>
      <c r="G760" s="49"/>
      <c r="H760" s="49"/>
      <c r="I760" s="49"/>
    </row>
    <row r="761">
      <c r="A761" s="49"/>
      <c r="B761" s="49"/>
      <c r="C761" s="49"/>
      <c r="D761" s="49"/>
      <c r="E761" s="49"/>
      <c r="F761" s="49"/>
      <c r="G761" s="49"/>
      <c r="H761" s="49"/>
      <c r="I761" s="49"/>
    </row>
    <row r="762">
      <c r="A762" s="49"/>
      <c r="B762" s="49"/>
      <c r="C762" s="49"/>
      <c r="D762" s="49"/>
      <c r="E762" s="49"/>
      <c r="F762" s="49"/>
      <c r="G762" s="49"/>
      <c r="H762" s="49"/>
      <c r="I762" s="49"/>
    </row>
    <row r="763">
      <c r="A763" s="49"/>
      <c r="B763" s="49"/>
      <c r="C763" s="49"/>
      <c r="D763" s="49"/>
      <c r="E763" s="49"/>
      <c r="F763" s="49"/>
      <c r="G763" s="49"/>
      <c r="H763" s="49"/>
      <c r="I763" s="49"/>
    </row>
    <row r="764">
      <c r="A764" s="49"/>
      <c r="B764" s="49"/>
      <c r="C764" s="49"/>
      <c r="D764" s="49"/>
      <c r="E764" s="49"/>
      <c r="F764" s="49"/>
      <c r="G764" s="49"/>
      <c r="H764" s="49"/>
      <c r="I764" s="49"/>
    </row>
    <row r="765">
      <c r="A765" s="49"/>
      <c r="B765" s="49"/>
      <c r="C765" s="49"/>
      <c r="D765" s="49"/>
      <c r="E765" s="49"/>
      <c r="F765" s="49"/>
      <c r="G765" s="49"/>
      <c r="H765" s="49"/>
      <c r="I765" s="49"/>
    </row>
    <row r="766">
      <c r="A766" s="49"/>
      <c r="B766" s="49"/>
      <c r="C766" s="49"/>
      <c r="D766" s="49"/>
      <c r="E766" s="49"/>
      <c r="F766" s="49"/>
      <c r="G766" s="49"/>
      <c r="H766" s="49"/>
      <c r="I766" s="49"/>
    </row>
    <row r="767">
      <c r="A767" s="49"/>
      <c r="B767" s="49"/>
      <c r="C767" s="49"/>
      <c r="D767" s="49"/>
      <c r="E767" s="49"/>
      <c r="F767" s="49"/>
      <c r="G767" s="49"/>
      <c r="H767" s="49"/>
      <c r="I767" s="49"/>
    </row>
    <row r="768">
      <c r="A768" s="49"/>
      <c r="B768" s="49"/>
      <c r="C768" s="49"/>
      <c r="D768" s="49"/>
      <c r="E768" s="49"/>
      <c r="F768" s="49"/>
      <c r="G768" s="49"/>
      <c r="H768" s="49"/>
      <c r="I768" s="49"/>
    </row>
    <row r="769">
      <c r="A769" s="49"/>
      <c r="B769" s="49"/>
      <c r="C769" s="49"/>
      <c r="D769" s="49"/>
      <c r="E769" s="49"/>
      <c r="F769" s="49"/>
      <c r="G769" s="49"/>
      <c r="H769" s="49"/>
      <c r="I769" s="49"/>
    </row>
    <row r="770">
      <c r="A770" s="49"/>
      <c r="B770" s="49"/>
      <c r="C770" s="49"/>
      <c r="D770" s="49"/>
      <c r="E770" s="49"/>
      <c r="F770" s="49"/>
      <c r="G770" s="49"/>
      <c r="H770" s="49"/>
      <c r="I770" s="49"/>
    </row>
    <row r="771">
      <c r="A771" s="49"/>
      <c r="B771" s="49"/>
      <c r="C771" s="49"/>
      <c r="D771" s="49"/>
      <c r="E771" s="49"/>
      <c r="F771" s="49"/>
      <c r="G771" s="49"/>
      <c r="H771" s="49"/>
      <c r="I771" s="49"/>
    </row>
    <row r="772">
      <c r="A772" s="49"/>
      <c r="B772" s="49"/>
      <c r="C772" s="49"/>
      <c r="D772" s="49"/>
      <c r="E772" s="49"/>
      <c r="F772" s="49"/>
      <c r="G772" s="49"/>
      <c r="H772" s="49"/>
      <c r="I772" s="49"/>
    </row>
    <row r="773">
      <c r="A773" s="49"/>
      <c r="B773" s="49"/>
      <c r="C773" s="49"/>
      <c r="D773" s="49"/>
      <c r="E773" s="49"/>
      <c r="F773" s="49"/>
      <c r="G773" s="49"/>
      <c r="H773" s="49"/>
      <c r="I773" s="49"/>
    </row>
    <row r="774">
      <c r="A774" s="49"/>
      <c r="B774" s="49"/>
      <c r="C774" s="49"/>
      <c r="D774" s="49"/>
      <c r="E774" s="49"/>
      <c r="F774" s="49"/>
      <c r="G774" s="49"/>
      <c r="H774" s="49"/>
      <c r="I774" s="49"/>
    </row>
    <row r="775">
      <c r="A775" s="49"/>
      <c r="B775" s="49"/>
      <c r="C775" s="49"/>
      <c r="D775" s="49"/>
      <c r="E775" s="49"/>
      <c r="F775" s="49"/>
      <c r="G775" s="49"/>
      <c r="H775" s="49"/>
      <c r="I775" s="49"/>
    </row>
    <row r="776">
      <c r="A776" s="49"/>
      <c r="B776" s="49"/>
      <c r="C776" s="49"/>
      <c r="D776" s="49"/>
      <c r="E776" s="49"/>
      <c r="F776" s="49"/>
      <c r="G776" s="49"/>
      <c r="H776" s="49"/>
      <c r="I776" s="49"/>
    </row>
    <row r="777">
      <c r="A777" s="49"/>
      <c r="B777" s="49"/>
      <c r="C777" s="49"/>
      <c r="D777" s="49"/>
      <c r="E777" s="49"/>
      <c r="F777" s="49"/>
      <c r="G777" s="49"/>
      <c r="H777" s="49"/>
      <c r="I777" s="49"/>
    </row>
    <row r="778">
      <c r="A778" s="49"/>
      <c r="B778" s="49"/>
      <c r="C778" s="49"/>
      <c r="D778" s="49"/>
      <c r="E778" s="49"/>
      <c r="F778" s="49"/>
      <c r="G778" s="49"/>
      <c r="H778" s="49"/>
      <c r="I778" s="49"/>
    </row>
    <row r="779">
      <c r="A779" s="49"/>
      <c r="B779" s="49"/>
      <c r="C779" s="49"/>
      <c r="D779" s="49"/>
      <c r="E779" s="49"/>
      <c r="F779" s="49"/>
      <c r="G779" s="49"/>
      <c r="H779" s="49"/>
      <c r="I779" s="49"/>
    </row>
    <row r="780">
      <c r="A780" s="49"/>
      <c r="B780" s="49"/>
      <c r="C780" s="49"/>
      <c r="D780" s="49"/>
      <c r="E780" s="49"/>
      <c r="F780" s="49"/>
      <c r="G780" s="49"/>
      <c r="H780" s="49"/>
      <c r="I780" s="49"/>
    </row>
    <row r="781">
      <c r="A781" s="49"/>
      <c r="B781" s="49"/>
      <c r="C781" s="49"/>
      <c r="D781" s="49"/>
      <c r="E781" s="49"/>
      <c r="F781" s="49"/>
      <c r="G781" s="49"/>
      <c r="H781" s="49"/>
      <c r="I781" s="49"/>
    </row>
    <row r="782">
      <c r="A782" s="49"/>
      <c r="B782" s="49"/>
      <c r="C782" s="49"/>
      <c r="D782" s="49"/>
      <c r="E782" s="49"/>
      <c r="F782" s="49"/>
      <c r="G782" s="49"/>
      <c r="H782" s="49"/>
      <c r="I782" s="49"/>
    </row>
    <row r="783">
      <c r="A783" s="49"/>
      <c r="B783" s="49"/>
      <c r="C783" s="49"/>
      <c r="D783" s="49"/>
      <c r="E783" s="49"/>
      <c r="F783" s="49"/>
      <c r="G783" s="49"/>
      <c r="H783" s="49"/>
      <c r="I783" s="49"/>
    </row>
    <row r="784">
      <c r="A784" s="49"/>
      <c r="B784" s="49"/>
      <c r="C784" s="49"/>
      <c r="D784" s="49"/>
      <c r="E784" s="49"/>
      <c r="F784" s="49"/>
      <c r="G784" s="49"/>
      <c r="H784" s="49"/>
      <c r="I784" s="49"/>
    </row>
    <row r="785">
      <c r="A785" s="49"/>
      <c r="B785" s="49"/>
      <c r="C785" s="49"/>
      <c r="D785" s="49"/>
      <c r="E785" s="49"/>
      <c r="F785" s="49"/>
      <c r="G785" s="49"/>
      <c r="H785" s="49"/>
      <c r="I785" s="49"/>
    </row>
    <row r="786">
      <c r="A786" s="49"/>
      <c r="B786" s="49"/>
      <c r="C786" s="49"/>
      <c r="D786" s="49"/>
      <c r="E786" s="49"/>
      <c r="F786" s="49"/>
      <c r="G786" s="49"/>
      <c r="H786" s="49"/>
      <c r="I786" s="49"/>
    </row>
    <row r="787">
      <c r="A787" s="49"/>
      <c r="B787" s="49"/>
      <c r="C787" s="49"/>
      <c r="D787" s="49"/>
      <c r="E787" s="49"/>
      <c r="F787" s="49"/>
      <c r="G787" s="49"/>
      <c r="H787" s="49"/>
      <c r="I787" s="49"/>
    </row>
    <row r="788">
      <c r="A788" s="49"/>
      <c r="B788" s="49"/>
      <c r="C788" s="49"/>
      <c r="D788" s="49"/>
      <c r="E788" s="49"/>
      <c r="F788" s="49"/>
      <c r="G788" s="49"/>
      <c r="H788" s="49"/>
      <c r="I788" s="49"/>
    </row>
    <row r="789">
      <c r="A789" s="49"/>
      <c r="B789" s="49"/>
      <c r="C789" s="49"/>
      <c r="D789" s="49"/>
      <c r="E789" s="49"/>
      <c r="F789" s="49"/>
      <c r="G789" s="49"/>
      <c r="H789" s="49"/>
      <c r="I789" s="49"/>
    </row>
    <row r="790">
      <c r="A790" s="49"/>
      <c r="B790" s="49"/>
      <c r="C790" s="49"/>
      <c r="D790" s="49"/>
      <c r="E790" s="49"/>
      <c r="F790" s="49"/>
      <c r="G790" s="49"/>
      <c r="H790" s="49"/>
      <c r="I790" s="49"/>
    </row>
    <row r="791">
      <c r="A791" s="49"/>
      <c r="B791" s="49"/>
      <c r="C791" s="49"/>
      <c r="D791" s="49"/>
      <c r="E791" s="49"/>
      <c r="F791" s="49"/>
      <c r="G791" s="49"/>
      <c r="H791" s="49"/>
      <c r="I791" s="49"/>
    </row>
    <row r="792">
      <c r="A792" s="49"/>
      <c r="B792" s="49"/>
      <c r="C792" s="49"/>
      <c r="D792" s="49"/>
      <c r="E792" s="49"/>
      <c r="F792" s="49"/>
      <c r="G792" s="49"/>
      <c r="H792" s="49"/>
      <c r="I792" s="49"/>
    </row>
    <row r="793">
      <c r="A793" s="49"/>
      <c r="B793" s="49"/>
      <c r="C793" s="49"/>
      <c r="D793" s="49"/>
      <c r="E793" s="49"/>
      <c r="F793" s="49"/>
      <c r="G793" s="49"/>
      <c r="H793" s="49"/>
      <c r="I793" s="49"/>
    </row>
    <row r="794">
      <c r="A794" s="49"/>
      <c r="B794" s="49"/>
      <c r="C794" s="49"/>
      <c r="D794" s="49"/>
      <c r="E794" s="49"/>
      <c r="F794" s="49"/>
      <c r="G794" s="49"/>
      <c r="H794" s="49"/>
      <c r="I794" s="49"/>
    </row>
    <row r="795">
      <c r="A795" s="49"/>
      <c r="B795" s="49"/>
      <c r="C795" s="49"/>
      <c r="D795" s="49"/>
      <c r="E795" s="49"/>
      <c r="F795" s="49"/>
      <c r="G795" s="49"/>
      <c r="H795" s="49"/>
      <c r="I795" s="49"/>
    </row>
    <row r="796">
      <c r="A796" s="49"/>
      <c r="B796" s="49"/>
      <c r="C796" s="49"/>
      <c r="D796" s="49"/>
      <c r="E796" s="49"/>
      <c r="F796" s="49"/>
      <c r="G796" s="49"/>
      <c r="H796" s="49"/>
      <c r="I796" s="49"/>
    </row>
    <row r="797">
      <c r="A797" s="49"/>
      <c r="B797" s="49"/>
      <c r="C797" s="49"/>
      <c r="D797" s="49"/>
      <c r="E797" s="49"/>
      <c r="F797" s="49"/>
      <c r="G797" s="49"/>
      <c r="H797" s="49"/>
      <c r="I797" s="49"/>
    </row>
    <row r="798">
      <c r="A798" s="49"/>
      <c r="B798" s="49"/>
      <c r="C798" s="49"/>
      <c r="D798" s="49"/>
      <c r="E798" s="49"/>
      <c r="F798" s="49"/>
      <c r="G798" s="49"/>
      <c r="H798" s="49"/>
      <c r="I798" s="49"/>
    </row>
    <row r="799">
      <c r="A799" s="49"/>
      <c r="B799" s="49"/>
      <c r="C799" s="49"/>
      <c r="D799" s="49"/>
      <c r="E799" s="49"/>
      <c r="F799" s="49"/>
      <c r="G799" s="49"/>
      <c r="H799" s="49"/>
      <c r="I799" s="49"/>
    </row>
    <row r="800">
      <c r="A800" s="49"/>
      <c r="B800" s="49"/>
      <c r="C800" s="49"/>
      <c r="D800" s="49"/>
      <c r="E800" s="49"/>
      <c r="F800" s="49"/>
      <c r="G800" s="49"/>
      <c r="H800" s="49"/>
      <c r="I800" s="49"/>
    </row>
    <row r="801">
      <c r="A801" s="49"/>
      <c r="B801" s="49"/>
      <c r="C801" s="49"/>
      <c r="D801" s="49"/>
      <c r="E801" s="49"/>
      <c r="F801" s="49"/>
      <c r="G801" s="49"/>
      <c r="H801" s="49"/>
      <c r="I801" s="49"/>
    </row>
    <row r="802">
      <c r="A802" s="49"/>
      <c r="B802" s="49"/>
      <c r="C802" s="49"/>
      <c r="D802" s="49"/>
      <c r="E802" s="49"/>
      <c r="F802" s="49"/>
      <c r="G802" s="49"/>
      <c r="H802" s="49"/>
      <c r="I802" s="49"/>
    </row>
    <row r="803">
      <c r="A803" s="49"/>
      <c r="B803" s="49"/>
      <c r="C803" s="49"/>
      <c r="D803" s="49"/>
      <c r="E803" s="49"/>
      <c r="F803" s="49"/>
      <c r="G803" s="49"/>
      <c r="H803" s="49"/>
      <c r="I803" s="49"/>
    </row>
    <row r="804">
      <c r="A804" s="49"/>
      <c r="B804" s="49"/>
      <c r="C804" s="49"/>
      <c r="D804" s="49"/>
      <c r="E804" s="49"/>
      <c r="F804" s="49"/>
      <c r="G804" s="49"/>
      <c r="H804" s="49"/>
      <c r="I804" s="49"/>
    </row>
    <row r="805">
      <c r="A805" s="49"/>
      <c r="B805" s="49"/>
      <c r="C805" s="49"/>
      <c r="D805" s="49"/>
      <c r="E805" s="49"/>
      <c r="F805" s="49"/>
      <c r="G805" s="49"/>
      <c r="H805" s="49"/>
      <c r="I805" s="49"/>
    </row>
    <row r="806">
      <c r="A806" s="49"/>
      <c r="B806" s="49"/>
      <c r="C806" s="49"/>
      <c r="D806" s="49"/>
      <c r="E806" s="49"/>
      <c r="F806" s="49"/>
      <c r="G806" s="49"/>
      <c r="H806" s="49"/>
      <c r="I806" s="49"/>
    </row>
    <row r="807">
      <c r="A807" s="49"/>
      <c r="B807" s="49"/>
      <c r="C807" s="49"/>
      <c r="D807" s="49"/>
      <c r="E807" s="49"/>
      <c r="F807" s="49"/>
      <c r="G807" s="49"/>
      <c r="H807" s="49"/>
      <c r="I807" s="49"/>
    </row>
    <row r="808">
      <c r="A808" s="49"/>
      <c r="B808" s="49"/>
      <c r="C808" s="49"/>
      <c r="D808" s="49"/>
      <c r="E808" s="49"/>
      <c r="F808" s="49"/>
      <c r="G808" s="49"/>
      <c r="H808" s="49"/>
      <c r="I808" s="49"/>
    </row>
    <row r="809">
      <c r="A809" s="49"/>
      <c r="B809" s="49"/>
      <c r="C809" s="49"/>
      <c r="D809" s="49"/>
      <c r="E809" s="49"/>
      <c r="F809" s="49"/>
      <c r="G809" s="49"/>
      <c r="H809" s="49"/>
      <c r="I809" s="49"/>
    </row>
    <row r="810">
      <c r="A810" s="49"/>
      <c r="B810" s="49"/>
      <c r="C810" s="49"/>
      <c r="D810" s="49"/>
      <c r="E810" s="49"/>
      <c r="F810" s="49"/>
      <c r="G810" s="49"/>
      <c r="H810" s="49"/>
      <c r="I810" s="49"/>
    </row>
    <row r="811">
      <c r="A811" s="49"/>
      <c r="B811" s="49"/>
      <c r="C811" s="49"/>
      <c r="D811" s="49"/>
      <c r="E811" s="49"/>
      <c r="F811" s="49"/>
      <c r="G811" s="49"/>
      <c r="H811" s="49"/>
      <c r="I811" s="49"/>
    </row>
    <row r="812">
      <c r="A812" s="49"/>
      <c r="B812" s="49"/>
      <c r="C812" s="49"/>
      <c r="D812" s="49"/>
      <c r="E812" s="49"/>
      <c r="F812" s="49"/>
      <c r="G812" s="49"/>
      <c r="H812" s="49"/>
      <c r="I812" s="49"/>
    </row>
    <row r="813">
      <c r="A813" s="49"/>
      <c r="B813" s="49"/>
      <c r="C813" s="49"/>
      <c r="D813" s="49"/>
      <c r="E813" s="49"/>
      <c r="F813" s="49"/>
      <c r="G813" s="49"/>
      <c r="H813" s="49"/>
      <c r="I813" s="49"/>
    </row>
    <row r="814">
      <c r="A814" s="49"/>
      <c r="B814" s="49"/>
      <c r="C814" s="49"/>
      <c r="D814" s="49"/>
      <c r="E814" s="49"/>
      <c r="F814" s="49"/>
      <c r="G814" s="49"/>
      <c r="H814" s="49"/>
      <c r="I814" s="49"/>
    </row>
    <row r="815">
      <c r="A815" s="49"/>
      <c r="B815" s="49"/>
      <c r="C815" s="49"/>
      <c r="D815" s="49"/>
      <c r="E815" s="49"/>
      <c r="F815" s="49"/>
      <c r="G815" s="49"/>
      <c r="H815" s="49"/>
      <c r="I815" s="49"/>
    </row>
    <row r="816">
      <c r="A816" s="49"/>
      <c r="B816" s="49"/>
      <c r="C816" s="49"/>
      <c r="D816" s="49"/>
      <c r="E816" s="49"/>
      <c r="F816" s="49"/>
      <c r="G816" s="49"/>
      <c r="H816" s="49"/>
      <c r="I816" s="49"/>
    </row>
    <row r="817">
      <c r="A817" s="49"/>
      <c r="B817" s="49"/>
      <c r="C817" s="49"/>
      <c r="D817" s="49"/>
      <c r="E817" s="49"/>
      <c r="F817" s="49"/>
      <c r="G817" s="49"/>
      <c r="H817" s="49"/>
      <c r="I817" s="49"/>
    </row>
    <row r="818">
      <c r="A818" s="49"/>
      <c r="B818" s="49"/>
      <c r="C818" s="49"/>
      <c r="D818" s="49"/>
      <c r="E818" s="49"/>
      <c r="F818" s="49"/>
      <c r="G818" s="49"/>
      <c r="H818" s="49"/>
      <c r="I818" s="49"/>
    </row>
    <row r="819">
      <c r="A819" s="49"/>
      <c r="B819" s="49"/>
      <c r="C819" s="49"/>
      <c r="D819" s="49"/>
      <c r="E819" s="49"/>
      <c r="F819" s="49"/>
      <c r="G819" s="49"/>
      <c r="H819" s="49"/>
      <c r="I819" s="49"/>
    </row>
    <row r="820">
      <c r="A820" s="49"/>
      <c r="B820" s="49"/>
      <c r="C820" s="49"/>
      <c r="D820" s="49"/>
      <c r="E820" s="49"/>
      <c r="F820" s="49"/>
      <c r="G820" s="49"/>
      <c r="H820" s="49"/>
      <c r="I820" s="49"/>
    </row>
    <row r="821">
      <c r="A821" s="49"/>
      <c r="B821" s="49"/>
      <c r="C821" s="49"/>
      <c r="D821" s="49"/>
      <c r="E821" s="49"/>
      <c r="F821" s="49"/>
      <c r="G821" s="49"/>
      <c r="H821" s="49"/>
      <c r="I821" s="49"/>
    </row>
    <row r="822">
      <c r="A822" s="49"/>
      <c r="B822" s="49"/>
      <c r="C822" s="49"/>
      <c r="D822" s="49"/>
      <c r="E822" s="49"/>
      <c r="F822" s="49"/>
      <c r="G822" s="49"/>
      <c r="H822" s="49"/>
      <c r="I822" s="49"/>
    </row>
    <row r="823">
      <c r="A823" s="49"/>
      <c r="B823" s="49"/>
      <c r="C823" s="49"/>
      <c r="D823" s="49"/>
      <c r="E823" s="49"/>
      <c r="F823" s="49"/>
      <c r="G823" s="49"/>
      <c r="H823" s="49"/>
      <c r="I823" s="49"/>
    </row>
    <row r="824">
      <c r="A824" s="49"/>
      <c r="B824" s="49"/>
      <c r="C824" s="49"/>
      <c r="D824" s="49"/>
      <c r="E824" s="49"/>
      <c r="F824" s="49"/>
      <c r="G824" s="49"/>
      <c r="H824" s="49"/>
      <c r="I824" s="49"/>
    </row>
    <row r="825">
      <c r="A825" s="49"/>
      <c r="B825" s="49"/>
      <c r="C825" s="49"/>
      <c r="D825" s="49"/>
      <c r="E825" s="49"/>
      <c r="F825" s="49"/>
      <c r="G825" s="49"/>
      <c r="H825" s="49"/>
      <c r="I825" s="49"/>
    </row>
    <row r="826">
      <c r="A826" s="49"/>
      <c r="B826" s="49"/>
      <c r="C826" s="49"/>
      <c r="D826" s="49"/>
      <c r="E826" s="49"/>
      <c r="F826" s="49"/>
      <c r="G826" s="49"/>
      <c r="H826" s="49"/>
      <c r="I826" s="49"/>
    </row>
    <row r="827">
      <c r="A827" s="49"/>
      <c r="B827" s="49"/>
      <c r="C827" s="49"/>
      <c r="D827" s="49"/>
      <c r="E827" s="49"/>
      <c r="F827" s="49"/>
      <c r="G827" s="49"/>
      <c r="H827" s="49"/>
      <c r="I827" s="49"/>
    </row>
    <row r="828">
      <c r="A828" s="49"/>
      <c r="B828" s="49"/>
      <c r="C828" s="49"/>
      <c r="D828" s="49"/>
      <c r="E828" s="49"/>
      <c r="F828" s="49"/>
      <c r="G828" s="49"/>
      <c r="H828" s="49"/>
      <c r="I828" s="49"/>
    </row>
    <row r="829">
      <c r="A829" s="49"/>
      <c r="B829" s="49"/>
      <c r="C829" s="49"/>
      <c r="D829" s="49"/>
      <c r="E829" s="49"/>
      <c r="F829" s="49"/>
      <c r="G829" s="49"/>
      <c r="H829" s="49"/>
      <c r="I829" s="49"/>
    </row>
    <row r="830">
      <c r="A830" s="49"/>
      <c r="B830" s="49"/>
      <c r="C830" s="49"/>
      <c r="D830" s="49"/>
      <c r="E830" s="49"/>
      <c r="F830" s="49"/>
      <c r="G830" s="49"/>
      <c r="H830" s="49"/>
      <c r="I830" s="49"/>
    </row>
    <row r="831">
      <c r="A831" s="49"/>
      <c r="B831" s="49"/>
      <c r="C831" s="49"/>
      <c r="D831" s="49"/>
      <c r="E831" s="49"/>
      <c r="F831" s="49"/>
      <c r="G831" s="49"/>
      <c r="H831" s="49"/>
      <c r="I831" s="49"/>
    </row>
    <row r="832">
      <c r="A832" s="49"/>
      <c r="B832" s="49"/>
      <c r="C832" s="49"/>
      <c r="D832" s="49"/>
      <c r="E832" s="49"/>
      <c r="F832" s="49"/>
      <c r="G832" s="49"/>
      <c r="H832" s="49"/>
      <c r="I832" s="49"/>
    </row>
    <row r="833">
      <c r="A833" s="49"/>
      <c r="B833" s="49"/>
      <c r="C833" s="49"/>
      <c r="D833" s="49"/>
      <c r="E833" s="49"/>
      <c r="F833" s="49"/>
      <c r="G833" s="49"/>
      <c r="H833" s="49"/>
      <c r="I833" s="49"/>
    </row>
    <row r="834">
      <c r="A834" s="49"/>
      <c r="B834" s="49"/>
      <c r="C834" s="49"/>
      <c r="D834" s="49"/>
      <c r="E834" s="49"/>
      <c r="F834" s="49"/>
      <c r="G834" s="49"/>
      <c r="H834" s="49"/>
      <c r="I834" s="49"/>
    </row>
    <row r="835">
      <c r="A835" s="49"/>
      <c r="B835" s="49"/>
      <c r="C835" s="49"/>
      <c r="D835" s="49"/>
      <c r="E835" s="49"/>
      <c r="F835" s="49"/>
      <c r="G835" s="49"/>
      <c r="H835" s="49"/>
      <c r="I835" s="49"/>
    </row>
    <row r="836">
      <c r="A836" s="49"/>
      <c r="B836" s="49"/>
      <c r="C836" s="49"/>
      <c r="D836" s="49"/>
      <c r="E836" s="49"/>
      <c r="F836" s="49"/>
      <c r="G836" s="49"/>
      <c r="H836" s="49"/>
      <c r="I836" s="49"/>
    </row>
    <row r="837">
      <c r="A837" s="49"/>
      <c r="B837" s="49"/>
      <c r="C837" s="49"/>
      <c r="D837" s="49"/>
      <c r="E837" s="49"/>
      <c r="F837" s="49"/>
      <c r="G837" s="49"/>
      <c r="H837" s="49"/>
      <c r="I837" s="49"/>
    </row>
    <row r="838">
      <c r="A838" s="49"/>
      <c r="B838" s="49"/>
      <c r="C838" s="49"/>
      <c r="D838" s="49"/>
      <c r="E838" s="49"/>
      <c r="F838" s="49"/>
      <c r="G838" s="49"/>
      <c r="H838" s="49"/>
      <c r="I838" s="49"/>
    </row>
    <row r="839">
      <c r="A839" s="49"/>
      <c r="B839" s="49"/>
      <c r="C839" s="49"/>
      <c r="D839" s="49"/>
      <c r="E839" s="49"/>
      <c r="F839" s="49"/>
      <c r="G839" s="49"/>
      <c r="H839" s="49"/>
      <c r="I839" s="49"/>
    </row>
    <row r="840">
      <c r="A840" s="49"/>
      <c r="B840" s="49"/>
      <c r="C840" s="49"/>
      <c r="D840" s="49"/>
      <c r="E840" s="49"/>
      <c r="F840" s="49"/>
      <c r="G840" s="49"/>
      <c r="H840" s="49"/>
      <c r="I840" s="49"/>
    </row>
    <row r="841">
      <c r="A841" s="49"/>
      <c r="B841" s="49"/>
      <c r="C841" s="49"/>
      <c r="D841" s="49"/>
      <c r="E841" s="49"/>
      <c r="F841" s="49"/>
      <c r="G841" s="49"/>
      <c r="H841" s="49"/>
      <c r="I841" s="49"/>
    </row>
    <row r="842">
      <c r="A842" s="49"/>
      <c r="B842" s="49"/>
      <c r="C842" s="49"/>
      <c r="D842" s="49"/>
      <c r="E842" s="49"/>
      <c r="F842" s="49"/>
      <c r="G842" s="49"/>
      <c r="H842" s="49"/>
      <c r="I842" s="49"/>
    </row>
    <row r="843">
      <c r="A843" s="49"/>
      <c r="B843" s="49"/>
      <c r="C843" s="49"/>
      <c r="D843" s="49"/>
      <c r="E843" s="49"/>
      <c r="F843" s="49"/>
      <c r="G843" s="49"/>
      <c r="H843" s="49"/>
      <c r="I843" s="49"/>
    </row>
    <row r="844">
      <c r="A844" s="49"/>
      <c r="B844" s="49"/>
      <c r="C844" s="49"/>
      <c r="D844" s="49"/>
      <c r="E844" s="49"/>
      <c r="F844" s="49"/>
      <c r="G844" s="49"/>
      <c r="H844" s="49"/>
      <c r="I844" s="49"/>
    </row>
    <row r="845">
      <c r="A845" s="49"/>
      <c r="B845" s="49"/>
      <c r="C845" s="49"/>
      <c r="D845" s="49"/>
      <c r="E845" s="49"/>
      <c r="F845" s="49"/>
      <c r="G845" s="49"/>
      <c r="H845" s="49"/>
      <c r="I845" s="49"/>
    </row>
    <row r="846">
      <c r="A846" s="49"/>
      <c r="B846" s="49"/>
      <c r="C846" s="49"/>
      <c r="D846" s="49"/>
      <c r="E846" s="49"/>
      <c r="F846" s="49"/>
      <c r="G846" s="49"/>
      <c r="H846" s="49"/>
      <c r="I846" s="49"/>
    </row>
    <row r="847">
      <c r="A847" s="49"/>
      <c r="B847" s="49"/>
      <c r="C847" s="49"/>
      <c r="D847" s="49"/>
      <c r="E847" s="49"/>
      <c r="F847" s="49"/>
      <c r="G847" s="49"/>
      <c r="H847" s="49"/>
      <c r="I847" s="49"/>
    </row>
    <row r="848">
      <c r="A848" s="49"/>
      <c r="B848" s="49"/>
      <c r="C848" s="49"/>
      <c r="D848" s="49"/>
      <c r="E848" s="49"/>
      <c r="F848" s="49"/>
      <c r="G848" s="49"/>
      <c r="H848" s="49"/>
      <c r="I848" s="49"/>
    </row>
    <row r="849">
      <c r="A849" s="49"/>
      <c r="B849" s="49"/>
      <c r="C849" s="49"/>
      <c r="D849" s="49"/>
      <c r="E849" s="49"/>
      <c r="F849" s="49"/>
      <c r="G849" s="49"/>
      <c r="H849" s="49"/>
      <c r="I849" s="49"/>
    </row>
    <row r="850">
      <c r="A850" s="49"/>
      <c r="B850" s="49"/>
      <c r="C850" s="49"/>
      <c r="D850" s="49"/>
      <c r="E850" s="49"/>
      <c r="F850" s="49"/>
      <c r="G850" s="49"/>
      <c r="H850" s="49"/>
      <c r="I850" s="49"/>
    </row>
    <row r="851">
      <c r="A851" s="49"/>
      <c r="B851" s="49"/>
      <c r="C851" s="49"/>
      <c r="D851" s="49"/>
      <c r="E851" s="49"/>
      <c r="F851" s="49"/>
      <c r="G851" s="49"/>
      <c r="H851" s="49"/>
      <c r="I851" s="49"/>
    </row>
    <row r="852">
      <c r="A852" s="49"/>
      <c r="B852" s="49"/>
      <c r="C852" s="49"/>
      <c r="D852" s="49"/>
      <c r="E852" s="49"/>
      <c r="F852" s="49"/>
      <c r="G852" s="49"/>
      <c r="H852" s="49"/>
      <c r="I852" s="49"/>
    </row>
    <row r="853">
      <c r="A853" s="49"/>
      <c r="B853" s="49"/>
      <c r="C853" s="49"/>
      <c r="D853" s="49"/>
      <c r="E853" s="49"/>
      <c r="F853" s="49"/>
      <c r="G853" s="49"/>
      <c r="H853" s="49"/>
      <c r="I853" s="49"/>
    </row>
    <row r="854">
      <c r="A854" s="49"/>
      <c r="B854" s="49"/>
      <c r="C854" s="49"/>
      <c r="D854" s="49"/>
      <c r="E854" s="49"/>
      <c r="F854" s="49"/>
      <c r="G854" s="49"/>
      <c r="H854" s="49"/>
      <c r="I854" s="49"/>
    </row>
    <row r="855">
      <c r="A855" s="49"/>
      <c r="B855" s="49"/>
      <c r="C855" s="49"/>
      <c r="D855" s="49"/>
      <c r="E855" s="49"/>
      <c r="F855" s="49"/>
      <c r="G855" s="49"/>
      <c r="H855" s="49"/>
      <c r="I855" s="49"/>
    </row>
    <row r="856">
      <c r="A856" s="49"/>
      <c r="B856" s="49"/>
      <c r="C856" s="49"/>
      <c r="D856" s="49"/>
      <c r="E856" s="49"/>
      <c r="F856" s="49"/>
      <c r="G856" s="49"/>
      <c r="H856" s="49"/>
      <c r="I856" s="49"/>
    </row>
    <row r="857">
      <c r="A857" s="49"/>
      <c r="B857" s="49"/>
      <c r="C857" s="49"/>
      <c r="D857" s="49"/>
      <c r="E857" s="49"/>
      <c r="F857" s="49"/>
      <c r="G857" s="49"/>
      <c r="H857" s="49"/>
      <c r="I857" s="49"/>
    </row>
    <row r="858">
      <c r="A858" s="49"/>
      <c r="B858" s="49"/>
      <c r="C858" s="49"/>
      <c r="D858" s="49"/>
      <c r="E858" s="49"/>
      <c r="F858" s="49"/>
      <c r="G858" s="49"/>
      <c r="H858" s="49"/>
      <c r="I858" s="49"/>
    </row>
    <row r="859">
      <c r="A859" s="49"/>
      <c r="B859" s="49"/>
      <c r="C859" s="49"/>
      <c r="D859" s="49"/>
      <c r="E859" s="49"/>
      <c r="F859" s="49"/>
      <c r="G859" s="49"/>
      <c r="H859" s="49"/>
      <c r="I859" s="49"/>
    </row>
    <row r="860">
      <c r="A860" s="49"/>
      <c r="B860" s="49"/>
      <c r="C860" s="49"/>
      <c r="D860" s="49"/>
      <c r="E860" s="49"/>
      <c r="F860" s="49"/>
      <c r="G860" s="49"/>
      <c r="H860" s="49"/>
      <c r="I860" s="49"/>
    </row>
    <row r="861">
      <c r="A861" s="49"/>
      <c r="B861" s="49"/>
      <c r="C861" s="49"/>
      <c r="D861" s="49"/>
      <c r="E861" s="49"/>
      <c r="F861" s="49"/>
      <c r="G861" s="49"/>
      <c r="H861" s="49"/>
      <c r="I861" s="49"/>
    </row>
    <row r="862">
      <c r="A862" s="49"/>
      <c r="B862" s="49"/>
      <c r="C862" s="49"/>
      <c r="D862" s="49"/>
      <c r="E862" s="49"/>
      <c r="F862" s="49"/>
      <c r="G862" s="49"/>
      <c r="H862" s="49"/>
      <c r="I862" s="49"/>
    </row>
    <row r="863">
      <c r="A863" s="49"/>
      <c r="B863" s="49"/>
      <c r="C863" s="49"/>
      <c r="D863" s="49"/>
      <c r="E863" s="49"/>
      <c r="F863" s="49"/>
      <c r="G863" s="49"/>
      <c r="H863" s="49"/>
      <c r="I863" s="49"/>
    </row>
    <row r="864">
      <c r="A864" s="49"/>
      <c r="B864" s="49"/>
      <c r="C864" s="49"/>
      <c r="D864" s="49"/>
      <c r="E864" s="49"/>
      <c r="F864" s="49"/>
      <c r="G864" s="49"/>
      <c r="H864" s="49"/>
      <c r="I864" s="49"/>
    </row>
    <row r="865">
      <c r="A865" s="49"/>
      <c r="B865" s="49"/>
      <c r="C865" s="49"/>
      <c r="D865" s="49"/>
      <c r="E865" s="49"/>
      <c r="F865" s="49"/>
      <c r="G865" s="49"/>
      <c r="H865" s="49"/>
      <c r="I865" s="49"/>
    </row>
    <row r="866">
      <c r="A866" s="49"/>
      <c r="B866" s="49"/>
      <c r="C866" s="49"/>
      <c r="D866" s="49"/>
      <c r="E866" s="49"/>
      <c r="F866" s="49"/>
      <c r="G866" s="49"/>
      <c r="H866" s="49"/>
      <c r="I866" s="49"/>
    </row>
    <row r="867">
      <c r="A867" s="49"/>
      <c r="B867" s="49"/>
      <c r="C867" s="49"/>
      <c r="D867" s="49"/>
      <c r="E867" s="49"/>
      <c r="F867" s="49"/>
      <c r="G867" s="49"/>
      <c r="H867" s="49"/>
      <c r="I867" s="49"/>
    </row>
    <row r="868">
      <c r="A868" s="49"/>
      <c r="B868" s="49"/>
      <c r="C868" s="49"/>
      <c r="D868" s="49"/>
      <c r="E868" s="49"/>
      <c r="F868" s="49"/>
      <c r="G868" s="49"/>
      <c r="H868" s="49"/>
      <c r="I868" s="49"/>
    </row>
    <row r="869">
      <c r="A869" s="49"/>
      <c r="B869" s="49"/>
      <c r="C869" s="49"/>
      <c r="D869" s="49"/>
      <c r="E869" s="49"/>
      <c r="F869" s="49"/>
      <c r="G869" s="49"/>
      <c r="H869" s="49"/>
      <c r="I869" s="49"/>
    </row>
    <row r="870">
      <c r="A870" s="49"/>
      <c r="B870" s="49"/>
      <c r="C870" s="49"/>
      <c r="D870" s="49"/>
      <c r="E870" s="49"/>
      <c r="F870" s="49"/>
      <c r="G870" s="49"/>
      <c r="H870" s="49"/>
      <c r="I870" s="49"/>
    </row>
    <row r="871">
      <c r="A871" s="49"/>
      <c r="B871" s="49"/>
      <c r="C871" s="49"/>
      <c r="D871" s="49"/>
      <c r="E871" s="49"/>
      <c r="F871" s="49"/>
      <c r="G871" s="49"/>
      <c r="H871" s="49"/>
      <c r="I871" s="49"/>
    </row>
    <row r="872">
      <c r="A872" s="49"/>
      <c r="B872" s="49"/>
      <c r="C872" s="49"/>
      <c r="D872" s="49"/>
      <c r="E872" s="49"/>
      <c r="F872" s="49"/>
      <c r="G872" s="49"/>
      <c r="H872" s="49"/>
      <c r="I872" s="49"/>
    </row>
    <row r="873">
      <c r="A873" s="49"/>
      <c r="B873" s="49"/>
      <c r="C873" s="49"/>
      <c r="D873" s="49"/>
      <c r="E873" s="49"/>
      <c r="F873" s="49"/>
      <c r="G873" s="49"/>
      <c r="H873" s="49"/>
      <c r="I873" s="49"/>
    </row>
    <row r="874">
      <c r="A874" s="49"/>
      <c r="B874" s="49"/>
      <c r="C874" s="49"/>
      <c r="D874" s="49"/>
      <c r="E874" s="49"/>
      <c r="F874" s="49"/>
      <c r="G874" s="49"/>
      <c r="H874" s="49"/>
      <c r="I874" s="49"/>
    </row>
    <row r="875">
      <c r="A875" s="49"/>
      <c r="B875" s="49"/>
      <c r="C875" s="49"/>
      <c r="D875" s="49"/>
      <c r="E875" s="49"/>
      <c r="F875" s="49"/>
      <c r="G875" s="49"/>
      <c r="H875" s="49"/>
      <c r="I875" s="49"/>
    </row>
    <row r="876">
      <c r="A876" s="49"/>
      <c r="B876" s="49"/>
      <c r="C876" s="49"/>
      <c r="D876" s="49"/>
      <c r="E876" s="49"/>
      <c r="F876" s="49"/>
      <c r="G876" s="49"/>
      <c r="H876" s="49"/>
      <c r="I876" s="49"/>
    </row>
    <row r="877">
      <c r="A877" s="49"/>
      <c r="B877" s="49"/>
      <c r="C877" s="49"/>
      <c r="D877" s="49"/>
      <c r="E877" s="49"/>
      <c r="F877" s="49"/>
      <c r="G877" s="49"/>
      <c r="H877" s="49"/>
      <c r="I877" s="49"/>
    </row>
    <row r="878">
      <c r="A878" s="49"/>
      <c r="B878" s="49"/>
      <c r="C878" s="49"/>
      <c r="D878" s="49"/>
      <c r="E878" s="49"/>
      <c r="F878" s="49"/>
      <c r="G878" s="49"/>
      <c r="H878" s="49"/>
      <c r="I878" s="49"/>
    </row>
    <row r="879">
      <c r="A879" s="49"/>
      <c r="B879" s="49"/>
      <c r="C879" s="49"/>
      <c r="D879" s="49"/>
      <c r="E879" s="49"/>
      <c r="F879" s="49"/>
      <c r="G879" s="49"/>
      <c r="H879" s="49"/>
      <c r="I879" s="49"/>
    </row>
    <row r="880">
      <c r="A880" s="49"/>
      <c r="B880" s="49"/>
      <c r="C880" s="49"/>
      <c r="D880" s="49"/>
      <c r="E880" s="49"/>
      <c r="F880" s="49"/>
      <c r="G880" s="49"/>
      <c r="H880" s="49"/>
      <c r="I880" s="49"/>
    </row>
    <row r="881">
      <c r="A881" s="49"/>
      <c r="B881" s="49"/>
      <c r="C881" s="49"/>
      <c r="D881" s="49"/>
      <c r="E881" s="49"/>
      <c r="F881" s="49"/>
      <c r="G881" s="49"/>
      <c r="H881" s="49"/>
      <c r="I881" s="49"/>
    </row>
    <row r="882">
      <c r="A882" s="49"/>
      <c r="B882" s="49"/>
      <c r="C882" s="49"/>
      <c r="D882" s="49"/>
      <c r="E882" s="49"/>
      <c r="F882" s="49"/>
      <c r="G882" s="49"/>
      <c r="H882" s="49"/>
      <c r="I882" s="49"/>
    </row>
    <row r="883">
      <c r="A883" s="49"/>
      <c r="B883" s="49"/>
      <c r="C883" s="49"/>
      <c r="D883" s="49"/>
      <c r="E883" s="49"/>
      <c r="F883" s="49"/>
      <c r="G883" s="49"/>
      <c r="H883" s="49"/>
      <c r="I883" s="49"/>
    </row>
    <row r="884">
      <c r="A884" s="49"/>
      <c r="B884" s="49"/>
      <c r="C884" s="49"/>
      <c r="D884" s="49"/>
      <c r="E884" s="49"/>
      <c r="F884" s="49"/>
      <c r="G884" s="49"/>
      <c r="H884" s="49"/>
      <c r="I884" s="49"/>
    </row>
    <row r="885">
      <c r="A885" s="49"/>
      <c r="B885" s="49"/>
      <c r="C885" s="49"/>
      <c r="D885" s="49"/>
      <c r="E885" s="49"/>
      <c r="F885" s="49"/>
      <c r="G885" s="49"/>
      <c r="H885" s="49"/>
      <c r="I885" s="49"/>
    </row>
    <row r="886">
      <c r="A886" s="49"/>
      <c r="B886" s="49"/>
      <c r="C886" s="49"/>
      <c r="D886" s="49"/>
      <c r="E886" s="49"/>
      <c r="F886" s="49"/>
      <c r="G886" s="49"/>
      <c r="H886" s="49"/>
      <c r="I886" s="49"/>
    </row>
    <row r="887">
      <c r="A887" s="49"/>
      <c r="B887" s="49"/>
      <c r="C887" s="49"/>
      <c r="D887" s="49"/>
      <c r="E887" s="49"/>
      <c r="F887" s="49"/>
      <c r="G887" s="49"/>
      <c r="H887" s="49"/>
      <c r="I887" s="49"/>
    </row>
    <row r="888">
      <c r="A888" s="49"/>
      <c r="B888" s="49"/>
      <c r="C888" s="49"/>
      <c r="D888" s="49"/>
      <c r="E888" s="49"/>
      <c r="F888" s="49"/>
      <c r="G888" s="49"/>
      <c r="H888" s="49"/>
      <c r="I888" s="49"/>
    </row>
    <row r="889">
      <c r="A889" s="49"/>
      <c r="B889" s="49"/>
      <c r="C889" s="49"/>
      <c r="D889" s="49"/>
      <c r="E889" s="49"/>
      <c r="F889" s="49"/>
      <c r="G889" s="49"/>
      <c r="H889" s="49"/>
      <c r="I889" s="49"/>
    </row>
    <row r="890">
      <c r="A890" s="49"/>
      <c r="B890" s="49"/>
      <c r="C890" s="49"/>
      <c r="D890" s="49"/>
      <c r="E890" s="49"/>
      <c r="F890" s="49"/>
      <c r="G890" s="49"/>
      <c r="H890" s="49"/>
      <c r="I890" s="49"/>
    </row>
    <row r="891">
      <c r="A891" s="49"/>
      <c r="B891" s="49"/>
      <c r="C891" s="49"/>
      <c r="D891" s="49"/>
      <c r="E891" s="49"/>
      <c r="F891" s="49"/>
      <c r="G891" s="49"/>
      <c r="H891" s="49"/>
      <c r="I891" s="49"/>
    </row>
    <row r="892">
      <c r="A892" s="49"/>
      <c r="B892" s="49"/>
      <c r="C892" s="49"/>
      <c r="D892" s="49"/>
      <c r="E892" s="49"/>
      <c r="F892" s="49"/>
      <c r="G892" s="49"/>
      <c r="H892" s="49"/>
      <c r="I892" s="49"/>
    </row>
    <row r="893">
      <c r="A893" s="49"/>
      <c r="B893" s="49"/>
      <c r="C893" s="49"/>
      <c r="D893" s="49"/>
      <c r="E893" s="49"/>
      <c r="F893" s="49"/>
      <c r="G893" s="49"/>
      <c r="H893" s="49"/>
      <c r="I893" s="49"/>
    </row>
    <row r="894">
      <c r="A894" s="49"/>
      <c r="B894" s="49"/>
      <c r="C894" s="49"/>
      <c r="D894" s="49"/>
      <c r="E894" s="49"/>
      <c r="F894" s="49"/>
      <c r="G894" s="49"/>
      <c r="H894" s="49"/>
      <c r="I894" s="49"/>
    </row>
    <row r="895">
      <c r="A895" s="49"/>
      <c r="B895" s="49"/>
      <c r="C895" s="49"/>
      <c r="D895" s="49"/>
      <c r="E895" s="49"/>
      <c r="F895" s="49"/>
      <c r="G895" s="49"/>
      <c r="H895" s="49"/>
      <c r="I895" s="49"/>
    </row>
    <row r="896">
      <c r="A896" s="49"/>
      <c r="B896" s="49"/>
      <c r="C896" s="49"/>
      <c r="D896" s="49"/>
      <c r="E896" s="49"/>
      <c r="F896" s="49"/>
      <c r="G896" s="49"/>
      <c r="H896" s="49"/>
      <c r="I896" s="49"/>
    </row>
    <row r="897">
      <c r="A897" s="49"/>
      <c r="B897" s="49"/>
      <c r="C897" s="49"/>
      <c r="D897" s="49"/>
      <c r="E897" s="49"/>
      <c r="F897" s="49"/>
      <c r="G897" s="49"/>
      <c r="H897" s="49"/>
      <c r="I897" s="49"/>
    </row>
    <row r="898">
      <c r="A898" s="49"/>
      <c r="B898" s="49"/>
      <c r="C898" s="49"/>
      <c r="D898" s="49"/>
      <c r="E898" s="49"/>
      <c r="F898" s="49"/>
      <c r="G898" s="49"/>
      <c r="H898" s="49"/>
      <c r="I898" s="49"/>
    </row>
    <row r="899">
      <c r="A899" s="49"/>
      <c r="B899" s="49"/>
      <c r="C899" s="49"/>
      <c r="D899" s="49"/>
      <c r="E899" s="49"/>
      <c r="F899" s="49"/>
      <c r="G899" s="49"/>
      <c r="H899" s="49"/>
      <c r="I899" s="49"/>
    </row>
    <row r="900">
      <c r="A900" s="49"/>
      <c r="B900" s="49"/>
      <c r="C900" s="49"/>
      <c r="D900" s="49"/>
      <c r="E900" s="49"/>
      <c r="F900" s="49"/>
      <c r="G900" s="49"/>
      <c r="H900" s="49"/>
      <c r="I900" s="49"/>
    </row>
    <row r="901">
      <c r="A901" s="49"/>
      <c r="B901" s="49"/>
      <c r="C901" s="49"/>
      <c r="D901" s="49"/>
      <c r="E901" s="49"/>
      <c r="F901" s="49"/>
      <c r="G901" s="49"/>
      <c r="H901" s="49"/>
      <c r="I901" s="49"/>
    </row>
    <row r="902">
      <c r="A902" s="49"/>
      <c r="B902" s="49"/>
      <c r="C902" s="49"/>
      <c r="D902" s="49"/>
      <c r="E902" s="49"/>
      <c r="F902" s="49"/>
      <c r="G902" s="49"/>
      <c r="H902" s="49"/>
      <c r="I902" s="49"/>
    </row>
    <row r="903">
      <c r="A903" s="49"/>
      <c r="B903" s="49"/>
      <c r="C903" s="49"/>
      <c r="D903" s="49"/>
      <c r="E903" s="49"/>
      <c r="F903" s="49"/>
      <c r="G903" s="49"/>
      <c r="H903" s="49"/>
      <c r="I903" s="49"/>
    </row>
    <row r="904">
      <c r="A904" s="49"/>
      <c r="B904" s="49"/>
      <c r="C904" s="49"/>
      <c r="D904" s="49"/>
      <c r="E904" s="49"/>
      <c r="F904" s="49"/>
      <c r="G904" s="49"/>
      <c r="H904" s="49"/>
      <c r="I904" s="49"/>
    </row>
    <row r="905">
      <c r="A905" s="49"/>
      <c r="B905" s="49"/>
      <c r="C905" s="49"/>
      <c r="D905" s="49"/>
      <c r="E905" s="49"/>
      <c r="F905" s="49"/>
      <c r="G905" s="49"/>
      <c r="H905" s="49"/>
      <c r="I905" s="49"/>
    </row>
    <row r="906">
      <c r="A906" s="49"/>
      <c r="B906" s="49"/>
      <c r="C906" s="49"/>
      <c r="D906" s="49"/>
      <c r="E906" s="49"/>
      <c r="F906" s="49"/>
      <c r="G906" s="49"/>
      <c r="H906" s="49"/>
      <c r="I906" s="49"/>
    </row>
    <row r="907">
      <c r="A907" s="49"/>
      <c r="B907" s="49"/>
      <c r="C907" s="49"/>
      <c r="D907" s="49"/>
      <c r="E907" s="49"/>
      <c r="F907" s="49"/>
      <c r="G907" s="49"/>
      <c r="H907" s="49"/>
      <c r="I907" s="49"/>
    </row>
    <row r="908">
      <c r="A908" s="49"/>
      <c r="B908" s="49"/>
      <c r="C908" s="49"/>
      <c r="D908" s="49"/>
      <c r="E908" s="49"/>
      <c r="F908" s="49"/>
      <c r="G908" s="49"/>
      <c r="H908" s="49"/>
      <c r="I908" s="49"/>
    </row>
    <row r="909">
      <c r="A909" s="49"/>
      <c r="B909" s="49"/>
      <c r="C909" s="49"/>
      <c r="D909" s="49"/>
      <c r="E909" s="49"/>
      <c r="F909" s="49"/>
      <c r="G909" s="49"/>
      <c r="H909" s="49"/>
      <c r="I909" s="49"/>
    </row>
    <row r="910">
      <c r="A910" s="49"/>
      <c r="B910" s="49"/>
      <c r="C910" s="49"/>
      <c r="D910" s="49"/>
      <c r="E910" s="49"/>
      <c r="F910" s="49"/>
      <c r="G910" s="49"/>
      <c r="H910" s="49"/>
      <c r="I910" s="49"/>
    </row>
    <row r="911">
      <c r="A911" s="49"/>
      <c r="B911" s="49"/>
      <c r="C911" s="49"/>
      <c r="D911" s="49"/>
      <c r="E911" s="49"/>
      <c r="F911" s="49"/>
      <c r="G911" s="49"/>
      <c r="H911" s="49"/>
      <c r="I911" s="49"/>
    </row>
    <row r="912">
      <c r="A912" s="49"/>
      <c r="B912" s="49"/>
      <c r="C912" s="49"/>
      <c r="D912" s="49"/>
      <c r="E912" s="49"/>
      <c r="F912" s="49"/>
      <c r="G912" s="49"/>
      <c r="H912" s="49"/>
      <c r="I912" s="49"/>
    </row>
    <row r="913">
      <c r="A913" s="49"/>
      <c r="B913" s="49"/>
      <c r="C913" s="49"/>
      <c r="D913" s="49"/>
      <c r="E913" s="49"/>
      <c r="F913" s="49"/>
      <c r="G913" s="49"/>
      <c r="H913" s="49"/>
      <c r="I913" s="49"/>
    </row>
    <row r="914">
      <c r="A914" s="49"/>
      <c r="B914" s="49"/>
      <c r="C914" s="49"/>
      <c r="D914" s="49"/>
      <c r="E914" s="49"/>
      <c r="F914" s="49"/>
      <c r="G914" s="49"/>
      <c r="H914" s="49"/>
      <c r="I914" s="49"/>
    </row>
    <row r="915">
      <c r="A915" s="49"/>
      <c r="B915" s="49"/>
      <c r="C915" s="49"/>
      <c r="D915" s="49"/>
      <c r="E915" s="49"/>
      <c r="F915" s="49"/>
      <c r="G915" s="49"/>
      <c r="H915" s="49"/>
      <c r="I915" s="49"/>
    </row>
    <row r="916">
      <c r="A916" s="49"/>
      <c r="B916" s="49"/>
      <c r="C916" s="49"/>
      <c r="D916" s="49"/>
      <c r="E916" s="49"/>
      <c r="F916" s="49"/>
      <c r="G916" s="49"/>
      <c r="H916" s="49"/>
      <c r="I916" s="49"/>
    </row>
    <row r="917">
      <c r="A917" s="49"/>
      <c r="B917" s="49"/>
      <c r="C917" s="49"/>
      <c r="D917" s="49"/>
      <c r="E917" s="49"/>
      <c r="F917" s="49"/>
      <c r="G917" s="49"/>
      <c r="H917" s="49"/>
      <c r="I917" s="49"/>
    </row>
    <row r="918">
      <c r="A918" s="49"/>
      <c r="B918" s="49"/>
      <c r="C918" s="49"/>
      <c r="D918" s="49"/>
      <c r="E918" s="49"/>
      <c r="F918" s="49"/>
      <c r="G918" s="49"/>
      <c r="H918" s="49"/>
      <c r="I918" s="49"/>
    </row>
    <row r="919">
      <c r="A919" s="49"/>
      <c r="B919" s="49"/>
      <c r="C919" s="49"/>
      <c r="D919" s="49"/>
      <c r="E919" s="49"/>
      <c r="F919" s="49"/>
      <c r="G919" s="49"/>
      <c r="H919" s="49"/>
      <c r="I919" s="49"/>
    </row>
    <row r="920">
      <c r="A920" s="49"/>
      <c r="B920" s="49"/>
      <c r="C920" s="49"/>
      <c r="D920" s="49"/>
      <c r="E920" s="49"/>
      <c r="F920" s="49"/>
      <c r="G920" s="49"/>
      <c r="H920" s="49"/>
      <c r="I920" s="49"/>
    </row>
    <row r="921">
      <c r="A921" s="49"/>
      <c r="B921" s="49"/>
      <c r="C921" s="49"/>
      <c r="D921" s="49"/>
      <c r="E921" s="49"/>
      <c r="F921" s="49"/>
      <c r="G921" s="49"/>
      <c r="H921" s="49"/>
      <c r="I921" s="49"/>
    </row>
    <row r="922">
      <c r="A922" s="49"/>
      <c r="B922" s="49"/>
      <c r="C922" s="49"/>
      <c r="D922" s="49"/>
      <c r="E922" s="49"/>
      <c r="F922" s="49"/>
      <c r="G922" s="49"/>
      <c r="H922" s="49"/>
      <c r="I922" s="49"/>
    </row>
    <row r="923">
      <c r="A923" s="49"/>
      <c r="B923" s="49"/>
      <c r="C923" s="49"/>
      <c r="D923" s="49"/>
      <c r="E923" s="49"/>
      <c r="F923" s="49"/>
      <c r="G923" s="49"/>
      <c r="H923" s="49"/>
      <c r="I923" s="49"/>
    </row>
    <row r="924">
      <c r="A924" s="49"/>
      <c r="B924" s="49"/>
      <c r="C924" s="49"/>
      <c r="D924" s="49"/>
      <c r="E924" s="49"/>
      <c r="F924" s="49"/>
      <c r="G924" s="49"/>
      <c r="H924" s="49"/>
      <c r="I924" s="49"/>
    </row>
    <row r="925">
      <c r="A925" s="49"/>
      <c r="B925" s="49"/>
      <c r="C925" s="49"/>
      <c r="D925" s="49"/>
      <c r="E925" s="49"/>
      <c r="F925" s="49"/>
      <c r="G925" s="49"/>
      <c r="H925" s="49"/>
      <c r="I925" s="49"/>
    </row>
    <row r="926">
      <c r="A926" s="49"/>
      <c r="B926" s="49"/>
      <c r="C926" s="49"/>
      <c r="D926" s="49"/>
      <c r="E926" s="49"/>
      <c r="F926" s="49"/>
      <c r="G926" s="49"/>
      <c r="H926" s="49"/>
      <c r="I926" s="49"/>
    </row>
    <row r="927">
      <c r="A927" s="49"/>
      <c r="B927" s="49"/>
      <c r="C927" s="49"/>
      <c r="D927" s="49"/>
      <c r="E927" s="49"/>
      <c r="F927" s="49"/>
      <c r="G927" s="49"/>
      <c r="H927" s="49"/>
      <c r="I927" s="49"/>
    </row>
    <row r="928">
      <c r="A928" s="49"/>
      <c r="B928" s="49"/>
      <c r="C928" s="49"/>
      <c r="D928" s="49"/>
      <c r="E928" s="49"/>
      <c r="F928" s="49"/>
      <c r="G928" s="49"/>
      <c r="H928" s="49"/>
      <c r="I928" s="49"/>
    </row>
    <row r="929">
      <c r="A929" s="49"/>
      <c r="B929" s="49"/>
      <c r="C929" s="49"/>
      <c r="D929" s="49"/>
      <c r="E929" s="49"/>
      <c r="F929" s="49"/>
      <c r="G929" s="49"/>
      <c r="H929" s="49"/>
      <c r="I929" s="49"/>
    </row>
    <row r="930">
      <c r="A930" s="49"/>
      <c r="B930" s="49"/>
      <c r="C930" s="49"/>
      <c r="D930" s="49"/>
      <c r="E930" s="49"/>
      <c r="F930" s="49"/>
      <c r="G930" s="49"/>
      <c r="H930" s="49"/>
      <c r="I930" s="49"/>
    </row>
    <row r="931">
      <c r="A931" s="49"/>
      <c r="B931" s="49"/>
      <c r="C931" s="49"/>
      <c r="D931" s="49"/>
      <c r="E931" s="49"/>
      <c r="F931" s="49"/>
      <c r="G931" s="49"/>
      <c r="H931" s="49"/>
      <c r="I931" s="49"/>
    </row>
    <row r="932">
      <c r="A932" s="49"/>
      <c r="B932" s="49"/>
      <c r="C932" s="49"/>
      <c r="D932" s="49"/>
      <c r="E932" s="49"/>
      <c r="F932" s="49"/>
      <c r="G932" s="49"/>
      <c r="H932" s="49"/>
      <c r="I932" s="49"/>
    </row>
    <row r="933">
      <c r="A933" s="49"/>
      <c r="B933" s="49"/>
      <c r="C933" s="49"/>
      <c r="D933" s="49"/>
      <c r="E933" s="49"/>
      <c r="F933" s="49"/>
      <c r="G933" s="49"/>
      <c r="H933" s="49"/>
      <c r="I933" s="49"/>
    </row>
    <row r="934">
      <c r="A934" s="49"/>
      <c r="B934" s="49"/>
      <c r="C934" s="49"/>
      <c r="D934" s="49"/>
      <c r="E934" s="49"/>
      <c r="F934" s="49"/>
      <c r="G934" s="49"/>
      <c r="H934" s="49"/>
      <c r="I934" s="49"/>
    </row>
    <row r="935">
      <c r="A935" s="49"/>
      <c r="B935" s="49"/>
      <c r="C935" s="49"/>
      <c r="D935" s="49"/>
      <c r="E935" s="49"/>
      <c r="F935" s="49"/>
      <c r="G935" s="49"/>
      <c r="H935" s="49"/>
      <c r="I935" s="49"/>
    </row>
    <row r="936">
      <c r="A936" s="49"/>
      <c r="B936" s="49"/>
      <c r="C936" s="49"/>
      <c r="D936" s="49"/>
      <c r="E936" s="49"/>
      <c r="F936" s="49"/>
      <c r="G936" s="49"/>
      <c r="H936" s="49"/>
      <c r="I936" s="49"/>
    </row>
    <row r="937">
      <c r="A937" s="49"/>
      <c r="B937" s="49"/>
      <c r="C937" s="49"/>
      <c r="D937" s="49"/>
      <c r="E937" s="49"/>
      <c r="F937" s="49"/>
      <c r="G937" s="49"/>
      <c r="H937" s="49"/>
      <c r="I937" s="49"/>
    </row>
    <row r="938">
      <c r="A938" s="49"/>
      <c r="B938" s="49"/>
      <c r="C938" s="49"/>
      <c r="D938" s="49"/>
      <c r="E938" s="49"/>
      <c r="F938" s="49"/>
      <c r="G938" s="49"/>
      <c r="H938" s="49"/>
      <c r="I938" s="49"/>
    </row>
    <row r="939">
      <c r="A939" s="49"/>
      <c r="B939" s="49"/>
      <c r="C939" s="49"/>
      <c r="D939" s="49"/>
      <c r="E939" s="49"/>
      <c r="F939" s="49"/>
      <c r="G939" s="49"/>
      <c r="H939" s="49"/>
      <c r="I939" s="49"/>
    </row>
    <row r="940">
      <c r="A940" s="49"/>
      <c r="B940" s="49"/>
      <c r="C940" s="49"/>
      <c r="D940" s="49"/>
      <c r="E940" s="49"/>
      <c r="F940" s="49"/>
      <c r="G940" s="49"/>
      <c r="H940" s="49"/>
      <c r="I940" s="49"/>
    </row>
    <row r="941">
      <c r="A941" s="49"/>
      <c r="B941" s="49"/>
      <c r="C941" s="49"/>
      <c r="D941" s="49"/>
      <c r="E941" s="49"/>
      <c r="F941" s="49"/>
      <c r="G941" s="49"/>
      <c r="H941" s="49"/>
      <c r="I941" s="49"/>
    </row>
    <row r="942">
      <c r="A942" s="49"/>
      <c r="B942" s="49"/>
      <c r="C942" s="49"/>
      <c r="D942" s="49"/>
      <c r="E942" s="49"/>
      <c r="F942" s="49"/>
      <c r="G942" s="49"/>
      <c r="H942" s="49"/>
      <c r="I942" s="49"/>
    </row>
    <row r="943">
      <c r="A943" s="49"/>
      <c r="B943" s="49"/>
      <c r="C943" s="49"/>
      <c r="D943" s="49"/>
      <c r="E943" s="49"/>
      <c r="F943" s="49"/>
      <c r="G943" s="49"/>
      <c r="H943" s="49"/>
      <c r="I943" s="49"/>
    </row>
    <row r="944">
      <c r="A944" s="49"/>
      <c r="B944" s="49"/>
      <c r="C944" s="49"/>
      <c r="D944" s="49"/>
      <c r="E944" s="49"/>
      <c r="F944" s="49"/>
      <c r="G944" s="49"/>
      <c r="H944" s="49"/>
      <c r="I944" s="49"/>
    </row>
    <row r="945">
      <c r="A945" s="49"/>
      <c r="B945" s="49"/>
      <c r="C945" s="49"/>
      <c r="D945" s="49"/>
      <c r="E945" s="49"/>
      <c r="F945" s="49"/>
      <c r="G945" s="49"/>
      <c r="H945" s="49"/>
      <c r="I945" s="49"/>
    </row>
    <row r="946">
      <c r="A946" s="49"/>
      <c r="B946" s="49"/>
      <c r="C946" s="49"/>
      <c r="D946" s="49"/>
      <c r="E946" s="49"/>
      <c r="F946" s="49"/>
      <c r="G946" s="49"/>
      <c r="H946" s="49"/>
      <c r="I946" s="49"/>
    </row>
    <row r="947">
      <c r="A947" s="49"/>
      <c r="B947" s="49"/>
      <c r="C947" s="49"/>
      <c r="D947" s="49"/>
      <c r="E947" s="49"/>
      <c r="F947" s="49"/>
      <c r="G947" s="49"/>
      <c r="H947" s="49"/>
      <c r="I947" s="49"/>
    </row>
    <row r="948">
      <c r="A948" s="49"/>
      <c r="B948" s="49"/>
      <c r="C948" s="49"/>
      <c r="D948" s="49"/>
      <c r="E948" s="49"/>
      <c r="F948" s="49"/>
      <c r="G948" s="49"/>
      <c r="H948" s="49"/>
      <c r="I948" s="49"/>
    </row>
    <row r="949">
      <c r="A949" s="49"/>
      <c r="B949" s="49"/>
      <c r="C949" s="49"/>
      <c r="D949" s="49"/>
      <c r="E949" s="49"/>
      <c r="F949" s="49"/>
      <c r="G949" s="49"/>
      <c r="H949" s="49"/>
      <c r="I949" s="49"/>
    </row>
    <row r="950">
      <c r="A950" s="49"/>
      <c r="B950" s="49"/>
      <c r="C950" s="49"/>
      <c r="D950" s="49"/>
      <c r="E950" s="49"/>
      <c r="F950" s="49"/>
      <c r="G950" s="49"/>
      <c r="H950" s="49"/>
      <c r="I950" s="49"/>
    </row>
    <row r="951">
      <c r="A951" s="49"/>
      <c r="B951" s="49"/>
      <c r="C951" s="49"/>
      <c r="D951" s="49"/>
      <c r="E951" s="49"/>
      <c r="F951" s="49"/>
      <c r="G951" s="49"/>
      <c r="H951" s="49"/>
      <c r="I951" s="49"/>
    </row>
    <row r="952">
      <c r="A952" s="49"/>
      <c r="B952" s="49"/>
      <c r="C952" s="49"/>
      <c r="D952" s="49"/>
      <c r="E952" s="49"/>
      <c r="F952" s="49"/>
      <c r="G952" s="49"/>
      <c r="H952" s="49"/>
      <c r="I952" s="49"/>
    </row>
    <row r="953">
      <c r="A953" s="49"/>
      <c r="B953" s="49"/>
      <c r="C953" s="49"/>
      <c r="D953" s="49"/>
      <c r="E953" s="49"/>
      <c r="F953" s="49"/>
      <c r="G953" s="49"/>
      <c r="H953" s="49"/>
      <c r="I953" s="49"/>
    </row>
    <row r="954">
      <c r="A954" s="49"/>
      <c r="B954" s="49"/>
      <c r="C954" s="49"/>
      <c r="D954" s="49"/>
      <c r="E954" s="49"/>
      <c r="F954" s="49"/>
      <c r="G954" s="49"/>
      <c r="H954" s="49"/>
      <c r="I954" s="49"/>
    </row>
    <row r="955">
      <c r="A955" s="49"/>
      <c r="B955" s="49"/>
      <c r="C955" s="49"/>
      <c r="D955" s="49"/>
      <c r="E955" s="49"/>
      <c r="F955" s="49"/>
      <c r="G955" s="49"/>
      <c r="H955" s="49"/>
      <c r="I955" s="49"/>
    </row>
    <row r="956">
      <c r="A956" s="49"/>
      <c r="B956" s="49"/>
      <c r="C956" s="49"/>
      <c r="D956" s="49"/>
      <c r="E956" s="49"/>
      <c r="F956" s="49"/>
      <c r="G956" s="49"/>
      <c r="H956" s="49"/>
      <c r="I956" s="49"/>
    </row>
    <row r="957">
      <c r="A957" s="49"/>
      <c r="B957" s="49"/>
      <c r="C957" s="49"/>
      <c r="D957" s="49"/>
      <c r="E957" s="49"/>
      <c r="F957" s="49"/>
      <c r="G957" s="49"/>
      <c r="H957" s="49"/>
      <c r="I957" s="49"/>
    </row>
    <row r="958">
      <c r="A958" s="49"/>
      <c r="B958" s="49"/>
      <c r="C958" s="49"/>
      <c r="D958" s="49"/>
      <c r="E958" s="49"/>
      <c r="F958" s="49"/>
      <c r="G958" s="49"/>
      <c r="H958" s="49"/>
      <c r="I958" s="49"/>
    </row>
    <row r="959">
      <c r="A959" s="49"/>
      <c r="B959" s="49"/>
      <c r="C959" s="49"/>
      <c r="D959" s="49"/>
      <c r="E959" s="49"/>
      <c r="F959" s="49"/>
      <c r="G959" s="49"/>
      <c r="H959" s="49"/>
      <c r="I959" s="49"/>
    </row>
    <row r="960">
      <c r="A960" s="49"/>
      <c r="B960" s="49"/>
      <c r="C960" s="49"/>
      <c r="D960" s="49"/>
      <c r="E960" s="49"/>
      <c r="F960" s="49"/>
      <c r="G960" s="49"/>
      <c r="H960" s="49"/>
      <c r="I960" s="49"/>
    </row>
    <row r="961">
      <c r="A961" s="49"/>
      <c r="B961" s="49"/>
      <c r="C961" s="49"/>
      <c r="D961" s="49"/>
      <c r="E961" s="49"/>
      <c r="F961" s="49"/>
      <c r="G961" s="49"/>
      <c r="H961" s="49"/>
      <c r="I961" s="49"/>
    </row>
    <row r="962">
      <c r="A962" s="49"/>
      <c r="B962" s="49"/>
      <c r="C962" s="49"/>
      <c r="D962" s="49"/>
      <c r="E962" s="49"/>
      <c r="F962" s="49"/>
      <c r="G962" s="49"/>
      <c r="H962" s="49"/>
      <c r="I962" s="49"/>
    </row>
    <row r="963">
      <c r="A963" s="49"/>
      <c r="B963" s="49"/>
      <c r="C963" s="49"/>
      <c r="D963" s="49"/>
      <c r="E963" s="49"/>
      <c r="F963" s="49"/>
      <c r="G963" s="49"/>
      <c r="H963" s="49"/>
      <c r="I963" s="49"/>
    </row>
    <row r="964">
      <c r="A964" s="49"/>
      <c r="B964" s="49"/>
      <c r="C964" s="49"/>
      <c r="D964" s="49"/>
      <c r="E964" s="49"/>
      <c r="F964" s="49"/>
      <c r="G964" s="49"/>
      <c r="H964" s="49"/>
      <c r="I964" s="49"/>
    </row>
    <row r="965">
      <c r="A965" s="49"/>
      <c r="B965" s="49"/>
      <c r="C965" s="49"/>
      <c r="D965" s="49"/>
      <c r="E965" s="49"/>
      <c r="F965" s="49"/>
      <c r="G965" s="49"/>
      <c r="H965" s="49"/>
      <c r="I965" s="49"/>
    </row>
    <row r="966">
      <c r="A966" s="49"/>
      <c r="B966" s="49"/>
      <c r="C966" s="49"/>
      <c r="D966" s="49"/>
      <c r="E966" s="49"/>
      <c r="F966" s="49"/>
      <c r="G966" s="49"/>
      <c r="H966" s="49"/>
      <c r="I966" s="49"/>
    </row>
    <row r="967">
      <c r="A967" s="49"/>
      <c r="B967" s="49"/>
      <c r="C967" s="49"/>
      <c r="D967" s="49"/>
      <c r="E967" s="49"/>
      <c r="F967" s="49"/>
      <c r="G967" s="49"/>
      <c r="H967" s="49"/>
      <c r="I967" s="49"/>
    </row>
    <row r="968">
      <c r="A968" s="49"/>
      <c r="B968" s="49"/>
      <c r="C968" s="49"/>
      <c r="D968" s="49"/>
      <c r="E968" s="49"/>
      <c r="F968" s="49"/>
      <c r="G968" s="49"/>
      <c r="H968" s="49"/>
      <c r="I968" s="49"/>
    </row>
    <row r="969">
      <c r="A969" s="49"/>
      <c r="B969" s="49"/>
      <c r="C969" s="49"/>
      <c r="D969" s="49"/>
      <c r="E969" s="49"/>
      <c r="F969" s="49"/>
      <c r="G969" s="49"/>
      <c r="H969" s="49"/>
      <c r="I969" s="49"/>
    </row>
    <row r="970">
      <c r="A970" s="49"/>
      <c r="B970" s="49"/>
      <c r="C970" s="49"/>
      <c r="D970" s="49"/>
      <c r="E970" s="49"/>
      <c r="F970" s="49"/>
      <c r="G970" s="49"/>
      <c r="H970" s="49"/>
      <c r="I970" s="49"/>
    </row>
    <row r="971">
      <c r="A971" s="49"/>
      <c r="B971" s="49"/>
      <c r="C971" s="49"/>
      <c r="D971" s="49"/>
      <c r="E971" s="49"/>
      <c r="F971" s="49"/>
      <c r="G971" s="49"/>
      <c r="H971" s="49"/>
      <c r="I971" s="49"/>
    </row>
    <row r="972">
      <c r="A972" s="49"/>
      <c r="B972" s="49"/>
      <c r="C972" s="49"/>
      <c r="D972" s="49"/>
      <c r="E972" s="49"/>
      <c r="F972" s="49"/>
      <c r="G972" s="49"/>
      <c r="H972" s="49"/>
      <c r="I972" s="49"/>
    </row>
    <row r="973">
      <c r="A973" s="49"/>
      <c r="B973" s="49"/>
      <c r="C973" s="49"/>
      <c r="D973" s="49"/>
      <c r="E973" s="49"/>
      <c r="F973" s="49"/>
      <c r="G973" s="49"/>
      <c r="H973" s="49"/>
      <c r="I973" s="49"/>
    </row>
    <row r="974">
      <c r="A974" s="49"/>
      <c r="B974" s="49"/>
      <c r="C974" s="49"/>
      <c r="D974" s="49"/>
      <c r="E974" s="49"/>
      <c r="F974" s="49"/>
      <c r="G974" s="49"/>
      <c r="H974" s="49"/>
      <c r="I974" s="49"/>
    </row>
    <row r="975">
      <c r="A975" s="49"/>
      <c r="B975" s="49"/>
      <c r="C975" s="49"/>
      <c r="D975" s="49"/>
      <c r="E975" s="49"/>
      <c r="F975" s="49"/>
      <c r="G975" s="49"/>
      <c r="H975" s="49"/>
      <c r="I975" s="49"/>
    </row>
    <row r="976">
      <c r="A976" s="49"/>
      <c r="B976" s="49"/>
      <c r="C976" s="49"/>
      <c r="D976" s="49"/>
      <c r="E976" s="49"/>
      <c r="F976" s="49"/>
      <c r="G976" s="49"/>
      <c r="H976" s="49"/>
      <c r="I976" s="49"/>
    </row>
    <row r="977">
      <c r="A977" s="49"/>
      <c r="B977" s="49"/>
      <c r="C977" s="49"/>
      <c r="D977" s="49"/>
      <c r="E977" s="49"/>
      <c r="F977" s="49"/>
      <c r="G977" s="49"/>
      <c r="H977" s="49"/>
      <c r="I977" s="49"/>
    </row>
    <row r="978">
      <c r="A978" s="49"/>
      <c r="B978" s="49"/>
      <c r="C978" s="49"/>
      <c r="D978" s="49"/>
      <c r="E978" s="49"/>
      <c r="F978" s="49"/>
      <c r="G978" s="49"/>
      <c r="H978" s="49"/>
      <c r="I978" s="49"/>
    </row>
    <row r="979">
      <c r="A979" s="49"/>
      <c r="B979" s="49"/>
      <c r="C979" s="49"/>
      <c r="D979" s="49"/>
      <c r="E979" s="49"/>
      <c r="F979" s="49"/>
      <c r="G979" s="49"/>
      <c r="H979" s="49"/>
      <c r="I979" s="49"/>
    </row>
    <row r="980">
      <c r="A980" s="49"/>
      <c r="B980" s="49"/>
      <c r="C980" s="49"/>
      <c r="D980" s="49"/>
      <c r="E980" s="49"/>
      <c r="F980" s="49"/>
      <c r="G980" s="49"/>
      <c r="H980" s="49"/>
      <c r="I980" s="49"/>
    </row>
    <row r="981">
      <c r="A981" s="49"/>
      <c r="B981" s="49"/>
      <c r="C981" s="49"/>
      <c r="D981" s="49"/>
      <c r="E981" s="49"/>
      <c r="F981" s="49"/>
      <c r="G981" s="49"/>
      <c r="H981" s="49"/>
      <c r="I981" s="49"/>
    </row>
    <row r="982">
      <c r="A982" s="49"/>
      <c r="B982" s="49"/>
      <c r="C982" s="49"/>
      <c r="D982" s="49"/>
      <c r="E982" s="49"/>
      <c r="F982" s="49"/>
      <c r="G982" s="49"/>
      <c r="H982" s="49"/>
      <c r="I982" s="49"/>
    </row>
    <row r="983">
      <c r="A983" s="49"/>
      <c r="B983" s="49"/>
      <c r="C983" s="49"/>
      <c r="D983" s="49"/>
      <c r="E983" s="49"/>
      <c r="F983" s="49"/>
      <c r="G983" s="49"/>
      <c r="H983" s="49"/>
      <c r="I983" s="49"/>
    </row>
    <row r="984">
      <c r="A984" s="49"/>
      <c r="B984" s="49"/>
      <c r="C984" s="49"/>
      <c r="D984" s="49"/>
      <c r="E984" s="49"/>
      <c r="F984" s="49"/>
      <c r="G984" s="49"/>
      <c r="H984" s="49"/>
      <c r="I984" s="49"/>
    </row>
    <row r="985">
      <c r="A985" s="49"/>
      <c r="B985" s="49"/>
      <c r="C985" s="49"/>
      <c r="D985" s="49"/>
      <c r="E985" s="49"/>
      <c r="F985" s="49"/>
      <c r="G985" s="49"/>
      <c r="H985" s="49"/>
      <c r="I985" s="49"/>
    </row>
    <row r="986">
      <c r="A986" s="49"/>
      <c r="B986" s="49"/>
      <c r="C986" s="49"/>
      <c r="D986" s="49"/>
      <c r="E986" s="49"/>
      <c r="F986" s="49"/>
      <c r="G986" s="49"/>
      <c r="H986" s="49"/>
      <c r="I986" s="49"/>
    </row>
    <row r="987">
      <c r="A987" s="49"/>
      <c r="B987" s="49"/>
      <c r="C987" s="49"/>
      <c r="D987" s="49"/>
      <c r="E987" s="49"/>
      <c r="F987" s="49"/>
      <c r="G987" s="49"/>
      <c r="H987" s="49"/>
      <c r="I987" s="49"/>
    </row>
    <row r="988">
      <c r="A988" s="49"/>
      <c r="B988" s="49"/>
      <c r="C988" s="49"/>
      <c r="D988" s="49"/>
      <c r="E988" s="49"/>
      <c r="F988" s="49"/>
      <c r="G988" s="49"/>
      <c r="H988" s="49"/>
      <c r="I988" s="49"/>
    </row>
    <row r="989">
      <c r="A989" s="49"/>
      <c r="B989" s="49"/>
      <c r="C989" s="49"/>
      <c r="D989" s="49"/>
      <c r="E989" s="49"/>
      <c r="F989" s="49"/>
      <c r="G989" s="49"/>
      <c r="H989" s="49"/>
      <c r="I989" s="49"/>
    </row>
    <row r="990">
      <c r="A990" s="49"/>
      <c r="B990" s="49"/>
      <c r="C990" s="49"/>
      <c r="D990" s="49"/>
      <c r="E990" s="49"/>
      <c r="F990" s="49"/>
      <c r="G990" s="49"/>
      <c r="H990" s="49"/>
      <c r="I990" s="49"/>
    </row>
    <row r="991">
      <c r="A991" s="49"/>
      <c r="B991" s="49"/>
      <c r="C991" s="49"/>
      <c r="D991" s="49"/>
      <c r="E991" s="49"/>
      <c r="F991" s="49"/>
      <c r="G991" s="49"/>
      <c r="H991" s="49"/>
      <c r="I991" s="49"/>
    </row>
    <row r="992">
      <c r="A992" s="49"/>
      <c r="B992" s="49"/>
      <c r="C992" s="49"/>
      <c r="D992" s="49"/>
      <c r="E992" s="49"/>
      <c r="F992" s="49"/>
      <c r="G992" s="49"/>
      <c r="H992" s="49"/>
      <c r="I992" s="49"/>
    </row>
    <row r="993">
      <c r="A993" s="49"/>
      <c r="B993" s="49"/>
      <c r="C993" s="49"/>
      <c r="D993" s="49"/>
      <c r="E993" s="49"/>
      <c r="F993" s="49"/>
      <c r="G993" s="49"/>
      <c r="H993" s="49"/>
      <c r="I993" s="49"/>
    </row>
    <row r="994">
      <c r="A994" s="49"/>
      <c r="B994" s="49"/>
      <c r="C994" s="49"/>
      <c r="D994" s="49"/>
      <c r="E994" s="49"/>
      <c r="F994" s="49"/>
      <c r="G994" s="49"/>
      <c r="H994" s="49"/>
      <c r="I994" s="49"/>
    </row>
    <row r="995">
      <c r="A995" s="49"/>
      <c r="B995" s="49"/>
      <c r="C995" s="49"/>
      <c r="D995" s="49"/>
      <c r="E995" s="49"/>
      <c r="F995" s="49"/>
      <c r="G995" s="49"/>
      <c r="H995" s="49"/>
      <c r="I995" s="49"/>
    </row>
    <row r="996">
      <c r="A996" s="49"/>
      <c r="B996" s="49"/>
      <c r="C996" s="49"/>
      <c r="D996" s="49"/>
      <c r="E996" s="49"/>
      <c r="F996" s="49"/>
      <c r="G996" s="49"/>
      <c r="H996" s="49"/>
      <c r="I996" s="49"/>
    </row>
    <row r="997">
      <c r="A997" s="49"/>
      <c r="B997" s="49"/>
      <c r="C997" s="49"/>
      <c r="D997" s="49"/>
      <c r="E997" s="49"/>
      <c r="F997" s="49"/>
      <c r="G997" s="49"/>
      <c r="H997" s="49"/>
      <c r="I997" s="49"/>
    </row>
    <row r="998">
      <c r="A998" s="49"/>
      <c r="B998" s="49"/>
      <c r="C998" s="49"/>
      <c r="D998" s="49"/>
      <c r="E998" s="49"/>
      <c r="F998" s="49"/>
      <c r="G998" s="49"/>
      <c r="H998" s="49"/>
      <c r="I998" s="49"/>
    </row>
    <row r="999">
      <c r="A999" s="49"/>
      <c r="B999" s="49"/>
      <c r="C999" s="49"/>
      <c r="D999" s="49"/>
      <c r="E999" s="49"/>
      <c r="F999" s="49"/>
      <c r="G999" s="49"/>
      <c r="H999" s="49"/>
      <c r="I999" s="49"/>
    </row>
    <row r="1000">
      <c r="A1000" s="49"/>
      <c r="B1000" s="49"/>
      <c r="C1000" s="49"/>
      <c r="D1000" s="49"/>
      <c r="E1000" s="49"/>
      <c r="F1000" s="49"/>
      <c r="G1000" s="49"/>
      <c r="H1000" s="49"/>
      <c r="I1000" s="49"/>
    </row>
  </sheetData>
  <hyperlinks>
    <hyperlink display="RETURN TO DASHBOARD" location="Dashboard!A1" ref="A1"/>
    <hyperlink r:id="rId1" ref="I2"/>
    <hyperlink r:id="rId2" ref="I3"/>
    <hyperlink r:id="rId3" ref="I4"/>
    <hyperlink r:id="rId4" ref="I5"/>
    <hyperlink r:id="rId5" ref="I6"/>
    <hyperlink r:id="rId6" ref="I7"/>
    <hyperlink r:id="rId7" ref="I8"/>
  </hyperlinks>
  <drawing r:id="rId8"/>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0"/>
    <col customWidth="1" min="4" max="4" width="28.0"/>
    <col customWidth="1" min="5" max="5" width="19.88"/>
    <col customWidth="1" min="6" max="6" width="22.75"/>
    <col customWidth="1" min="7" max="7" width="20.38"/>
    <col customWidth="1" min="8" max="8" width="25.13"/>
    <col customWidth="1" min="9" max="9" width="23.5"/>
    <col customWidth="1" min="10" max="10" width="33.63"/>
  </cols>
  <sheetData>
    <row r="1">
      <c r="A1" s="43" t="s">
        <v>1258</v>
      </c>
      <c r="B1" s="54" t="str">
        <f>IFERROR(__xludf.DUMMYFUNCTION("QUERY('Form Responses 1'!A:AAC, ""SELECT CD, CE, CF, CG, CH, CI, CJ, CK, CL WHERE C = 'Events'"", 1)"),"Date")</f>
        <v>Date</v>
      </c>
      <c r="C1" s="54" t="str">
        <f>IFERROR(__xludf.DUMMYFUNCTION("""COMPUTED_VALUE"""),"Type ")</f>
        <v>Type </v>
      </c>
      <c r="D1" s="54" t="str">
        <f>IFERROR(__xludf.DUMMYFUNCTION("""COMPUTED_VALUE"""),"Name &amp; Details ")</f>
        <v>Name &amp; Details </v>
      </c>
      <c r="E1" s="45" t="str">
        <f>IFERROR(__xludf.DUMMYFUNCTION("""COMPUTED_VALUE"""),"Department ")</f>
        <v>Department </v>
      </c>
      <c r="F1" s="45" t="str">
        <f>IFERROR(__xludf.DUMMYFUNCTION("""COMPUTED_VALUE"""),"University, Country")</f>
        <v>University, Country</v>
      </c>
      <c r="G1" s="45" t="str">
        <f>IFERROR(__xludf.DUMMYFUNCTION("""COMPUTED_VALUE"""),"Dignitaries ")</f>
        <v>Dignitaries </v>
      </c>
      <c r="H1" s="45" t="str">
        <f>IFERROR(__xludf.DUMMYFUNCTION("""COMPUTED_VALUE"""),"Event Summary")</f>
        <v>Event Summary</v>
      </c>
      <c r="I1" s="45" t="str">
        <f>IFERROR(__xludf.DUMMYFUNCTION("""COMPUTED_VALUE"""),"Campus")</f>
        <v>Campus</v>
      </c>
      <c r="J1" s="45" t="str">
        <f>IFERROR(__xludf.DUMMYFUNCTION("""COMPUTED_VALUE"""),"Events -   Upload Zip FIle")</f>
        <v>Events -   Upload Zip FIle</v>
      </c>
      <c r="K1" s="46"/>
      <c r="L1" s="46"/>
      <c r="M1" s="46"/>
      <c r="N1" s="46"/>
      <c r="O1" s="46"/>
      <c r="P1" s="46"/>
      <c r="Q1" s="46"/>
      <c r="R1" s="46"/>
      <c r="S1" s="46"/>
      <c r="T1" s="46"/>
      <c r="U1" s="46"/>
      <c r="V1" s="46"/>
      <c r="W1" s="46"/>
      <c r="X1" s="46"/>
      <c r="Y1" s="46"/>
      <c r="Z1" s="46"/>
      <c r="AA1" s="46"/>
    </row>
    <row r="2">
      <c r="A2" s="49"/>
      <c r="B2" s="55">
        <f>IFERROR(__xludf.DUMMYFUNCTION("""COMPUTED_VALUE"""),44957.0)</f>
        <v>44957</v>
      </c>
      <c r="C2" s="49" t="str">
        <f>IFERROR(__xludf.DUMMYFUNCTION("""COMPUTED_VALUE"""),"Seminar")</f>
        <v>Seminar</v>
      </c>
      <c r="D2" s="49" t="str">
        <f>IFERROR(__xludf.DUMMYFUNCTION("""COMPUTED_VALUE"""),"Dr. Deena Gibbons, Professor King’s College London. Dr. Sanjukta Deb, Associate Dean of PGT Education Faculty of Life Sciences and Medicine,")</f>
        <v>Dr. Deena Gibbons, Professor King’s College London. Dr. Sanjukta Deb, Associate Dean of PGT Education Faculty of Life Sciences and Medicine,</v>
      </c>
      <c r="E2" s="49" t="str">
        <f>IFERROR(__xludf.DUMMYFUNCTION("""COMPUTED_VALUE"""),"1st year School of Basic &amp; Applied Sciences")</f>
        <v>1st year School of Basic &amp; Applied Sciences</v>
      </c>
      <c r="F2" s="49" t="str">
        <f>IFERROR(__xludf.DUMMYFUNCTION("""COMPUTED_VALUE"""),"Kings college, London")</f>
        <v>Kings college, London</v>
      </c>
      <c r="G2" s="49" t="str">
        <f>IFERROR(__xludf.DUMMYFUNCTION("""COMPUTED_VALUE"""),"Dr. Sunil Moore,Ms. Supriya Mathew,Ms. Jessica Moule,Ms. Andreea Mihaila")</f>
        <v>Dr. Sunil Moore,Ms. Supriya Mathew,Ms. Jessica Moule,Ms. Andreea Mihaila</v>
      </c>
      <c r="H2" s="50" t="str">
        <f>IFERROR(__xludf.DUMMYFUNCTION("""COMPUTED_VALUE"""),"https://drive.google.com/file/d/1uWkBeslpRL2XJ8yIRV63fMBm1wPwibKU/view?usp=sharing")</f>
        <v>https://drive.google.com/file/d/1uWkBeslpRL2XJ8yIRV63fMBm1wPwibKU/view?usp=sharing</v>
      </c>
      <c r="I2" s="49" t="str">
        <f>IFERROR(__xludf.DUMMYFUNCTION("""COMPUTED_VALUE"""),"Dayananda Sagar Institution, Campus 1,MCA Seminar Hall")</f>
        <v>Dayananda Sagar Institution, Campus 1,MCA Seminar Hall</v>
      </c>
      <c r="J2" s="56" t="str">
        <f>IFERROR(__xludf.DUMMYFUNCTION("""COMPUTED_VALUE"""),"31-1-2023 Kings college London")</f>
        <v>31-1-2023 Kings college London</v>
      </c>
    </row>
    <row r="3">
      <c r="A3" s="49"/>
      <c r="B3" s="55">
        <f>IFERROR(__xludf.DUMMYFUNCTION("""COMPUTED_VALUE"""),44965.0)</f>
        <v>44965</v>
      </c>
      <c r="C3" s="49" t="str">
        <f>IFERROR(__xludf.DUMMYFUNCTION("""COMPUTED_VALUE"""),"Seminar")</f>
        <v>Seminar</v>
      </c>
      <c r="D3" s="49" t="str">
        <f>IFERROR(__xludf.DUMMYFUNCTION("""COMPUTED_VALUE"""),"Dr. Steve McKenna, Associate Professor")</f>
        <v>Dr. Steve McKenna, Associate Professor</v>
      </c>
      <c r="E3" s="49" t="str">
        <f>IFERROR(__xludf.DUMMYFUNCTION("""COMPUTED_VALUE"""),"1st year MBA students")</f>
        <v>1st year MBA students</v>
      </c>
      <c r="F3" s="49" t="str">
        <f>IFERROR(__xludf.DUMMYFUNCTION("""COMPUTED_VALUE"""),"Curtin Business School Curtin University")</f>
        <v>Curtin Business School Curtin University</v>
      </c>
      <c r="G3" s="49" t="str">
        <f>IFERROR(__xludf.DUMMYFUNCTION("""COMPUTED_VALUE"""),"Prof Nagaraj Subbarao,Ms. Supriya Mathew,Dr. Lakshmi Jagannathan")</f>
        <v>Prof Nagaraj Subbarao,Ms. Supriya Mathew,Dr. Lakshmi Jagannathan</v>
      </c>
      <c r="H3" s="56" t="str">
        <f>IFERROR(__xludf.DUMMYFUNCTION("""COMPUTED_VALUE"""),"Dr. Steve McKenna seminar report.pdf")</f>
        <v>Dr. Steve McKenna seminar report.pdf</v>
      </c>
      <c r="I3" s="49" t="str">
        <f>IFERROR(__xludf.DUMMYFUNCTION("""COMPUTED_VALUE"""),"Dayananda Sagar University, Campus 3,MBA room 18-19")</f>
        <v>Dayananda Sagar University, Campus 3,MBA room 18-19</v>
      </c>
      <c r="J3" s="50" t="str">
        <f>IFERROR(__xludf.DUMMYFUNCTION("""COMPUTED_VALUE"""),"https://drive.google.com/drive/folders/1fiblNUxoh2afzypM0vo52pNtrfkO0I9J?usp=drive_link")</f>
        <v>https://drive.google.com/drive/folders/1fiblNUxoh2afzypM0vo52pNtrfkO0I9J?usp=drive_link</v>
      </c>
    </row>
    <row r="4">
      <c r="A4" s="49"/>
      <c r="B4" s="55">
        <f>IFERROR(__xludf.DUMMYFUNCTION("""COMPUTED_VALUE"""),44968.0)</f>
        <v>44968</v>
      </c>
      <c r="C4" s="49" t="str">
        <f>IFERROR(__xludf.DUMMYFUNCTION("""COMPUTED_VALUE"""),"PhotoShoot")</f>
        <v>PhotoShoot</v>
      </c>
      <c r="D4" s="49" t="str">
        <f>IFERROR(__xludf.DUMMYFUNCTION("""COMPUTED_VALUE"""),"Department of International Affairs")</f>
        <v>Department of International Affairs</v>
      </c>
      <c r="E4" s="49" t="str">
        <f>IFERROR(__xludf.DUMMYFUNCTION("""COMPUTED_VALUE"""),"DSU")</f>
        <v>DSU</v>
      </c>
      <c r="F4" s="49"/>
      <c r="G4" s="49" t="str">
        <f>IFERROR(__xludf.DUMMYFUNCTION("""COMPUTED_VALUE"""),"DSU")</f>
        <v>DSU</v>
      </c>
      <c r="H4" s="49"/>
      <c r="I4" s="49" t="str">
        <f>IFERROR(__xludf.DUMMYFUNCTION("""COMPUTED_VALUE"""),"Dayananda Sagar University , Campus -4")</f>
        <v>Dayananda Sagar University , Campus -4</v>
      </c>
      <c r="J4" s="49"/>
    </row>
    <row r="5">
      <c r="A5" s="49"/>
      <c r="B5" s="55">
        <f>IFERROR(__xludf.DUMMYFUNCTION("""COMPUTED_VALUE"""),44977.0)</f>
        <v>44977</v>
      </c>
      <c r="C5" s="49" t="str">
        <f>IFERROR(__xludf.DUMMYFUNCTION("""COMPUTED_VALUE"""),"Seminar")</f>
        <v>Seminar</v>
      </c>
      <c r="D5" s="49" t="str">
        <f>IFERROR(__xludf.DUMMYFUNCTION("""COMPUTED_VALUE"""),"Dr. Mahendra Sunkara")</f>
        <v>Dr. Mahendra Sunkara</v>
      </c>
      <c r="E5" s="49" t="str">
        <f>IFERROR(__xludf.DUMMYFUNCTION("""COMPUTED_VALUE"""),"aeronutical engineering")</f>
        <v>aeronutical engineering</v>
      </c>
      <c r="F5" s="49" t="str">
        <f>IFERROR(__xludf.DUMMYFUNCTION("""COMPUTED_VALUE"""),"University of Louisville, USA")</f>
        <v>University of Louisville, USA</v>
      </c>
      <c r="G5" s="49" t="str">
        <f>IFERROR(__xludf.DUMMYFUNCTION("""COMPUTED_VALUE"""),"chairman ram kunar")</f>
        <v>chairman ram kunar</v>
      </c>
      <c r="H5" s="50" t="str">
        <f>IFERROR(__xludf.DUMMYFUNCTION("""COMPUTED_VALUE"""),"https://drive.google.com/file/d/1aiGw6cgX7lg0zxywmCFdB3rwkezmULk7/view?usp=sharing")</f>
        <v>https://drive.google.com/file/d/1aiGw6cgX7lg0zxywmCFdB3rwkezmULk7/view?usp=sharing</v>
      </c>
      <c r="I5" s="49" t="str">
        <f>IFERROR(__xludf.DUMMYFUNCTION("""COMPUTED_VALUE"""),"Dayananda Sagar University, Campus 3,seminer room")</f>
        <v>Dayananda Sagar University, Campus 3,seminer room</v>
      </c>
      <c r="J5" s="50" t="str">
        <f>IFERROR(__xludf.DUMMYFUNCTION("""COMPUTED_VALUE"""),"https://drive.google.com/drive/folders/1aILR2uqp3hwCAcxwqe094fOSvKG4vyYJ?usp=drive_link")</f>
        <v>https://drive.google.com/drive/folders/1aILR2uqp3hwCAcxwqe094fOSvKG4vyYJ?usp=drive_link</v>
      </c>
    </row>
    <row r="6">
      <c r="A6" s="49"/>
      <c r="B6" s="55">
        <f>IFERROR(__xludf.DUMMYFUNCTION("""COMPUTED_VALUE"""),44985.0)</f>
        <v>44985</v>
      </c>
      <c r="C6" s="49" t="str">
        <f>IFERROR(__xludf.DUMMYFUNCTION("""COMPUTED_VALUE"""),"Education Fair")</f>
        <v>Education Fair</v>
      </c>
      <c r="D6" s="49" t="str">
        <f>IFERROR(__xludf.DUMMYFUNCTION("""COMPUTED_VALUE"""),"Ms. Neetu Verma")</f>
        <v>Ms. Neetu Verma</v>
      </c>
      <c r="E6" s="49" t="str">
        <f>IFERROR(__xludf.DUMMYFUNCTION("""COMPUTED_VALUE"""),"students")</f>
        <v>students</v>
      </c>
      <c r="F6" s="49"/>
      <c r="G6" s="49" t="str">
        <f>IFERROR(__xludf.DUMMYFUNCTION("""COMPUTED_VALUE"""),"all France University")</f>
        <v>all France University</v>
      </c>
      <c r="H6" s="50" t="str">
        <f>IFERROR(__xludf.DUMMYFUNCTION("""COMPUTED_VALUE"""),"https://drive.google.com/file/d/1bC-_uDPnjABTySoAdU6x4ddHgKEuzrGM/view?usp=sharing")</f>
        <v>https://drive.google.com/file/d/1bC-_uDPnjABTySoAdU6x4ddHgKEuzrGM/view?usp=sharing</v>
      </c>
      <c r="I6" s="49" t="str">
        <f>IFERROR(__xludf.DUMMYFUNCTION("""COMPUTED_VALUE"""),"Taj hotel MG Road")</f>
        <v>Taj hotel MG Road</v>
      </c>
      <c r="J6" s="50" t="str">
        <f>IFERROR(__xludf.DUMMYFUNCTION("""COMPUTED_VALUE"""),"https://drive.google.com/file/d/1-pfpU5i1PI8jsuH8DH37AOs_ZInRnW-y/view?usp=drive_link")</f>
        <v>https://drive.google.com/file/d/1-pfpU5i1PI8jsuH8DH37AOs_ZInRnW-y/view?usp=drive_link</v>
      </c>
    </row>
    <row r="7">
      <c r="A7" s="49"/>
      <c r="B7" s="55">
        <f>IFERROR(__xludf.DUMMYFUNCTION("""COMPUTED_VALUE"""),44992.0)</f>
        <v>44992</v>
      </c>
      <c r="C7" s="49" t="str">
        <f>IFERROR(__xludf.DUMMYFUNCTION("""COMPUTED_VALUE"""),"Webinar")</f>
        <v>Webinar</v>
      </c>
      <c r="D7" s="49" t="str">
        <f>IFERROR(__xludf.DUMMYFUNCTION("""COMPUTED_VALUE"""),"Mr. Raj Vangapandu, President")</f>
        <v>Mr. Raj Vangapandu, President</v>
      </c>
      <c r="E7" s="49" t="str">
        <f>IFERROR(__xludf.DUMMYFUNCTION("""COMPUTED_VALUE"""),"engineering student")</f>
        <v>engineering student</v>
      </c>
      <c r="F7" s="49"/>
      <c r="G7" s="49" t="str">
        <f>IFERROR(__xludf.DUMMYFUNCTION("""COMPUTED_VALUE"""),"Prof. Vinayak Hemadr, Ms. Supriya Mathew")</f>
        <v>Prof. Vinayak Hemadr, Ms. Supriya Mathew</v>
      </c>
      <c r="H7" s="50" t="str">
        <f>IFERROR(__xludf.DUMMYFUNCTION("""COMPUTED_VALUE"""),"https://drive.google.com/file/d/1bFmJ04XM9kPOGGiWN9de9B-cUEJ4Ik-3/view?usp=sharing")</f>
        <v>https://drive.google.com/file/d/1bFmJ04XM9kPOGGiWN9de9B-cUEJ4Ik-3/view?usp=sharing</v>
      </c>
      <c r="I7" s="49" t="str">
        <f>IFERROR(__xludf.DUMMYFUNCTION("""COMPUTED_VALUE"""),"Dayananda sagar university")</f>
        <v>Dayananda sagar university</v>
      </c>
      <c r="J7" s="50" t="str">
        <f>IFERROR(__xludf.DUMMYFUNCTION("""COMPUTED_VALUE"""),"https://drive.google.com/file/d/1Tr_mzRFBYsGA7iBc1zT0RTIc1Y5PeST0/view?usp=drive_link")</f>
        <v>https://drive.google.com/file/d/1Tr_mzRFBYsGA7iBc1zT0RTIc1Y5PeST0/view?usp=drive_link</v>
      </c>
    </row>
    <row r="8">
      <c r="A8" s="49"/>
      <c r="B8" s="55">
        <f>IFERROR(__xludf.DUMMYFUNCTION("""COMPUTED_VALUE"""),44994.0)</f>
        <v>44994</v>
      </c>
      <c r="C8" s="49" t="str">
        <f>IFERROR(__xludf.DUMMYFUNCTION("""COMPUTED_VALUE"""),"Education Fair")</f>
        <v>Education Fair</v>
      </c>
      <c r="D8" s="49" t="str">
        <f>IFERROR(__xludf.DUMMYFUNCTION("""COMPUTED_VALUE"""),"Ms. Margo GIRARD")</f>
        <v>Ms. Margo GIRARD</v>
      </c>
      <c r="E8" s="49" t="str">
        <f>IFERROR(__xludf.DUMMYFUNCTION("""COMPUTED_VALUE"""),"students")</f>
        <v>students</v>
      </c>
      <c r="F8" s="49"/>
      <c r="G8" s="49" t="str">
        <f>IFERROR(__xludf.DUMMYFUNCTION("""COMPUTED_VALUE"""),"all France University")</f>
        <v>all France University</v>
      </c>
      <c r="H8" s="50" t="str">
        <f>IFERROR(__xludf.DUMMYFUNCTION("""COMPUTED_VALUE"""),"https://drive.google.com/file/d/1bNm4pRWX2vNx1DJRfFB2ZYKwM4K9ieZJ/view?usp=sharing")</f>
        <v>https://drive.google.com/file/d/1bNm4pRWX2vNx1DJRfFB2ZYKwM4K9ieZJ/view?usp=sharing</v>
      </c>
      <c r="I8" s="49" t="str">
        <f>IFERROR(__xludf.DUMMYFUNCTION("""COMPUTED_VALUE"""),"JSS Academy of Higher Education, JSS Medical College")</f>
        <v>JSS Academy of Higher Education, JSS Medical College</v>
      </c>
      <c r="J8" s="50" t="str">
        <f>IFERROR(__xludf.DUMMYFUNCTION("""COMPUTED_VALUE"""),"https://drive.google.com/drive/folders/1PgCoGAwuQyYKqVJfyqPam5KMue2N9LDV?usp=drive_link")</f>
        <v>https://drive.google.com/drive/folders/1PgCoGAwuQyYKqVJfyqPam5KMue2N9LDV?usp=drive_link</v>
      </c>
    </row>
    <row r="9">
      <c r="A9" s="49"/>
      <c r="B9" s="55">
        <f>IFERROR(__xludf.DUMMYFUNCTION("""COMPUTED_VALUE"""),44995.0)</f>
        <v>44995</v>
      </c>
      <c r="C9" s="49" t="str">
        <f>IFERROR(__xludf.DUMMYFUNCTION("""COMPUTED_VALUE"""),"Seminar")</f>
        <v>Seminar</v>
      </c>
      <c r="D9" s="49" t="str">
        <f>IFERROR(__xludf.DUMMYFUNCTION("""COMPUTED_VALUE"""),"Mr. Ani Agnihotri,CEO")</f>
        <v>Mr. Ani Agnihotri,CEO</v>
      </c>
      <c r="E9" s="49" t="str">
        <f>IFERROR(__xludf.DUMMYFUNCTION("""COMPUTED_VALUE"""),"DSU")</f>
        <v>DSU</v>
      </c>
      <c r="F9" s="49" t="str">
        <f>IFERROR(__xludf.DUMMYFUNCTION("""COMPUTED_VALUE"""),"Marshall Automation, USA")</f>
        <v>Marshall Automation, USA</v>
      </c>
      <c r="G9" s="49" t="str">
        <f>IFERROR(__xludf.DUMMYFUNCTION("""COMPUTED_VALUE"""),"DSU")</f>
        <v>DSU</v>
      </c>
      <c r="H9" s="50" t="str">
        <f>IFERROR(__xludf.DUMMYFUNCTION("""COMPUTED_VALUE"""),"https://drive.google.com/file/d/1bV3_x-v4Su361j-WGnLokONQkNFieQ_9/view?usp=sharing")</f>
        <v>https://drive.google.com/file/d/1bV3_x-v4Su361j-WGnLokONQkNFieQ_9/view?usp=sharing</v>
      </c>
      <c r="I9" s="49" t="str">
        <f>IFERROR(__xludf.DUMMYFUNCTION("""COMPUTED_VALUE"""),"Dayananda sagar university , campus 3")</f>
        <v>Dayananda sagar university , campus 3</v>
      </c>
      <c r="J9" s="50" t="str">
        <f>IFERROR(__xludf.DUMMYFUNCTION("""COMPUTED_VALUE"""),"https://drive.google.com/file/d/1MGPcFSuiMQluGFn8uWDV8oAtcu3WIcrk/view?usp=drive_link")</f>
        <v>https://drive.google.com/file/d/1MGPcFSuiMQluGFn8uWDV8oAtcu3WIcrk/view?usp=drive_link</v>
      </c>
    </row>
    <row r="10">
      <c r="A10" s="49"/>
      <c r="B10" s="55">
        <f>IFERROR(__xludf.DUMMYFUNCTION("""COMPUTED_VALUE"""),45001.0)</f>
        <v>45001</v>
      </c>
      <c r="C10" s="49" t="str">
        <f>IFERROR(__xludf.DUMMYFUNCTION("""COMPUTED_VALUE"""),"Seminar")</f>
        <v>Seminar</v>
      </c>
      <c r="D10" s="49" t="str">
        <f>IFERROR(__xludf.DUMMYFUNCTION("""COMPUTED_VALUE"""),"Ms. Savana Pires, Professor")</f>
        <v>Ms. Savana Pires, Professor</v>
      </c>
      <c r="E10" s="49" t="str">
        <f>IFERROR(__xludf.DUMMYFUNCTION("""COMPUTED_VALUE"""),"DSU")</f>
        <v>DSU</v>
      </c>
      <c r="F10" s="49" t="str">
        <f>IFERROR(__xludf.DUMMYFUNCTION("""COMPUTED_VALUE"""),"Porto Business School, Portugal")</f>
        <v>Porto Business School, Portugal</v>
      </c>
      <c r="G10" s="49" t="str">
        <f>IFERROR(__xludf.DUMMYFUNCTION("""COMPUTED_VALUE"""),"Prof Nagaraj Subbarao")</f>
        <v>Prof Nagaraj Subbarao</v>
      </c>
      <c r="H10" s="49"/>
      <c r="I10" s="49" t="str">
        <f>IFERROR(__xludf.DUMMYFUNCTION("""COMPUTED_VALUE"""),"Dayananda sagar university , campus 3")</f>
        <v>Dayananda sagar university , campus 3</v>
      </c>
      <c r="J10" s="49"/>
    </row>
    <row r="11">
      <c r="A11" s="49"/>
      <c r="B11" s="55">
        <f>IFERROR(__xludf.DUMMYFUNCTION("""COMPUTED_VALUE"""),45001.0)</f>
        <v>45001</v>
      </c>
      <c r="C11" s="49"/>
      <c r="D11" s="49" t="str">
        <f>IFERROR(__xludf.DUMMYFUNCTION("""COMPUTED_VALUE"""),"Ms. Golda MALHOTRA")</f>
        <v>Ms. Golda MALHOTRA</v>
      </c>
      <c r="E11" s="49" t="str">
        <f>IFERROR(__xludf.DUMMYFUNCTION("""COMPUTED_VALUE"""),"aeronutical engineering")</f>
        <v>aeronutical engineering</v>
      </c>
      <c r="F11" s="49"/>
      <c r="G11" s="49" t="str">
        <f>IFERROR(__xludf.DUMMYFUNCTION("""COMPUTED_VALUE"""),"DSU students")</f>
        <v>DSU students</v>
      </c>
      <c r="H11" s="49"/>
      <c r="I11" s="49" t="str">
        <f>IFERROR(__xludf.DUMMYFUNCTION("""COMPUTED_VALUE"""),"Dayananda sagar university , campus 3")</f>
        <v>Dayananda sagar university , campus 3</v>
      </c>
      <c r="J11" s="49"/>
    </row>
    <row r="12">
      <c r="A12" s="49"/>
      <c r="B12" s="55">
        <f>IFERROR(__xludf.DUMMYFUNCTION("""COMPUTED_VALUE"""),45012.0)</f>
        <v>45012</v>
      </c>
      <c r="C12" s="49" t="str">
        <f>IFERROR(__xludf.DUMMYFUNCTION("""COMPUTED_VALUE"""),"Seminar/ Agent")</f>
        <v>Seminar/ Agent</v>
      </c>
      <c r="D12" s="49" t="str">
        <f>IFERROR(__xludf.DUMMYFUNCTION("""COMPUTED_VALUE"""),"Wallick Globel Consulting")</f>
        <v>Wallick Globel Consulting</v>
      </c>
      <c r="E12" s="49" t="str">
        <f>IFERROR(__xludf.DUMMYFUNCTION("""COMPUTED_VALUE"""),"computer science engineering departments")</f>
        <v>computer science engineering departments</v>
      </c>
      <c r="F12" s="49"/>
      <c r="G12" s="49" t="str">
        <f>IFERROR(__xludf.DUMMYFUNCTION("""COMPUTED_VALUE"""),"DSU students")</f>
        <v>DSU students</v>
      </c>
      <c r="H12" s="49"/>
      <c r="I12" s="49" t="str">
        <f>IFERROR(__xludf.DUMMYFUNCTION("""COMPUTED_VALUE"""),"Dayananda sagar university , campus 3")</f>
        <v>Dayananda sagar university , campus 3</v>
      </c>
      <c r="J12" s="49"/>
    </row>
    <row r="13">
      <c r="A13" s="49"/>
      <c r="B13" s="55">
        <f>IFERROR(__xludf.DUMMYFUNCTION("""COMPUTED_VALUE"""),45027.0)</f>
        <v>45027</v>
      </c>
      <c r="C13" s="49" t="str">
        <f>IFERROR(__xludf.DUMMYFUNCTION("""COMPUTED_VALUE"""),"Seminar / MoU")</f>
        <v>Seminar / MoU</v>
      </c>
      <c r="D13" s="49" t="str">
        <f>IFERROR(__xludf.DUMMYFUNCTION("""COMPUTED_VALUE"""),"Ms. Lucille Guillet, Professor, MBway ,France")</f>
        <v>Ms. Lucille Guillet, Professor, MBway ,France</v>
      </c>
      <c r="E13" s="49" t="str">
        <f>IFERROR(__xludf.DUMMYFUNCTION("""COMPUTED_VALUE"""),"DSU")</f>
        <v>DSU</v>
      </c>
      <c r="F13" s="49" t="str">
        <f>IFERROR(__xludf.DUMMYFUNCTION("""COMPUTED_VALUE"""),"MBWay school France")</f>
        <v>MBWay school France</v>
      </c>
      <c r="G13" s="49" t="str">
        <f>IFERROR(__xludf.DUMMYFUNCTION("""COMPUTED_VALUE"""),"DSU")</f>
        <v>DSU</v>
      </c>
      <c r="H13" s="49"/>
      <c r="I13" s="49" t="str">
        <f>IFERROR(__xludf.DUMMYFUNCTION("""COMPUTED_VALUE"""),"Dayananda sagar university , campus 3")</f>
        <v>Dayananda sagar university , campus 3</v>
      </c>
      <c r="J13" s="49"/>
    </row>
    <row r="14">
      <c r="A14" s="49"/>
      <c r="B14" s="55">
        <f>IFERROR(__xludf.DUMMYFUNCTION("""COMPUTED_VALUE"""),45027.0)</f>
        <v>45027</v>
      </c>
      <c r="C14" s="49" t="str">
        <f>IFERROR(__xludf.DUMMYFUNCTION("""COMPUTED_VALUE"""),"Seminar/ MoU")</f>
        <v>Seminar/ MoU</v>
      </c>
      <c r="D14" s="49" t="str">
        <f>IFERROR(__xludf.DUMMYFUNCTION("""COMPUTED_VALUE"""),"Dr. Francois Xavier Mortreuil, Attaché")</f>
        <v>Dr. Francois Xavier Mortreuil, Attaché</v>
      </c>
      <c r="E14" s="49" t="str">
        <f>IFERROR(__xludf.DUMMYFUNCTION("""COMPUTED_VALUE"""),"engineering student")</f>
        <v>engineering student</v>
      </c>
      <c r="F14" s="49" t="str">
        <f>IFERROR(__xludf.DUMMYFUNCTION("""COMPUTED_VALUE"""),"France Embassy France")</f>
        <v>France Embassy France</v>
      </c>
      <c r="G14" s="49" t="str">
        <f>IFERROR(__xludf.DUMMYFUNCTION("""COMPUTED_VALUE"""),"Dr. Francois Xavier Mortreuil, Attaché for Sciences and Higher Education French Embassy in India,Ms. Lucille Guillet, Officer for scientific &amp; academic cooperation,Dr. Oindrilla De, Deputy Attaché for scientific &amp; academic cooperation,Mr. Ankit Soni, Mana"&amp;"ger, International Relations and Admissions, MBway, France,Mr. Yash Khakhar, Manager, Campus France India")</f>
        <v>Dr. Francois Xavier Mortreuil, Attaché for Sciences and Higher Education French Embassy in India,Ms. Lucille Guillet, Officer for scientific &amp; academic cooperation,Dr. Oindrilla De, Deputy Attaché for scientific &amp; academic cooperation,Mr. Ankit Soni, Manager, International Relations and Admissions, MBway, France,Mr. Yash Khakhar, Manager, Campus France India</v>
      </c>
      <c r="H14" s="50" t="str">
        <f>IFERROR(__xludf.DUMMYFUNCTION("""COMPUTED_VALUE"""),"https://drive.google.com/file/d/1JVXIWT1AOrl0K1sbDmFt-mYuE64zaWFK/view?usp=sharing")</f>
        <v>https://drive.google.com/file/d/1JVXIWT1AOrl0K1sbDmFt-mYuE64zaWFK/view?usp=sharing</v>
      </c>
      <c r="I14" s="49"/>
      <c r="J14" s="50" t="str">
        <f>IFERROR(__xludf.DUMMYFUNCTION("""COMPUTED_VALUE"""),"https://drive.google.com/file/d/1mPDynQp7J0vuKMIE1jbcN1qb535XleQz/view?usp=drive_link")</f>
        <v>https://drive.google.com/file/d/1mPDynQp7J0vuKMIE1jbcN1qb535XleQz/view?usp=drive_link</v>
      </c>
    </row>
    <row r="15">
      <c r="A15" s="49"/>
      <c r="B15" s="55">
        <f>IFERROR(__xludf.DUMMYFUNCTION("""COMPUTED_VALUE"""),45029.0)</f>
        <v>45029</v>
      </c>
      <c r="C15" s="49" t="str">
        <f>IFERROR(__xludf.DUMMYFUNCTION("""COMPUTED_VALUE"""),"Webinar")</f>
        <v>Webinar</v>
      </c>
      <c r="D15" s="49" t="str">
        <f>IFERROR(__xludf.DUMMYFUNCTION("""COMPUTED_VALUE"""),"Ms. Eliana Risicato")</f>
        <v>Ms. Eliana Risicato</v>
      </c>
      <c r="E15" s="49" t="str">
        <f>IFERROR(__xludf.DUMMYFUNCTION("""COMPUTED_VALUE"""),"DSU")</f>
        <v>DSU</v>
      </c>
      <c r="F15" s="49" t="str">
        <f>IFERROR(__xludf.DUMMYFUNCTION("""COMPUTED_VALUE"""),"University of Messina, Italy")</f>
        <v>University of Messina, Italy</v>
      </c>
      <c r="G15" s="49" t="str">
        <f>IFERROR(__xludf.DUMMYFUNCTION("""COMPUTED_VALUE"""),"Ms. Eliana Risicato")</f>
        <v>Ms. Eliana Risicato</v>
      </c>
      <c r="H15" s="49"/>
      <c r="I15" s="49" t="str">
        <f>IFERROR(__xludf.DUMMYFUNCTION("""COMPUTED_VALUE"""),"Dayananda sagar university , campus 3")</f>
        <v>Dayananda sagar university , campus 3</v>
      </c>
      <c r="J15" s="49"/>
    </row>
    <row r="16">
      <c r="A16" s="49"/>
      <c r="B16" s="55">
        <f>IFERROR(__xludf.DUMMYFUNCTION("""COMPUTED_VALUE"""),45035.0)</f>
        <v>45035</v>
      </c>
      <c r="C16" s="49" t="str">
        <f>IFERROR(__xludf.DUMMYFUNCTION("""COMPUTED_VALUE"""),"Seminar")</f>
        <v>Seminar</v>
      </c>
      <c r="D16" s="49" t="str">
        <f>IFERROR(__xludf.DUMMYFUNCTION("""COMPUTED_VALUE"""),"Dr. Sampatrao L Pinjare , Professor")</f>
        <v>Dr. Sampatrao L Pinjare , Professor</v>
      </c>
      <c r="E16" s="49" t="str">
        <f>IFERROR(__xludf.DUMMYFUNCTION("""COMPUTED_VALUE"""),"DSU")</f>
        <v>DSU</v>
      </c>
      <c r="F16" s="49" t="str">
        <f>IFERROR(__xludf.DUMMYFUNCTION("""COMPUTED_VALUE"""),"NMIT, India")</f>
        <v>NMIT, India</v>
      </c>
      <c r="G16" s="49" t="str">
        <f>IFERROR(__xludf.DUMMYFUNCTION("""COMPUTED_VALUE"""),"DSU")</f>
        <v>DSU</v>
      </c>
      <c r="H16" s="49"/>
      <c r="I16" s="49" t="str">
        <f>IFERROR(__xludf.DUMMYFUNCTION("""COMPUTED_VALUE"""),"Dayananda sagar university , campus 3")</f>
        <v>Dayananda sagar university , campus 3</v>
      </c>
      <c r="J16" s="49"/>
    </row>
    <row r="17">
      <c r="A17" s="49"/>
      <c r="B17" s="55">
        <f>IFERROR(__xludf.DUMMYFUNCTION("""COMPUTED_VALUE"""),45035.0)</f>
        <v>45035</v>
      </c>
      <c r="C17" s="49" t="str">
        <f>IFERROR(__xludf.DUMMYFUNCTION("""COMPUTED_VALUE"""),"Seminar")</f>
        <v>Seminar</v>
      </c>
      <c r="D17" s="49" t="str">
        <f>IFERROR(__xludf.DUMMYFUNCTION("""COMPUTED_VALUE"""),"Mr.  Prof.Dr. Sudhanshu Rai,Associate Professor, Mr. Michael Christiansenl, Chief Consultant")</f>
        <v>Mr.  Prof.Dr. Sudhanshu Rai,Associate Professor, Mr. Michael Christiansenl, Chief Consultant</v>
      </c>
      <c r="E17" s="49" t="str">
        <f>IFERROR(__xludf.DUMMYFUNCTION("""COMPUTED_VALUE"""),"DSU")</f>
        <v>DSU</v>
      </c>
      <c r="F17" s="49" t="str">
        <f>IFERROR(__xludf.DUMMYFUNCTION("""COMPUTED_VALUE"""),"Copenhagen Business School")</f>
        <v>Copenhagen Business School</v>
      </c>
      <c r="G17" s="49" t="str">
        <f>IFERROR(__xludf.DUMMYFUNCTION("""COMPUTED_VALUE"""),"DSU")</f>
        <v>DSU</v>
      </c>
      <c r="H17" s="50" t="str">
        <f>IFERROR(__xludf.DUMMYFUNCTION("""COMPUTED_VALUE"""),"https://drive.google.com/file/d/1br6A_YCp67GoiOtxCUGYpzvmOnoYMCxS/view?usp=sharing")</f>
        <v>https://drive.google.com/file/d/1br6A_YCp67GoiOtxCUGYpzvmOnoYMCxS/view?usp=sharing</v>
      </c>
      <c r="I17" s="49" t="str">
        <f>IFERROR(__xludf.DUMMYFUNCTION("""COMPUTED_VALUE"""),"Dayananda sagar university , campus 3")</f>
        <v>Dayananda sagar university , campus 3</v>
      </c>
      <c r="J17" s="50" t="str">
        <f>IFERROR(__xludf.DUMMYFUNCTION("""COMPUTED_VALUE"""),"https://drive.google.com/file/d/1gjNgbE_AeOV5twW8xqnbMW1sdY8CIpEa/view?usp=drive_link")</f>
        <v>https://drive.google.com/file/d/1gjNgbE_AeOV5twW8xqnbMW1sdY8CIpEa/view?usp=drive_link</v>
      </c>
    </row>
    <row r="18">
      <c r="A18" s="49"/>
      <c r="B18" s="55">
        <f>IFERROR(__xludf.DUMMYFUNCTION("""COMPUTED_VALUE"""),45048.0)</f>
        <v>45048</v>
      </c>
      <c r="C18" s="49" t="str">
        <f>IFERROR(__xludf.DUMMYFUNCTION("""COMPUTED_VALUE"""),"Seminar")</f>
        <v>Seminar</v>
      </c>
      <c r="D18" s="49" t="str">
        <f>IFERROR(__xludf.DUMMYFUNCTION("""COMPUTED_VALUE"""),"Mr. Ben Boman, Director Mr. Patrik Lindergren,CTO Ms. Merlin, Delegate")</f>
        <v>Mr. Ben Boman, Director Mr. Patrik Lindergren,CTO Ms. Merlin, Delegate</v>
      </c>
      <c r="E18" s="49" t="str">
        <f>IFERROR(__xludf.DUMMYFUNCTION("""COMPUTED_VALUE"""),"DSU students")</f>
        <v>DSU students</v>
      </c>
      <c r="F18" s="49" t="str">
        <f>IFERROR(__xludf.DUMMYFUNCTION("""COMPUTED_VALUE"""),"Vialumina &amp; Kibbcom - Sweden")</f>
        <v>Vialumina &amp; Kibbcom - Sweden</v>
      </c>
      <c r="G18" s="49" t="str">
        <f>IFERROR(__xludf.DUMMYFUNCTION("""COMPUTED_VALUE"""),"Kibbcom Team &amp; Vialumina Team")</f>
        <v>Kibbcom Team &amp; Vialumina Team</v>
      </c>
      <c r="H18" s="49"/>
      <c r="I18" s="49" t="str">
        <f>IFERROR(__xludf.DUMMYFUNCTION("""COMPUTED_VALUE"""),"Dayananda Sagar University , Campus 3")</f>
        <v>Dayananda Sagar University , Campus 3</v>
      </c>
      <c r="J18" s="49"/>
    </row>
    <row r="19">
      <c r="A19" s="49"/>
      <c r="B19" s="55">
        <f>IFERROR(__xludf.DUMMYFUNCTION("""COMPUTED_VALUE"""),45054.0)</f>
        <v>45054</v>
      </c>
      <c r="C19" s="49" t="str">
        <f>IFERROR(__xludf.DUMMYFUNCTION("""COMPUTED_VALUE"""),"Seminar")</f>
        <v>Seminar</v>
      </c>
      <c r="D19" s="49" t="str">
        <f>IFERROR(__xludf.DUMMYFUNCTION("""COMPUTED_VALUE"""),"Ms. Ananya Venkat, manager")</f>
        <v>Ms. Ananya Venkat, manager</v>
      </c>
      <c r="E19" s="49" t="str">
        <f>IFERROR(__xludf.DUMMYFUNCTION("""COMPUTED_VALUE"""),"DSU students")</f>
        <v>DSU students</v>
      </c>
      <c r="F19" s="49" t="str">
        <f>IFERROR(__xludf.DUMMYFUNCTION("""COMPUTED_VALUE"""),"AppsQuiver")</f>
        <v>AppsQuiver</v>
      </c>
      <c r="G19" s="49" t="str">
        <f>IFERROR(__xludf.DUMMYFUNCTION("""COMPUTED_VALUE"""),"AppsQuiver Team Online")</f>
        <v>AppsQuiver Team Online</v>
      </c>
      <c r="H19" s="49"/>
      <c r="I19" s="49" t="str">
        <f>IFERROR(__xludf.DUMMYFUNCTION("""COMPUTED_VALUE"""),"Dayananda Sagar University , Campus 3")</f>
        <v>Dayananda Sagar University , Campus 3</v>
      </c>
      <c r="J19" s="49"/>
    </row>
    <row r="20">
      <c r="A20" s="49"/>
      <c r="B20" s="55">
        <f>IFERROR(__xludf.DUMMYFUNCTION("""COMPUTED_VALUE"""),45062.0)</f>
        <v>45062</v>
      </c>
      <c r="C20" s="49" t="str">
        <f>IFERROR(__xludf.DUMMYFUNCTION("""COMPUTED_VALUE"""),"Seminar")</f>
        <v>Seminar</v>
      </c>
      <c r="D20" s="49" t="str">
        <f>IFERROR(__xludf.DUMMYFUNCTION("""COMPUTED_VALUE"""),"Mr. Raj Vangapandu, President")</f>
        <v>Mr. Raj Vangapandu, President</v>
      </c>
      <c r="E20" s="49" t="str">
        <f>IFERROR(__xludf.DUMMYFUNCTION("""COMPUTED_VALUE"""),"DSU students")</f>
        <v>DSU students</v>
      </c>
      <c r="F20" s="49" t="str">
        <f>IFERROR(__xludf.DUMMYFUNCTION("""COMPUTED_VALUE"""),"Autosol German Tech Immersion - Germany")</f>
        <v>Autosol German Tech Immersion - Germany</v>
      </c>
      <c r="G20" s="49" t="str">
        <f>IFERROR(__xludf.DUMMYFUNCTION("""COMPUTED_VALUE"""),"DSU")</f>
        <v>DSU</v>
      </c>
      <c r="H20" s="49"/>
      <c r="I20" s="49" t="str">
        <f>IFERROR(__xludf.DUMMYFUNCTION("""COMPUTED_VALUE"""),"Dayananda Sagar University , Campus 3")</f>
        <v>Dayananda Sagar University , Campus 3</v>
      </c>
      <c r="J20" s="49"/>
    </row>
    <row r="21">
      <c r="A21" s="49"/>
      <c r="B21" s="55">
        <f>IFERROR(__xludf.DUMMYFUNCTION("""COMPUTED_VALUE"""),45076.0)</f>
        <v>45076</v>
      </c>
      <c r="C21" s="49" t="str">
        <f>IFERROR(__xludf.DUMMYFUNCTION("""COMPUTED_VALUE"""),"Seminar")</f>
        <v>Seminar</v>
      </c>
      <c r="D21" s="49" t="str">
        <f>IFERROR(__xludf.DUMMYFUNCTION("""COMPUTED_VALUE"""),"Dr. Ankush Aggarwal, Professor")</f>
        <v>Dr. Ankush Aggarwal, Professor</v>
      </c>
      <c r="E21" s="49" t="str">
        <f>IFERROR(__xludf.DUMMYFUNCTION("""COMPUTED_VALUE"""),"Department of Aerospace Engineering,")</f>
        <v>Department of Aerospace Engineering,</v>
      </c>
      <c r="F21" s="49" t="str">
        <f>IFERROR(__xludf.DUMMYFUNCTION("""COMPUTED_VALUE"""),"James Watt School of Engineering at the University of Glasgow")</f>
        <v>James Watt School of Engineering at the University of Glasgow</v>
      </c>
      <c r="G21" s="49" t="str">
        <f>IFERROR(__xludf.DUMMYFUNCTION("""COMPUTED_VALUE"""),"Prof. B.V.N. Ramakumar,Chairman")</f>
        <v>Prof. B.V.N. Ramakumar,Chairman</v>
      </c>
      <c r="H21" s="50" t="str">
        <f>IFERROR(__xludf.DUMMYFUNCTION("""COMPUTED_VALUE"""),"https://drive.google.com/file/d/1bvxPqwYuPyRAHabcjvXJQ9VWGPJyaJgD/view?usp=sharing")</f>
        <v>https://drive.google.com/file/d/1bvxPqwYuPyRAHabcjvXJQ9VWGPJyaJgD/view?usp=sharing</v>
      </c>
      <c r="I21" s="49" t="str">
        <f>IFERROR(__xludf.DUMMYFUNCTION("""COMPUTED_VALUE"""),"Dayananda Sagar University campus 3 ,Gallery Hall 1")</f>
        <v>Dayananda Sagar University campus 3 ,Gallery Hall 1</v>
      </c>
      <c r="J21" s="50" t="str">
        <f>IFERROR(__xludf.DUMMYFUNCTION("""COMPUTED_VALUE"""),"https://drive.google.com/file/d/1kgS0ynWg70KPKcRHHADMwH9uLtTxcPFZ/view?usp=drive_link")</f>
        <v>https://drive.google.com/file/d/1kgS0ynWg70KPKcRHHADMwH9uLtTxcPFZ/view?usp=drive_link</v>
      </c>
    </row>
    <row r="22">
      <c r="A22" s="49"/>
      <c r="B22" s="55">
        <f>IFERROR(__xludf.DUMMYFUNCTION("""COMPUTED_VALUE"""),45113.0)</f>
        <v>45113</v>
      </c>
      <c r="C22" s="49" t="str">
        <f>IFERROR(__xludf.DUMMYFUNCTION("""COMPUTED_VALUE"""),"Seminar")</f>
        <v>Seminar</v>
      </c>
      <c r="D22" s="49" t="str">
        <f>IFERROR(__xludf.DUMMYFUNCTION("""COMPUTED_VALUE"""),"Mr.Lewis Cardenas, Reginal Derictor, Ms. Preetika Sachar, Center manager")</f>
        <v>Mr.Lewis Cardenas, Reginal Derictor, Ms. Preetika Sachar, Center manager</v>
      </c>
      <c r="E22" s="49" t="str">
        <f>IFERROR(__xludf.DUMMYFUNCTION("""COMPUTED_VALUE"""),"DSU students")</f>
        <v>DSU students</v>
      </c>
      <c r="F22" s="49" t="str">
        <f>IFERROR(__xludf.DUMMYFUNCTION("""COMPUTED_VALUE"""),"Education USA Bangalore")</f>
        <v>Education USA Bangalore</v>
      </c>
      <c r="G22" s="49" t="str">
        <f>IFERROR(__xludf.DUMMYFUNCTION("""COMPUTED_VALUE"""),"DSU")</f>
        <v>DSU</v>
      </c>
      <c r="H22" s="50" t="str">
        <f>IFERROR(__xludf.DUMMYFUNCTION("""COMPUTED_VALUE"""),"https://drive.google.com/file/d/1c1VMIiY0zPRRXvZH2L8xW2tH7tBHRUdW/view?usp=sharing")</f>
        <v>https://drive.google.com/file/d/1c1VMIiY0zPRRXvZH2L8xW2tH7tBHRUdW/view?usp=sharing</v>
      </c>
      <c r="I22" s="49" t="str">
        <f>IFERROR(__xludf.DUMMYFUNCTION("""COMPUTED_VALUE"""),"Dayananda Sagar University , Campus 3")</f>
        <v>Dayananda Sagar University , Campus 3</v>
      </c>
      <c r="J22" s="50" t="str">
        <f>IFERROR(__xludf.DUMMYFUNCTION("""COMPUTED_VALUE"""),"https://drive.google.com/file/d/1IXSIDXnBZaLP6GqzITfkhPU2Y2_60KOF/view?usp=drive_link")</f>
        <v>https://drive.google.com/file/d/1IXSIDXnBZaLP6GqzITfkhPU2Y2_60KOF/view?usp=drive_link</v>
      </c>
    </row>
    <row r="23">
      <c r="A23" s="49"/>
      <c r="B23" s="55">
        <f>IFERROR(__xludf.DUMMYFUNCTION("""COMPUTED_VALUE"""),45132.0)</f>
        <v>45132</v>
      </c>
      <c r="C23" s="49" t="str">
        <f>IFERROR(__xludf.DUMMYFUNCTION("""COMPUTED_VALUE"""),"Webinar")</f>
        <v>Webinar</v>
      </c>
      <c r="D23" s="49" t="str">
        <f>IFERROR(__xludf.DUMMYFUNCTION("""COMPUTED_VALUE"""),"Dr. Amit Bhatt – Pro Vice-Chancellor,")</f>
        <v>Dr. Amit Bhatt – Pro Vice-Chancellor,</v>
      </c>
      <c r="E23" s="49"/>
      <c r="F23" s="49" t="str">
        <f>IFERROR(__xludf.DUMMYFUNCTION("""COMPUTED_VALUE"""),"Artificial Intelligence: Shaping the future of employment")</f>
        <v>Artificial Intelligence: Shaping the future of employment</v>
      </c>
      <c r="G23" s="49" t="str">
        <f>IFERROR(__xludf.DUMMYFUNCTION("""COMPUTED_VALUE"""),"DSU")</f>
        <v>DSU</v>
      </c>
      <c r="H23" s="56" t="str">
        <f>IFERROR(__xludf.DUMMYFUNCTION("""COMPUTED_VALUE"""),"REPORT ON EVENT(25-07) (1).pdf")</f>
        <v>REPORT ON EVENT(25-07) (1).pdf</v>
      </c>
      <c r="I23" s="49"/>
      <c r="J23" s="50" t="str">
        <f>IFERROR(__xludf.DUMMYFUNCTION("""COMPUTED_VALUE"""),"https://drive.google.com/file/d/1v0VQyf8axdBgEXHt8V11O5IybFQ_Kzy5/view?usp=drive_link")</f>
        <v>https://drive.google.com/file/d/1v0VQyf8axdBgEXHt8V11O5IybFQ_Kzy5/view?usp=drive_link</v>
      </c>
    </row>
    <row r="24">
      <c r="A24" s="49"/>
      <c r="B24" s="55">
        <f>IFERROR(__xludf.DUMMYFUNCTION("""COMPUTED_VALUE"""),45125.0)</f>
        <v>45125</v>
      </c>
      <c r="C24" s="49" t="str">
        <f>IFERROR(__xludf.DUMMYFUNCTION("""COMPUTED_VALUE"""),"Seminar")</f>
        <v>Seminar</v>
      </c>
      <c r="D24" s="49" t="str">
        <f>IFERROR(__xludf.DUMMYFUNCTION("""COMPUTED_VALUE"""),"Md Elmughribi , Asst-professor, Ms. Kate Brenan, Senior International Relations manager")</f>
        <v>Md Elmughribi , Asst-professor, Ms. Kate Brenan, Senior International Relations manager</v>
      </c>
      <c r="E24" s="49" t="str">
        <f>IFERROR(__xludf.DUMMYFUNCTION("""COMPUTED_VALUE"""),"School of engineering")</f>
        <v>School of engineering</v>
      </c>
      <c r="F24" s="49" t="str">
        <f>IFERROR(__xludf.DUMMYFUNCTION("""COMPUTED_VALUE"""),"University of Nottingham")</f>
        <v>University of Nottingham</v>
      </c>
      <c r="G24" s="49" t="str">
        <f>IFERROR(__xludf.DUMMYFUNCTION("""COMPUTED_VALUE"""),"DSU")</f>
        <v>DSU</v>
      </c>
      <c r="H24" s="50" t="str">
        <f>IFERROR(__xludf.DUMMYFUNCTION("""COMPUTED_VALUE"""),"https://drive.google.com/file/d/1c92Nowt2uuNgkN8XT6pR1be8YsJvSnkj/view?usp=sharing")</f>
        <v>https://drive.google.com/file/d/1c92Nowt2uuNgkN8XT6pR1be8YsJvSnkj/view?usp=sharing</v>
      </c>
      <c r="I24" s="49" t="str">
        <f>IFERROR(__xludf.DUMMYFUNCTION("""COMPUTED_VALUE"""),"Dayananda Sagar University , Campus 3")</f>
        <v>Dayananda Sagar University , Campus 3</v>
      </c>
      <c r="J24" s="56" t="str">
        <f>IFERROR(__xludf.DUMMYFUNCTION("""COMPUTED_VALUE"""),"Report on University of Nottingham.pdf")</f>
        <v>Report on University of Nottingham.pdf</v>
      </c>
    </row>
    <row r="25">
      <c r="A25" s="49"/>
      <c r="B25" s="55">
        <f>IFERROR(__xludf.DUMMYFUNCTION("""COMPUTED_VALUE"""),45174.0)</f>
        <v>45174</v>
      </c>
      <c r="C25" s="49" t="str">
        <f>IFERROR(__xludf.DUMMYFUNCTION("""COMPUTED_VALUE"""),"Seminar")</f>
        <v>Seminar</v>
      </c>
      <c r="D25" s="49" t="str">
        <f>IFERROR(__xludf.DUMMYFUNCTION("""COMPUTED_VALUE"""),"Dr.Mahendra Sunkara, Professor")</f>
        <v>Dr.Mahendra Sunkara, Professor</v>
      </c>
      <c r="E25" s="49" t="str">
        <f>IFERROR(__xludf.DUMMYFUNCTION("""COMPUTED_VALUE"""),"DSU students")</f>
        <v>DSU students</v>
      </c>
      <c r="F25" s="49" t="str">
        <f>IFERROR(__xludf.DUMMYFUNCTION("""COMPUTED_VALUE"""),"University of Louisville")</f>
        <v>University of Louisville</v>
      </c>
      <c r="G25" s="49" t="str">
        <f>IFERROR(__xludf.DUMMYFUNCTION("""COMPUTED_VALUE"""),"DSU")</f>
        <v>DSU</v>
      </c>
      <c r="H25" s="56" t="str">
        <f>IFERROR(__xludf.DUMMYFUNCTION("""COMPUTED_VALUE"""),"REPORT ON EVENT(05-09).pdf")</f>
        <v>REPORT ON EVENT(05-09).pdf</v>
      </c>
      <c r="I25" s="49" t="str">
        <f>IFERROR(__xludf.DUMMYFUNCTION("""COMPUTED_VALUE"""),"Dayananda Sagar University,Campus 3")</f>
        <v>Dayananda Sagar University,Campus 3</v>
      </c>
      <c r="J25" s="56" t="str">
        <f>IFERROR(__xludf.DUMMYFUNCTION("""COMPUTED_VALUE"""),"REPORT ON EVENT(05-09).pdf")</f>
        <v>REPORT ON EVENT(05-09).pdf</v>
      </c>
    </row>
    <row r="26">
      <c r="A26" s="49"/>
      <c r="B26" s="55">
        <f>IFERROR(__xludf.DUMMYFUNCTION("""COMPUTED_VALUE"""),45181.0)</f>
        <v>45181</v>
      </c>
      <c r="C26" s="49" t="str">
        <f>IFERROR(__xludf.DUMMYFUNCTION("""COMPUTED_VALUE"""),"Guest Lecture")</f>
        <v>Guest Lecture</v>
      </c>
      <c r="D26" s="49" t="str">
        <f>IFERROR(__xludf.DUMMYFUNCTION("""COMPUTED_VALUE"""),"Mr. Steve Mchenna, Associate Professor")</f>
        <v>Mr. Steve Mchenna, Associate Professor</v>
      </c>
      <c r="E26" s="49" t="str">
        <f>IFERROR(__xludf.DUMMYFUNCTION("""COMPUTED_VALUE"""),"DSU students")</f>
        <v>DSU students</v>
      </c>
      <c r="F26" s="49" t="str">
        <f>IFERROR(__xludf.DUMMYFUNCTION("""COMPUTED_VALUE"""),"Curtain University")</f>
        <v>Curtain University</v>
      </c>
      <c r="G26" s="49" t="str">
        <f>IFERROR(__xludf.DUMMYFUNCTION("""COMPUTED_VALUE"""),"DSU")</f>
        <v>DSU</v>
      </c>
      <c r="H26" s="56" t="str">
        <f>IFERROR(__xludf.DUMMYFUNCTION("""COMPUTED_VALUE"""),"12-09-2023 Steve McKenna")</f>
        <v>12-09-2023 Steve McKenna</v>
      </c>
      <c r="I26" s="49" t="str">
        <f>IFERROR(__xludf.DUMMYFUNCTION("""COMPUTED_VALUE"""),"Dayananda Sagar University,Campus 3")</f>
        <v>Dayananda Sagar University,Campus 3</v>
      </c>
      <c r="J26" s="56" t="str">
        <f>IFERROR(__xludf.DUMMYFUNCTION("""COMPUTED_VALUE"""),"12-09-2023 Steve McKenna")</f>
        <v>12-09-2023 Steve McKenna</v>
      </c>
    </row>
    <row r="27">
      <c r="A27" s="49"/>
      <c r="B27" s="55">
        <f>IFERROR(__xludf.DUMMYFUNCTION("""COMPUTED_VALUE"""),45191.0)</f>
        <v>45191</v>
      </c>
      <c r="C27" s="49" t="str">
        <f>IFERROR(__xludf.DUMMYFUNCTION("""COMPUTED_VALUE"""),"Seminar / MoU")</f>
        <v>Seminar / MoU</v>
      </c>
      <c r="D27" s="49" t="str">
        <f>IFERROR(__xludf.DUMMYFUNCTION("""COMPUTED_VALUE"""),"Prof. Steve, Professor")</f>
        <v>Prof. Steve, Professor</v>
      </c>
      <c r="E27" s="49" t="str">
        <f>IFERROR(__xludf.DUMMYFUNCTION("""COMPUTED_VALUE"""),"DSU students")</f>
        <v>DSU students</v>
      </c>
      <c r="F27" s="49" t="str">
        <f>IFERROR(__xludf.DUMMYFUNCTION("""COMPUTED_VALUE"""),"Staffordshire University")</f>
        <v>Staffordshire University</v>
      </c>
      <c r="G27" s="49" t="str">
        <f>IFERROR(__xludf.DUMMYFUNCTION("""COMPUTED_VALUE"""),"DSU")</f>
        <v>DSU</v>
      </c>
      <c r="H27" s="56" t="str">
        <f>IFERROR(__xludf.DUMMYFUNCTION("""COMPUTED_VALUE"""),"Report_on_MOU_Exchange_DSU&amp;SU[1].pdf")</f>
        <v>Report_on_MOU_Exchange_DSU&amp;SU[1].pdf</v>
      </c>
      <c r="I27" s="49" t="str">
        <f>IFERROR(__xludf.DUMMYFUNCTION("""COMPUTED_VALUE"""),"Dayananda Sagar University,Campus 4")</f>
        <v>Dayananda Sagar University,Campus 4</v>
      </c>
      <c r="J27" s="56" t="str">
        <f>IFERROR(__xludf.DUMMYFUNCTION("""COMPUTED_VALUE"""),"Report_on_MOU_Exchange_DSU&amp;SU[1].pdf")</f>
        <v>Report_on_MOU_Exchange_DSU&amp;SU[1].pdf</v>
      </c>
    </row>
    <row r="28">
      <c r="A28" s="49"/>
      <c r="B28" s="55">
        <f>IFERROR(__xludf.DUMMYFUNCTION("""COMPUTED_VALUE"""),45199.0)</f>
        <v>45199</v>
      </c>
      <c r="C28" s="49" t="str">
        <f>IFERROR(__xludf.DUMMYFUNCTION("""COMPUTED_VALUE"""),"Collaboration")</f>
        <v>Collaboration</v>
      </c>
      <c r="D28" s="49" t="str">
        <f>IFERROR(__xludf.DUMMYFUNCTION("""COMPUTED_VALUE"""),"Mr Ron White, Mr Stephen Boyle, professor")</f>
        <v>Mr Ron White, Mr Stephen Boyle, professor</v>
      </c>
      <c r="E28" s="49" t="str">
        <f>IFERROR(__xludf.DUMMYFUNCTION("""COMPUTED_VALUE"""),"engineering / business")</f>
        <v>engineering / business</v>
      </c>
      <c r="F28" s="49" t="str">
        <f>IFERROR(__xludf.DUMMYFUNCTION("""COMPUTED_VALUE"""),"James Cook University")</f>
        <v>James Cook University</v>
      </c>
      <c r="G28" s="49" t="str">
        <f>IFERROR(__xludf.DUMMYFUNCTION("""COMPUTED_VALUE"""),"DSU")</f>
        <v>DSU</v>
      </c>
      <c r="H28" s="56" t="str">
        <f>IFERROR(__xludf.DUMMYFUNCTION("""COMPUTED_VALUE"""),"Report on Jamescook University.pdf")</f>
        <v>Report on Jamescook University.pdf</v>
      </c>
      <c r="I28" s="49" t="str">
        <f>IFERROR(__xludf.DUMMYFUNCTION("""COMPUTED_VALUE"""),"Dayananda sagar University, Campus 4")</f>
        <v>Dayananda sagar University, Campus 4</v>
      </c>
      <c r="J28" s="56" t="str">
        <f>IFERROR(__xludf.DUMMYFUNCTION("""COMPUTED_VALUE"""),"Report on Jamescook University.pdf")</f>
        <v>Report on Jamescook University.pdf</v>
      </c>
    </row>
    <row r="29">
      <c r="A29" s="49"/>
      <c r="B29" s="55">
        <f>IFERROR(__xludf.DUMMYFUNCTION("""COMPUTED_VALUE"""),45208.0)</f>
        <v>45208</v>
      </c>
      <c r="C29" s="49" t="str">
        <f>IFERROR(__xludf.DUMMYFUNCTION("""COMPUTED_VALUE"""),"Seminar")</f>
        <v>Seminar</v>
      </c>
      <c r="D29" s="49" t="str">
        <f>IFERROR(__xludf.DUMMYFUNCTION("""COMPUTED_VALUE"""),"Dr. Harry W.M. Steinbusch, Professor in Cellular and Translational Neuroscience and Founding Director MHeNs, EURON, NENS, DCUN")</f>
        <v>Dr. Harry W.M. Steinbusch, Professor in Cellular and Translational Neuroscience and Founding Director MHeNs, EURON, NENS, DCUN</v>
      </c>
      <c r="E29" s="49" t="str">
        <f>IFERROR(__xludf.DUMMYFUNCTION("""COMPUTED_VALUE"""),"School of engineering")</f>
        <v>School of engineering</v>
      </c>
      <c r="F29" s="49" t="str">
        <f>IFERROR(__xludf.DUMMYFUNCTION("""COMPUTED_VALUE"""),"University of Maastricht, Netherlands")</f>
        <v>University of Maastricht, Netherlands</v>
      </c>
      <c r="G29" s="49" t="str">
        <f>IFERROR(__xludf.DUMMYFUNCTION("""COMPUTED_VALUE"""),"Engineering department")</f>
        <v>Engineering department</v>
      </c>
      <c r="H29" s="56" t="str">
        <f>IFERROR(__xludf.DUMMYFUNCTION("""COMPUTED_VALUE"""),"REPORT ON EVENT 09-10.pdf")</f>
        <v>REPORT ON EVENT 09-10.pdf</v>
      </c>
      <c r="I29" s="49" t="str">
        <f>IFERROR(__xludf.DUMMYFUNCTION("""COMPUTED_VALUE"""),"Dayananda sagar University, Campus 4")</f>
        <v>Dayananda sagar University, Campus 4</v>
      </c>
      <c r="J29" s="56" t="str">
        <f>IFERROR(__xludf.DUMMYFUNCTION("""COMPUTED_VALUE"""),"REPORT ON EVENT 09-10.pdf")</f>
        <v>REPORT ON EVENT 09-10.pdf</v>
      </c>
    </row>
    <row r="30">
      <c r="A30" s="49"/>
      <c r="B30" s="55">
        <f>IFERROR(__xludf.DUMMYFUNCTION("""COMPUTED_VALUE"""),45210.0)</f>
        <v>45210</v>
      </c>
      <c r="C30" s="49" t="str">
        <f>IFERROR(__xludf.DUMMYFUNCTION("""COMPUTED_VALUE"""),"Collaboration Discussion")</f>
        <v>Collaboration Discussion</v>
      </c>
      <c r="D30" s="49" t="str">
        <f>IFERROR(__xludf.DUMMYFUNCTION("""COMPUTED_VALUE"""),"Dr. Truman , Dr. Christina, Professor")</f>
        <v>Dr. Truman , Dr. Christina, Professor</v>
      </c>
      <c r="E30" s="49" t="str">
        <f>IFERROR(__xludf.DUMMYFUNCTION("""COMPUTED_VALUE"""),"School of engineering")</f>
        <v>School of engineering</v>
      </c>
      <c r="F30" s="49" t="str">
        <f>IFERROR(__xludf.DUMMYFUNCTION("""COMPUTED_VALUE"""),"University of Missouri Kansas City")</f>
        <v>University of Missouri Kansas City</v>
      </c>
      <c r="G30" s="49" t="str">
        <f>IFERROR(__xludf.DUMMYFUNCTION("""COMPUTED_VALUE"""),"Engineering department")</f>
        <v>Engineering department</v>
      </c>
      <c r="H30" s="56" t="str">
        <f>IFERROR(__xludf.DUMMYFUNCTION("""COMPUTED_VALUE"""),"Report on UMKC Visit at DSU.pdf")</f>
        <v>Report on UMKC Visit at DSU.pdf</v>
      </c>
      <c r="I30" s="49" t="str">
        <f>IFERROR(__xludf.DUMMYFUNCTION("""COMPUTED_VALUE"""),"Dayananda sagar University, Campus 4")</f>
        <v>Dayananda sagar University, Campus 4</v>
      </c>
      <c r="J30" s="49" t="str">
        <f>IFERROR(__xludf.DUMMYFUNCTION("""COMPUTED_VALUE"""),"Report on UMKC Visit at DSU.pdf")</f>
        <v>Report on UMKC Visit at DSU.pdf</v>
      </c>
    </row>
    <row r="31">
      <c r="A31" s="49"/>
      <c r="B31" s="55">
        <f>IFERROR(__xludf.DUMMYFUNCTION("""COMPUTED_VALUE"""),45215.0)</f>
        <v>45215</v>
      </c>
      <c r="C31" s="49" t="str">
        <f>IFERROR(__xludf.DUMMYFUNCTION("""COMPUTED_VALUE"""),"Seminar")</f>
        <v>Seminar</v>
      </c>
      <c r="D31" s="49" t="str">
        <f>IFERROR(__xludf.DUMMYFUNCTION("""COMPUTED_VALUE"""),"Mr. Raj Venkat, President")</f>
        <v>Mr. Raj Venkat, President</v>
      </c>
      <c r="E31" s="49" t="str">
        <f>IFERROR(__xludf.DUMMYFUNCTION("""COMPUTED_VALUE"""),"DSU")</f>
        <v>DSU</v>
      </c>
      <c r="F31" s="49" t="str">
        <f>IFERROR(__xludf.DUMMYFUNCTION("""COMPUTED_VALUE"""),"Auto-sol")</f>
        <v>Auto-sol</v>
      </c>
      <c r="G31" s="49" t="str">
        <f>IFERROR(__xludf.DUMMYFUNCTION("""COMPUTED_VALUE"""),"Engineering department")</f>
        <v>Engineering department</v>
      </c>
      <c r="H31" s="49"/>
      <c r="I31" s="49" t="str">
        <f>IFERROR(__xludf.DUMMYFUNCTION("""COMPUTED_VALUE"""),"Dayananda sagar University, Campus 4")</f>
        <v>Dayananda sagar University, Campus 4</v>
      </c>
      <c r="J31" s="56" t="str">
        <f>IFERROR(__xludf.DUMMYFUNCTION("""COMPUTED_VALUE"""),"16-10-2023(Autosol)")</f>
        <v>16-10-2023(Autosol)</v>
      </c>
    </row>
    <row r="32">
      <c r="A32" s="49"/>
      <c r="B32" s="55">
        <f>IFERROR(__xludf.DUMMYFUNCTION("""COMPUTED_VALUE"""),45217.0)</f>
        <v>45217</v>
      </c>
      <c r="C32" s="49" t="str">
        <f>IFERROR(__xludf.DUMMYFUNCTION("""COMPUTED_VALUE"""),"Webinar")</f>
        <v>Webinar</v>
      </c>
      <c r="D32" s="49" t="str">
        <f>IFERROR(__xludf.DUMMYFUNCTION("""COMPUTED_VALUE"""),"Dr. Nagraj Subarao")</f>
        <v>Dr. Nagraj Subarao</v>
      </c>
      <c r="E32" s="49"/>
      <c r="F32" s="49" t="str">
        <f>IFERROR(__xludf.DUMMYFUNCTION("""COMPUTED_VALUE"""),"DSU")</f>
        <v>DSU</v>
      </c>
      <c r="G32" s="49" t="str">
        <f>IFERROR(__xludf.DUMMYFUNCTION("""COMPUTED_VALUE"""),"ULAB Students")</f>
        <v>ULAB Students</v>
      </c>
      <c r="H32" s="56" t="str">
        <f>IFERROR(__xludf.DUMMYFUNCTION("""COMPUTED_VALUE"""),"Report.pdf")</f>
        <v>Report.pdf</v>
      </c>
      <c r="I32" s="49" t="str">
        <f>IFERROR(__xludf.DUMMYFUNCTION("""COMPUTED_VALUE"""),"Dayananda sagar University, Campus 3")</f>
        <v>Dayananda sagar University, Campus 3</v>
      </c>
      <c r="J32" s="56" t="str">
        <f>IFERROR(__xludf.DUMMYFUNCTION("""COMPUTED_VALUE"""),"Report.pdf")</f>
        <v>Report.pdf</v>
      </c>
    </row>
    <row r="33">
      <c r="A33" s="49"/>
      <c r="B33" s="55">
        <f>IFERROR(__xludf.DUMMYFUNCTION("""COMPUTED_VALUE"""),45233.0)</f>
        <v>45233</v>
      </c>
      <c r="C33" s="49" t="str">
        <f>IFERROR(__xludf.DUMMYFUNCTION("""COMPUTED_VALUE"""),"Seminar")</f>
        <v>Seminar</v>
      </c>
      <c r="D33" s="49" t="str">
        <f>IFERROR(__xludf.DUMMYFUNCTION("""COMPUTED_VALUE"""),"Dr. Javed Khan, Kent state University")</f>
        <v>Dr. Javed Khan, Kent state University</v>
      </c>
      <c r="E33" s="49" t="str">
        <f>IFERROR(__xludf.DUMMYFUNCTION("""COMPUTED_VALUE"""),"DSU")</f>
        <v>DSU</v>
      </c>
      <c r="F33" s="49" t="str">
        <f>IFERROR(__xludf.DUMMYFUNCTION("""COMPUTED_VALUE"""),"Kent State University")</f>
        <v>Kent State University</v>
      </c>
      <c r="G33" s="49" t="str">
        <f>IFERROR(__xludf.DUMMYFUNCTION("""COMPUTED_VALUE"""),"DSU")</f>
        <v>DSU</v>
      </c>
      <c r="H33" s="56" t="str">
        <f>IFERROR(__xludf.DUMMYFUNCTION("""COMPUTED_VALUE"""),"Report on Kent state university.pdf")</f>
        <v>Report on Kent state university.pdf</v>
      </c>
      <c r="I33" s="49" t="str">
        <f>IFERROR(__xludf.DUMMYFUNCTION("""COMPUTED_VALUE"""),"Dayananda sagar University, Campus 4")</f>
        <v>Dayananda sagar University, Campus 4</v>
      </c>
      <c r="J33" s="56" t="str">
        <f>IFERROR(__xludf.DUMMYFUNCTION("""COMPUTED_VALUE"""),"Report on Kent state university.pdf")</f>
        <v>Report on Kent state university.pdf</v>
      </c>
    </row>
    <row r="34">
      <c r="A34" s="49"/>
      <c r="B34" s="55">
        <f>IFERROR(__xludf.DUMMYFUNCTION("""COMPUTED_VALUE"""),45257.0)</f>
        <v>45257</v>
      </c>
      <c r="C34" s="49" t="str">
        <f>IFERROR(__xludf.DUMMYFUNCTION("""COMPUTED_VALUE"""),"Seminar")</f>
        <v>Seminar</v>
      </c>
      <c r="D34" s="49" t="str">
        <f>IFERROR(__xludf.DUMMYFUNCTION("""COMPUTED_VALUE"""),"Dr. Clemens, Prof and Founding Director of the FÖPS Berlin")</f>
        <v>Dr. Clemens, Prof and Founding Director of the FÖPS Berlin</v>
      </c>
      <c r="E34" s="49" t="str">
        <f>IFERROR(__xludf.DUMMYFUNCTION("""COMPUTED_VALUE"""),"School of Law")</f>
        <v>School of Law</v>
      </c>
      <c r="F34" s="49" t="str">
        <f>IFERROR(__xludf.DUMMYFUNCTION("""COMPUTED_VALUE"""),"Founding Director of the FÖPS Berlin")</f>
        <v>Founding Director of the FÖPS Berlin</v>
      </c>
      <c r="G34" s="49" t="str">
        <f>IFERROR(__xludf.DUMMYFUNCTION("""COMPUTED_VALUE"""),"DSU")</f>
        <v>DSU</v>
      </c>
      <c r="H34" s="56" t="str">
        <f>IFERROR(__xludf.DUMMYFUNCTION("""COMPUTED_VALUE"""),"Report.pdf")</f>
        <v>Report.pdf</v>
      </c>
      <c r="I34" s="49" t="str">
        <f>IFERROR(__xludf.DUMMYFUNCTION("""COMPUTED_VALUE"""),"Dayananda sagar University, Campus 3")</f>
        <v>Dayananda sagar University, Campus 3</v>
      </c>
      <c r="J34" s="56" t="str">
        <f>IFERROR(__xludf.DUMMYFUNCTION("""COMPUTED_VALUE"""),"Dr. Clemens, Prof and Founding Director of the FÖPS Berlin.pdf")</f>
        <v>Dr. Clemens, Prof and Founding Director of the FÖPS Berlin.pdf</v>
      </c>
    </row>
    <row r="35">
      <c r="A35" s="49"/>
      <c r="B35" s="55">
        <f>IFERROR(__xludf.DUMMYFUNCTION("""COMPUTED_VALUE"""),45274.0)</f>
        <v>45274</v>
      </c>
      <c r="C35" s="49" t="str">
        <f>IFERROR(__xludf.DUMMYFUNCTION("""COMPUTED_VALUE"""),"Guest Lecture")</f>
        <v>Guest Lecture</v>
      </c>
      <c r="D35" s="49" t="str">
        <f>IFERROR(__xludf.DUMMYFUNCTION("""COMPUTED_VALUE"""),"Mr. Arvind Shivamani, Adviser")</f>
        <v>Mr. Arvind Shivamani, Adviser</v>
      </c>
      <c r="E35" s="49" t="str">
        <f>IFERROR(__xludf.DUMMYFUNCTION("""COMPUTED_VALUE"""),"DSU")</f>
        <v>DSU</v>
      </c>
      <c r="F35" s="49" t="str">
        <f>IFERROR(__xludf.DUMMYFUNCTION("""COMPUTED_VALUE"""),"Adviser at Eduction USA, Chennai")</f>
        <v>Adviser at Eduction USA, Chennai</v>
      </c>
      <c r="G35" s="49" t="str">
        <f>IFERROR(__xludf.DUMMYFUNCTION("""COMPUTED_VALUE"""),"DSU")</f>
        <v>DSU</v>
      </c>
      <c r="H35" s="49"/>
      <c r="I35" s="49" t="str">
        <f>IFERROR(__xludf.DUMMYFUNCTION("""COMPUTED_VALUE"""),"Dayananda sagar University, Campus 3")</f>
        <v>Dayananda sagar University, Campus 3</v>
      </c>
      <c r="J35" s="50" t="str">
        <f>IFERROR(__xludf.DUMMYFUNCTION("""COMPUTED_VALUE"""),"https://drive.google.com/drive/folders/1YQqbYhRvbV4eLTImtp5T6kpgsZJnwOOE?usp=drive_link")</f>
        <v>https://drive.google.com/drive/folders/1YQqbYhRvbV4eLTImtp5T6kpgsZJnwOOE?usp=drive_link</v>
      </c>
    </row>
    <row r="36">
      <c r="A36" s="49"/>
      <c r="B36" s="55">
        <f>IFERROR(__xludf.DUMMYFUNCTION("""COMPUTED_VALUE"""),45313.0)</f>
        <v>45313</v>
      </c>
      <c r="C36" s="49" t="str">
        <f>IFERROR(__xludf.DUMMYFUNCTION("""COMPUTED_VALUE"""),"Seminar")</f>
        <v>Seminar</v>
      </c>
      <c r="D36" s="49" t="str">
        <f>IFERROR(__xludf.DUMMYFUNCTION("""COMPUTED_VALUE"""),"Prof. Dimitrios, Queen's University Belfast, UK")</f>
        <v>Prof. Dimitrios, Queen's University Belfast, UK</v>
      </c>
      <c r="E36" s="49" t="str">
        <f>IFERROR(__xludf.DUMMYFUNCTION("""COMPUTED_VALUE"""),"DSU")</f>
        <v>DSU</v>
      </c>
      <c r="F36" s="49" t="str">
        <f>IFERROR(__xludf.DUMMYFUNCTION("""COMPUTED_VALUE"""),"Queen's University Belfast, UK")</f>
        <v>Queen's University Belfast, UK</v>
      </c>
      <c r="G36" s="49" t="str">
        <f>IFERROR(__xludf.DUMMYFUNCTION("""COMPUTED_VALUE"""),"DSU")</f>
        <v>DSU</v>
      </c>
      <c r="H36" s="49"/>
      <c r="I36" s="49" t="str">
        <f>IFERROR(__xludf.DUMMYFUNCTION("""COMPUTED_VALUE"""),"Dayananda Sagar University, Campus 1")</f>
        <v>Dayananda Sagar University, Campus 1</v>
      </c>
      <c r="J36" s="49"/>
    </row>
    <row r="37">
      <c r="A37" s="49"/>
      <c r="B37" s="55">
        <f>IFERROR(__xludf.DUMMYFUNCTION("""COMPUTED_VALUE"""),45325.0)</f>
        <v>45325</v>
      </c>
      <c r="C37" s="49" t="str">
        <f>IFERROR(__xludf.DUMMYFUNCTION("""COMPUTED_VALUE"""),"Event")</f>
        <v>Event</v>
      </c>
      <c r="D37" s="49" t="str">
        <f>IFERROR(__xludf.DUMMYFUNCTION("""COMPUTED_VALUE"""),"International Model United Nations")</f>
        <v>International Model United Nations</v>
      </c>
      <c r="E37" s="49" t="str">
        <f>IFERROR(__xludf.DUMMYFUNCTION("""COMPUTED_VALUE"""),"DSU")</f>
        <v>DSU</v>
      </c>
      <c r="F37" s="49" t="str">
        <f>IFERROR(__xludf.DUMMYFUNCTION("""COMPUTED_VALUE"""),"International Model United Nations")</f>
        <v>International Model United Nations</v>
      </c>
      <c r="G37" s="49" t="str">
        <f>IFERROR(__xludf.DUMMYFUNCTION("""COMPUTED_VALUE"""),"DSU")</f>
        <v>DSU</v>
      </c>
      <c r="H37" s="49"/>
      <c r="I37" s="49" t="str">
        <f>IFERROR(__xludf.DUMMYFUNCTION("""COMPUTED_VALUE"""),"Dayananda Sagar University Campus 4")</f>
        <v>Dayananda Sagar University Campus 4</v>
      </c>
      <c r="J37" s="56" t="str">
        <f>IFERROR(__xludf.DUMMYFUNCTION("""COMPUTED_VALUE"""),"IMUN - photos")</f>
        <v>IMUN - photos</v>
      </c>
    </row>
    <row r="38">
      <c r="A38" s="49"/>
      <c r="B38" s="55">
        <f>IFERROR(__xludf.DUMMYFUNCTION("""COMPUTED_VALUE"""),45334.0)</f>
        <v>45334</v>
      </c>
      <c r="C38" s="49" t="str">
        <f>IFERROR(__xludf.DUMMYFUNCTION("""COMPUTED_VALUE"""),"Seminar")</f>
        <v>Seminar</v>
      </c>
      <c r="D38" s="49" t="str">
        <f>IFERROR(__xludf.DUMMYFUNCTION("""COMPUTED_VALUE"""),"Seminar on Technical sharing of eVTOL by Prof. Dr.-Ing. Florian Holzapfel")</f>
        <v>Seminar on Technical sharing of eVTOL by Prof. Dr.-Ing. Florian Holzapfel</v>
      </c>
      <c r="E38" s="49" t="str">
        <f>IFERROR(__xludf.DUMMYFUNCTION("""COMPUTED_VALUE"""),"DSU")</f>
        <v>DSU</v>
      </c>
      <c r="F38" s="49" t="str">
        <f>IFERROR(__xludf.DUMMYFUNCTION("""COMPUTED_VALUE"""),"TUM")</f>
        <v>TUM</v>
      </c>
      <c r="G38" s="49" t="str">
        <f>IFERROR(__xludf.DUMMYFUNCTION("""COMPUTED_VALUE"""),"DSU")</f>
        <v>DSU</v>
      </c>
      <c r="H38" s="49"/>
      <c r="I38" s="49" t="str">
        <f>IFERROR(__xludf.DUMMYFUNCTION("""COMPUTED_VALUE"""),"Dayananda Sagar University Campus 3")</f>
        <v>Dayananda Sagar University Campus 3</v>
      </c>
      <c r="J38" s="50" t="str">
        <f>IFERROR(__xludf.DUMMYFUNCTION("""COMPUTED_VALUE"""),"https://drive.google.com/drive/folders/1b5910AFWfNGcNP-EnKEgjiw80EI4hbBa?usp=drive_link")</f>
        <v>https://drive.google.com/drive/folders/1b5910AFWfNGcNP-EnKEgjiw80EI4hbBa?usp=drive_link</v>
      </c>
    </row>
    <row r="39">
      <c r="A39" s="49"/>
      <c r="B39" s="55">
        <f>IFERROR(__xludf.DUMMYFUNCTION("""COMPUTED_VALUE"""),45324.0)</f>
        <v>45324</v>
      </c>
      <c r="C39" s="49" t="str">
        <f>IFERROR(__xludf.DUMMYFUNCTION("""COMPUTED_VALUE"""),"Seminar")</f>
        <v>Seminar</v>
      </c>
      <c r="D39" s="49" t="str">
        <f>IFERROR(__xludf.DUMMYFUNCTION("""COMPUTED_VALUE"""),"Mr. Laurent CHEBASSIER, Director for International Partnerships , Aviancity school of techonolgy and business")</f>
        <v>Mr. Laurent CHEBASSIER, Director for International Partnerships , Aviancity school of techonolgy and business</v>
      </c>
      <c r="E39" s="49" t="str">
        <f>IFERROR(__xludf.DUMMYFUNCTION("""COMPUTED_VALUE"""),"DSU")</f>
        <v>DSU</v>
      </c>
      <c r="F39" s="49" t="str">
        <f>IFERROR(__xludf.DUMMYFUNCTION("""COMPUTED_VALUE"""),"Aviancity school of techonolgy and business")</f>
        <v>Aviancity school of techonolgy and business</v>
      </c>
      <c r="G39" s="49" t="str">
        <f>IFERROR(__xludf.DUMMYFUNCTION("""COMPUTED_VALUE"""),"DSU")</f>
        <v>DSU</v>
      </c>
      <c r="H39" s="49"/>
      <c r="I39" s="49" t="str">
        <f>IFERROR(__xludf.DUMMYFUNCTION("""COMPUTED_VALUE"""),"Dayananda Sagar University Campus 3")</f>
        <v>Dayananda Sagar University Campus 3</v>
      </c>
      <c r="J39" s="49"/>
    </row>
    <row r="40">
      <c r="A40" s="49"/>
      <c r="B40" s="55">
        <f>IFERROR(__xludf.DUMMYFUNCTION("""COMPUTED_VALUE"""),45370.0)</f>
        <v>45370</v>
      </c>
      <c r="C40" s="49" t="str">
        <f>IFERROR(__xludf.DUMMYFUNCTION("""COMPUTED_VALUE"""),"Global Education Fair")</f>
        <v>Global Education Fair</v>
      </c>
      <c r="D40" s="49" t="str">
        <f>IFERROR(__xludf.DUMMYFUNCTION("""COMPUTED_VALUE"""),"Global Education Fair invited 14 International Universities")</f>
        <v>Global Education Fair invited 14 International Universities</v>
      </c>
      <c r="E40" s="49" t="str">
        <f>IFERROR(__xludf.DUMMYFUNCTION("""COMPUTED_VALUE"""),"DSU")</f>
        <v>DSU</v>
      </c>
      <c r="F40" s="49" t="str">
        <f>IFERROR(__xludf.DUMMYFUNCTION("""COMPUTED_VALUE"""),"14 International Universities")</f>
        <v>14 International Universities</v>
      </c>
      <c r="G40" s="49" t="str">
        <f>IFERROR(__xludf.DUMMYFUNCTION("""COMPUTED_VALUE"""),"DSU")</f>
        <v>DSU</v>
      </c>
      <c r="H40" s="49"/>
      <c r="I40" s="49" t="str">
        <f>IFERROR(__xludf.DUMMYFUNCTION("""COMPUTED_VALUE"""),"Dayananda Sagar University Campus 3")</f>
        <v>Dayananda Sagar University Campus 3</v>
      </c>
      <c r="J40" s="50" t="str">
        <f>IFERROR(__xludf.DUMMYFUNCTION("""COMPUTED_VALUE"""),"https://drive.google.com/drive/folders/1k887YWQd0dGtAohpgIw4tnM4fd1TnWZ4?usp=drive_link")</f>
        <v>https://drive.google.com/drive/folders/1k887YWQd0dGtAohpgIw4tnM4fd1TnWZ4?usp=drive_link</v>
      </c>
    </row>
    <row r="41">
      <c r="A41" s="49"/>
      <c r="B41" s="55">
        <f>IFERROR(__xludf.DUMMYFUNCTION("""COMPUTED_VALUE"""),45425.0)</f>
        <v>45425</v>
      </c>
      <c r="C41" s="49" t="str">
        <f>IFERROR(__xludf.DUMMYFUNCTION("""COMPUTED_VALUE"""),"Guest Lecture")</f>
        <v>Guest Lecture</v>
      </c>
      <c r="D41" s="49" t="str">
        <f>IFERROR(__xludf.DUMMYFUNCTION("""COMPUTED_VALUE"""),"Dr. Steve Mckenna, Curtin University")</f>
        <v>Dr. Steve Mckenna, Curtin University</v>
      </c>
      <c r="E41" s="49" t="str">
        <f>IFERROR(__xludf.DUMMYFUNCTION("""COMPUTED_VALUE"""),"DSU SCMS (PG) Students")</f>
        <v>DSU SCMS (PG) Students</v>
      </c>
      <c r="F41" s="49" t="str">
        <f>IFERROR(__xludf.DUMMYFUNCTION("""COMPUTED_VALUE"""),"Curtin University, Australia")</f>
        <v>Curtin University, Australia</v>
      </c>
      <c r="G41" s="49" t="str">
        <f>IFERROR(__xludf.DUMMYFUNCTION("""COMPUTED_VALUE"""),"DSU")</f>
        <v>DSU</v>
      </c>
      <c r="H41" s="49"/>
      <c r="I41" s="49" t="str">
        <f>IFERROR(__xludf.DUMMYFUNCTION("""COMPUTED_VALUE"""),"Dayananda Sagar University Campus 1 &amp; 3")</f>
        <v>Dayananda Sagar University Campus 1 &amp; 3</v>
      </c>
      <c r="J41" s="50" t="str">
        <f>IFERROR(__xludf.DUMMYFUNCTION("""COMPUTED_VALUE"""),"https://drive.google.com/drive/folders/1apoz-KYNUHeYsTNAwhG9WyscPGAhZ2v1?usp=drive_link")</f>
        <v>https://drive.google.com/drive/folders/1apoz-KYNUHeYsTNAwhG9WyscPGAhZ2v1?usp=drive_link</v>
      </c>
    </row>
    <row r="42">
      <c r="A42" s="49"/>
      <c r="B42" s="55">
        <f>IFERROR(__xludf.DUMMYFUNCTION("""COMPUTED_VALUE"""),45527.0)</f>
        <v>45527</v>
      </c>
      <c r="C42" s="49" t="str">
        <f>IFERROR(__xludf.DUMMYFUNCTION("""COMPUTED_VALUE"""),"Session with Research Scholar")</f>
        <v>Session with Research Scholar</v>
      </c>
      <c r="D42" s="49" t="str">
        <f>IFERROR(__xludf.DUMMYFUNCTION("""COMPUTED_VALUE"""),"Dr. Suresh Renukkapa, Dr. Subhashini")</f>
        <v>Dr. Suresh Renukkapa, Dr. Subhashini</v>
      </c>
      <c r="E42" s="49"/>
      <c r="F42" s="49" t="str">
        <f>IFERROR(__xludf.DUMMYFUNCTION("""COMPUTED_VALUE"""),"University of Wolverhampton")</f>
        <v>University of Wolverhampton</v>
      </c>
      <c r="G42" s="49" t="str">
        <f>IFERROR(__xludf.DUMMYFUNCTION("""COMPUTED_VALUE"""),"DSU")</f>
        <v>DSU</v>
      </c>
      <c r="H42" s="49"/>
      <c r="I42" s="49" t="str">
        <f>IFERROR(__xludf.DUMMYFUNCTION("""COMPUTED_VALUE"""),"Dayananda Sagar University Campus 4")</f>
        <v>Dayananda Sagar University Campus 4</v>
      </c>
      <c r="J42" s="50" t="str">
        <f>IFERROR(__xludf.DUMMYFUNCTION("""COMPUTED_VALUE"""),"https://drive.google.com/drive/folders/1_LVNQTC3fYbRPtMSXuvUkTNMZPTpcSQW?usp=drive_link")</f>
        <v>https://drive.google.com/drive/folders/1_LVNQTC3fYbRPtMSXuvUkTNMZPTpcSQW?usp=drive_link</v>
      </c>
    </row>
    <row r="43">
      <c r="A43" s="49"/>
      <c r="B43" s="55">
        <f>IFERROR(__xludf.DUMMYFUNCTION("""COMPUTED_VALUE"""),45539.0)</f>
        <v>45539</v>
      </c>
      <c r="C43" s="49" t="str">
        <f>IFERROR(__xludf.DUMMYFUNCTION("""COMPUTED_VALUE"""),"workshop")</f>
        <v>workshop</v>
      </c>
      <c r="D43" s="49" t="str">
        <f>IFERROR(__xludf.DUMMYFUNCTION("""COMPUTED_VALUE"""),"Dr. Rajesh Nair")</f>
        <v>Dr. Rajesh Nair</v>
      </c>
      <c r="E43" s="49"/>
      <c r="F43" s="49" t="str">
        <f>IFERROR(__xludf.DUMMYFUNCTION("""COMPUTED_VALUE"""),"MIT University")</f>
        <v>MIT University</v>
      </c>
      <c r="G43" s="49" t="str">
        <f>IFERROR(__xludf.DUMMYFUNCTION("""COMPUTED_VALUE"""),"SCMS Students")</f>
        <v>SCMS Students</v>
      </c>
      <c r="H43" s="49"/>
      <c r="I43" s="49" t="str">
        <f>IFERROR(__xludf.DUMMYFUNCTION("""COMPUTED_VALUE"""),"Dayananda Sagar University Campus 3")</f>
        <v>Dayananda Sagar University Campus 3</v>
      </c>
      <c r="J43" s="56" t="str">
        <f>IFERROR(__xludf.DUMMYFUNCTION("""COMPUTED_VALUE"""),"04 - 09 - 2024 (Design thinking workshop)")</f>
        <v>04 - 09 - 2024 (Design thinking workshop)</v>
      </c>
    </row>
    <row r="44">
      <c r="A44" s="49"/>
      <c r="B44" s="55">
        <f>IFERROR(__xludf.DUMMYFUNCTION("""COMPUTED_VALUE"""),45548.0)</f>
        <v>45548</v>
      </c>
      <c r="C44" s="49" t="str">
        <f>IFERROR(__xludf.DUMMYFUNCTION("""COMPUTED_VALUE"""),"Global Education Fair")</f>
        <v>Global Education Fair</v>
      </c>
      <c r="D44" s="49" t="str">
        <f>IFERROR(__xludf.DUMMYFUNCTION("""COMPUTED_VALUE"""),"Global Education Fair invited 14 International Universities")</f>
        <v>Global Education Fair invited 14 International Universities</v>
      </c>
      <c r="E44" s="49"/>
      <c r="F44" s="49" t="str">
        <f>IFERROR(__xludf.DUMMYFUNCTION("""COMPUTED_VALUE"""),"Organized by IDP")</f>
        <v>Organized by IDP</v>
      </c>
      <c r="G44" s="49" t="str">
        <f>IFERROR(__xludf.DUMMYFUNCTION("""COMPUTED_VALUE"""),"DSU")</f>
        <v>DSU</v>
      </c>
      <c r="H44" s="49"/>
      <c r="I44" s="49" t="str">
        <f>IFERROR(__xludf.DUMMYFUNCTION("""COMPUTED_VALUE"""),"Dayananda Sagar University, Campus 4")</f>
        <v>Dayananda Sagar University, Campus 4</v>
      </c>
      <c r="J44" s="50" t="str">
        <f>IFERROR(__xludf.DUMMYFUNCTION("""COMPUTED_VALUE"""),"https://drive.google.com/drive/folders/1SQWj0XJZKTZLsScfzpvwKmzzrK7NjVIx?usp=drive_link")</f>
        <v>https://drive.google.com/drive/folders/1SQWj0XJZKTZLsScfzpvwKmzzrK7NjVIx?usp=drive_link</v>
      </c>
    </row>
    <row r="45">
      <c r="A45" s="49"/>
      <c r="B45" s="55">
        <f>IFERROR(__xludf.DUMMYFUNCTION("""COMPUTED_VALUE"""),45570.0)</f>
        <v>45570</v>
      </c>
      <c r="C45" s="49" t="str">
        <f>IFERROR(__xludf.DUMMYFUNCTION("""COMPUTED_VALUE"""),"NASA Hackathon")</f>
        <v>NASA Hackathon</v>
      </c>
      <c r="D45" s="49" t="str">
        <f>IFERROR(__xludf.DUMMYFUNCTION("""COMPUTED_VALUE"""),"NASA Space app Hackathon")</f>
        <v>NASA Space app Hackathon</v>
      </c>
      <c r="E45" s="49"/>
      <c r="F45" s="49" t="str">
        <f>IFERROR(__xludf.DUMMYFUNCTION("""COMPUTED_VALUE"""),"NASA Space app Hackathon")</f>
        <v>NASA Space app Hackathon</v>
      </c>
      <c r="G45" s="49" t="str">
        <f>IFERROR(__xludf.DUMMYFUNCTION("""COMPUTED_VALUE"""),"DSU")</f>
        <v>DSU</v>
      </c>
      <c r="H45" s="49"/>
      <c r="I45" s="49" t="str">
        <f>IFERROR(__xludf.DUMMYFUNCTION("""COMPUTED_VALUE"""),"Dayananda Sagar University, Campus 4")</f>
        <v>Dayananda Sagar University, Campus 4</v>
      </c>
      <c r="J45" s="50" t="str">
        <f>IFERROR(__xludf.DUMMYFUNCTION("""COMPUTED_VALUE"""),"https://drive.google.com/drive/folders/1P78EHR1n3lceMwS14ZWbdWzEE_HL2YRr?usp=drive_link")</f>
        <v>https://drive.google.com/drive/folders/1P78EHR1n3lceMwS14ZWbdWzEE_HL2YRr?usp=drive_link</v>
      </c>
    </row>
    <row r="46">
      <c r="A46" s="49"/>
      <c r="B46" s="55">
        <f>IFERROR(__xludf.DUMMYFUNCTION("""COMPUTED_VALUE"""),45750.0)</f>
        <v>45750</v>
      </c>
      <c r="C46" s="49" t="str">
        <f>IFERROR(__xludf.DUMMYFUNCTION("""COMPUTED_VALUE"""),"TEDXDSU")</f>
        <v>TEDXDSU</v>
      </c>
      <c r="D46" s="49" t="str">
        <f>IFERROR(__xludf.DUMMYFUNCTION("""COMPUTED_VALUE"""),"Orli Weitzman-Consul General of Israel to South India
Kisha Gupta- Senior Director &amp; Global Head, Infosys
Dr. Karuna Shankar Pande - Vice President, Amazon India
Deepak Himmat - Executive Vice President, Star Health &amp; Investor
James Godber - Dy. Head "&amp;"of Mission, British High Commission
Mr. Kuldeep Kumar Jain - Traffic Police Commissioner (East)
")</f>
        <v>Orli Weitzman-Consul General of Israel to South India
Kisha Gupta- Senior Director &amp; Global Head, Infosys
Dr. Karuna Shankar Pande - Vice President, Amazon India
Deepak Himmat - Executive Vice President, Star Health &amp; Investor
James Godber - Dy. Head of Mission, British High Commission
Mr. Kuldeep Kumar Jain - Traffic Police Commissioner (East)
</v>
      </c>
      <c r="E46" s="49" t="str">
        <f>IFERROR(__xludf.DUMMYFUNCTION("""COMPUTED_VALUE"""),"DSU")</f>
        <v>DSU</v>
      </c>
      <c r="F46" s="49" t="str">
        <f>IFERROR(__xludf.DUMMYFUNCTION("""COMPUTED_VALUE"""),"TEDDXDSU")</f>
        <v>TEDDXDSU</v>
      </c>
      <c r="G46" s="49" t="str">
        <f>IFERROR(__xludf.DUMMYFUNCTION("""COMPUTED_VALUE"""),"Orli Weitzman-Consul General of Israel to South India
Kisha Gupta- Senior Director &amp; Global Head, Infosys
Dr. Karuna Shankar Pande - Vice President, Amazon India
Deepak Himmat - Executive Vice President, Star Health &amp; Investor
James Godber - Dy. Head "&amp;"of Mission, British High Commission
Mr. Kuldeep Kumar Jain - Traffic Police Commissioner (East)
")</f>
        <v>Orli Weitzman-Consul General of Israel to South India
Kisha Gupta- Senior Director &amp; Global Head, Infosys
Dr. Karuna Shankar Pande - Vice President, Amazon India
Deepak Himmat - Executive Vice President, Star Health &amp; Investor
James Godber - Dy. Head of Mission, British High Commission
Mr. Kuldeep Kumar Jain - Traffic Police Commissioner (East)
</v>
      </c>
      <c r="H46" s="49"/>
      <c r="I46" s="49" t="str">
        <f>IFERROR(__xludf.DUMMYFUNCTION("""COMPUTED_VALUE"""),"Dayananda Sagar University Campus 4")</f>
        <v>Dayananda Sagar University Campus 4</v>
      </c>
      <c r="J46" s="50" t="str">
        <f>IFERROR(__xludf.DUMMYFUNCTION("""COMPUTED_VALUE"""),"https://drive.google.com/drive/folders/1TH-XkdUBTw1m7kSnIJV5vYjlaxlxAkPV?usp=sharing")</f>
        <v>https://drive.google.com/drive/folders/1TH-XkdUBTw1m7kSnIJV5vYjlaxlxAkPV?usp=sharing</v>
      </c>
    </row>
    <row r="47">
      <c r="A47" s="49"/>
      <c r="B47" s="55">
        <f>IFERROR(__xludf.DUMMYFUNCTION("""COMPUTED_VALUE"""),45856.0)</f>
        <v>45856</v>
      </c>
      <c r="C47" s="49" t="str">
        <f>IFERROR(__xludf.DUMMYFUNCTION("""COMPUTED_VALUE"""),"Open House Event")</f>
        <v>Open House Event</v>
      </c>
      <c r="D47" s="49" t="str">
        <f>IFERROR(__xludf.DUMMYFUNCTION("""COMPUTED_VALUE"""),"MS. BR Vasantha Lakshmi, Principal, Ms. Supriya Johnson, Principal, Dr. Shalini, Principal, Ms. Soumya N Prasad, Mr. Raghu CJ")</f>
        <v>MS. BR Vasantha Lakshmi, Principal, Ms. Supriya Johnson, Principal, Dr. Shalini, Principal, Ms. Soumya N Prasad, Mr. Raghu CJ</v>
      </c>
      <c r="E47" s="49" t="str">
        <f>IFERROR(__xludf.DUMMYFUNCTION("""COMPUTED_VALUE"""),"DSU")</f>
        <v>DSU</v>
      </c>
      <c r="F47" s="49" t="str">
        <f>IFERROR(__xludf.DUMMYFUNCTION("""COMPUTED_VALUE"""),"SSMRV PU College, Lawrence High School, ICSE, City College, Bishop Cotton Women's Christian, New Baldwin International School")</f>
        <v>SSMRV PU College, Lawrence High School, ICSE, City College, Bishop Cotton Women's Christian, New Baldwin International School</v>
      </c>
      <c r="G47" s="49" t="str">
        <f>IFERROR(__xludf.DUMMYFUNCTION("""COMPUTED_VALUE"""),"DSU")</f>
        <v>DSU</v>
      </c>
      <c r="H47" s="49"/>
      <c r="I47" s="49" t="str">
        <f>IFERROR(__xludf.DUMMYFUNCTION("""COMPUTED_VALUE"""),"Dayananda Sagar University Campus 4")</f>
        <v>Dayananda Sagar University Campus 4</v>
      </c>
      <c r="J47" s="50" t="str">
        <f>IFERROR(__xludf.DUMMYFUNCTION("""COMPUTED_VALUE"""),"https://drive.google.com/drive/folders/1kcZOqwpEFE9xMoFsIzjoQXj9eaugswfM?usp=drive_link")</f>
        <v>https://drive.google.com/drive/folders/1kcZOqwpEFE9xMoFsIzjoQXj9eaugswfM?usp=drive_link</v>
      </c>
    </row>
    <row r="48">
      <c r="A48" s="49"/>
      <c r="B48" s="55">
        <f>IFERROR(__xludf.DUMMYFUNCTION("""COMPUTED_VALUE"""),45911.0)</f>
        <v>45911</v>
      </c>
      <c r="C48" s="49" t="str">
        <f>IFERROR(__xludf.DUMMYFUNCTION("""COMPUTED_VALUE"""),"Scholar Residence")</f>
        <v>Scholar Residence</v>
      </c>
      <c r="D48" s="49" t="str">
        <f>IFERROR(__xludf.DUMMYFUNCTION("""COMPUTED_VALUE"""),"Dr. Sc. Prof. MiKhail N. Rychagov")</f>
        <v>Dr. Sc. Prof. MiKhail N. Rychagov</v>
      </c>
      <c r="E48" s="49" t="str">
        <f>IFERROR(__xludf.DUMMYFUNCTION("""COMPUTED_VALUE"""),"DSU")</f>
        <v>DSU</v>
      </c>
      <c r="F48" s="49" t="str">
        <f>IFERROR(__xludf.DUMMYFUNCTION("""COMPUTED_VALUE"""),"MIET, Russia")</f>
        <v>MIET, Russia</v>
      </c>
      <c r="G48" s="49" t="str">
        <f>IFERROR(__xludf.DUMMYFUNCTION("""COMPUTED_VALUE"""),"Students")</f>
        <v>Students</v>
      </c>
      <c r="H48" s="49"/>
      <c r="I48" s="49" t="str">
        <f>IFERROR(__xludf.DUMMYFUNCTION("""COMPUTED_VALUE"""),"Dayananda Sagar University Campus 4")</f>
        <v>Dayananda Sagar University Campus 4</v>
      </c>
      <c r="J48" s="49"/>
    </row>
    <row r="49">
      <c r="A49" s="49"/>
      <c r="B49" s="55">
        <f>IFERROR(__xludf.DUMMYFUNCTION("""COMPUTED_VALUE"""),45911.0)</f>
        <v>45911</v>
      </c>
      <c r="C49" s="49" t="str">
        <f>IFERROR(__xludf.DUMMYFUNCTION("""COMPUTED_VALUE"""),"DSU Globe Fest")</f>
        <v>DSU Globe Fest</v>
      </c>
      <c r="D49" s="49" t="str">
        <f>IFERROR(__xludf.DUMMYFUNCTION("""COMPUTED_VALUE"""),"Dr. Zeke Montgometry (DU), Dr. Maureen MacFarland(KSU), Dr. Jeremy(NCU), Prof. Tony(AU)")</f>
        <v>Dr. Zeke Montgometry (DU), Dr. Maureen MacFarland(KSU), Dr. Jeremy(NCU), Prof. Tony(AU)</v>
      </c>
      <c r="E49" s="49" t="str">
        <f>IFERROR(__xludf.DUMMYFUNCTION("""COMPUTED_VALUE"""),"DSU")</f>
        <v>DSU</v>
      </c>
      <c r="F49" s="49" t="str">
        <f>IFERROR(__xludf.DUMMYFUNCTION("""COMPUTED_VALUE"""),"Drexel University, USA, Kent State University, USA, New Castle University, USA, Adelaide University, USA")</f>
        <v>Drexel University, USA, Kent State University, USA, New Castle University, USA, Adelaide University, USA</v>
      </c>
      <c r="G49" s="49" t="str">
        <f>IFERROR(__xludf.DUMMYFUNCTION("""COMPUTED_VALUE"""),"Students")</f>
        <v>Students</v>
      </c>
      <c r="H49" s="49"/>
      <c r="I49" s="49" t="str">
        <f>IFERROR(__xludf.DUMMYFUNCTION("""COMPUTED_VALUE"""),"Dayananda Sagar University Campus 3")</f>
        <v>Dayananda Sagar University Campus 3</v>
      </c>
      <c r="J49" s="50" t="str">
        <f>IFERROR(__xludf.DUMMYFUNCTION("""COMPUTED_VALUE"""),"https://drive.google.com/drive/folders/11KOizCFCVsIvZJoPlZDN7qx1J3mqIDHG?usp=drive_link")</f>
        <v>https://drive.google.com/drive/folders/11KOizCFCVsIvZJoPlZDN7qx1J3mqIDHG?usp=drive_link</v>
      </c>
    </row>
    <row r="50">
      <c r="A50" s="49"/>
      <c r="B50" s="55">
        <f>IFERROR(__xludf.DUMMYFUNCTION("""COMPUTED_VALUE"""),45944.0)</f>
        <v>45944</v>
      </c>
      <c r="C50" s="49" t="str">
        <f>IFERROR(__xludf.DUMMYFUNCTION("""COMPUTED_VALUE"""),"NASA Space Apps Award Ceremony")</f>
        <v>NASA Space Apps Award Ceremony</v>
      </c>
      <c r="D50" s="49" t="str">
        <f>IFERROR(__xludf.DUMMYFUNCTION("""COMPUTED_VALUE"""),"Mr. Raja Krishnamoorthy, Mr. Mohammed Tousif, Dr. S.Senthil, Dr. Ram Kumar G, Mr. Madan Ganesh, Mr. Ramesh Rajamani,")</f>
        <v>Mr. Raja Krishnamoorthy, Mr. Mohammed Tousif, Dr. S.Senthil, Dr. Ram Kumar G, Mr. Madan Ganesh, Mr. Ramesh Rajamani,</v>
      </c>
      <c r="E50" s="49" t="str">
        <f>IFERROR(__xludf.DUMMYFUNCTION("""COMPUTED_VALUE"""),"DSU")</f>
        <v>DSU</v>
      </c>
      <c r="F50" s="49"/>
      <c r="G50" s="49" t="str">
        <f>IFERROR(__xludf.DUMMYFUNCTION("""COMPUTED_VALUE"""),"DSU")</f>
        <v>DSU</v>
      </c>
      <c r="H50" s="49"/>
      <c r="I50" s="49" t="str">
        <f>IFERROR(__xludf.DUMMYFUNCTION("""COMPUTED_VALUE"""),"Dayananda Sagar University Campus 3")</f>
        <v>Dayananda Sagar University Campus 3</v>
      </c>
      <c r="J50" s="50" t="str">
        <f>IFERROR(__xludf.DUMMYFUNCTION("""COMPUTED_VALUE"""),"https://drive.google.com/drive/folders/1xTwtMRdLqA0vyTXngXka9fJ2N0U2uu5X?usp=drive_link")</f>
        <v>https://drive.google.com/drive/folders/1xTwtMRdLqA0vyTXngXka9fJ2N0U2uu5X?usp=drive_link</v>
      </c>
    </row>
    <row r="51">
      <c r="A51" s="49"/>
      <c r="B51" s="55">
        <f>IFERROR(__xludf.DUMMYFUNCTION("""COMPUTED_VALUE"""),45966.0)</f>
        <v>45966</v>
      </c>
      <c r="C51" s="49" t="str">
        <f>IFERROR(__xludf.DUMMYFUNCTION("""COMPUTED_VALUE"""),"Tibet Week")</f>
        <v>Tibet Week</v>
      </c>
      <c r="D51" s="49" t="str">
        <f>IFERROR(__xludf.DUMMYFUNCTION("""COMPUTED_VALUE"""),"Dr. Tenzin Passang, Principal, DLIHE, Mr. Jigme Tsultrim, Chief Representative Officer – South Zone, CTA")</f>
        <v>Dr. Tenzin Passang, Principal, DLIHE, Mr. Jigme Tsultrim, Chief Representative Officer – South Zone, CTA</v>
      </c>
      <c r="E51" s="49" t="str">
        <f>IFERROR(__xludf.DUMMYFUNCTION("""COMPUTED_VALUE"""),"DSU")</f>
        <v>DSU</v>
      </c>
      <c r="F51" s="49" t="str">
        <f>IFERROR(__xludf.DUMMYFUNCTION("""COMPUTED_VALUE"""),"Dalai Lama Institute for Higher Education")</f>
        <v>Dalai Lama Institute for Higher Education</v>
      </c>
      <c r="G51" s="49" t="str">
        <f>IFERROR(__xludf.DUMMYFUNCTION("""COMPUTED_VALUE"""),"Students")</f>
        <v>Students</v>
      </c>
      <c r="H51" s="49"/>
      <c r="I51" s="49" t="str">
        <f>IFERROR(__xludf.DUMMYFUNCTION("""COMPUTED_VALUE"""),"Dayananda Sagar University Campus 4")</f>
        <v>Dayananda Sagar University Campus 4</v>
      </c>
      <c r="J51" s="50" t="str">
        <f>IFERROR(__xludf.DUMMYFUNCTION("""COMPUTED_VALUE"""),"https://drive.google.com/drive/folders/1CRoQSMFAZwQbm22sPIiOuIasDsg04PW1?usp=drive_link")</f>
        <v>https://drive.google.com/drive/folders/1CRoQSMFAZwQbm22sPIiOuIasDsg04PW1?usp=drive_link</v>
      </c>
    </row>
    <row r="52">
      <c r="A52" s="49"/>
      <c r="B52" s="55">
        <f>IFERROR(__xludf.DUMMYFUNCTION("""COMPUTED_VALUE"""),45968.0)</f>
        <v>45968</v>
      </c>
      <c r="C52" s="49" t="str">
        <f>IFERROR(__xludf.DUMMYFUNCTION("""COMPUTED_VALUE"""),"TEDx DSU")</f>
        <v>TEDx DSU</v>
      </c>
      <c r="D52" s="49" t="str">
        <f>IFERROR(__xludf.DUMMYFUNCTION("""COMPUTED_VALUE"""),"Dr. Ravikumar Y S, IPS, Dr. Nishant Chandra,
 Kristin Stasiowski, Associate Dean of International Programs and Education Abroad for the College of Arts and Sciences
 Anuroop Nair,
 Dr. Paulo Mora-Ávila,
 Maj (Dr.) Guruprasad Thimmaiah,
 Dr. Marcello Fanto"&amp;"ni - Vice President, Global Education,
 Nick Slade - Deputy PVC International and External Affairs,
 Tejas H R - NASA Space Apps Student President")</f>
        <v>Dr. Ravikumar Y S, IPS, Dr. Nishant Chandra,
 Kristin Stasiowski, Associate Dean of International Programs and Education Abroad for the College of Arts and Sciences
 Anuroop Nair,
 Dr. Paulo Mora-Ávila,
 Maj (Dr.) Guruprasad Thimmaiah,
 Dr. Marcello Fantoni - Vice President, Global Education,
 Nick Slade - Deputy PVC International and External Affairs,
 Tejas H R - NASA Space Apps Student President</v>
      </c>
      <c r="E52" s="49" t="str">
        <f>IFERROR(__xludf.DUMMYFUNCTION("""COMPUTED_VALUE"""),"DSU")</f>
        <v>DSU</v>
      </c>
      <c r="F52" s="49" t="str">
        <f>IFERROR(__xludf.DUMMYFUNCTION("""COMPUTED_VALUE"""),"Inspector General of Police, State Security Intelligence, Industry Copilot Leader &amp; Head-Microsoft,
 Kent State University,
 Investor | Startup Mentor,
 University of Worcester-UK,
 Dy. Medical Superintendent-CDSIMER,
 Kent State University,
 University o"&amp;"f Worcester-UK,
 DSU")</f>
        <v>Inspector General of Police, State Security Intelligence, Industry Copilot Leader &amp; Head-Microsoft,
 Kent State University,
 Investor | Startup Mentor,
 University of Worcester-UK,
 Dy. Medical Superintendent-CDSIMER,
 Kent State University,
 University of Worcester-UK,
 DSU</v>
      </c>
      <c r="G52" s="49" t="str">
        <f>IFERROR(__xludf.DUMMYFUNCTION("""COMPUTED_VALUE"""),"Students")</f>
        <v>Students</v>
      </c>
      <c r="H52" s="49"/>
      <c r="I52" s="49" t="str">
        <f>IFERROR(__xludf.DUMMYFUNCTION("""COMPUTED_VALUE"""),"Dayananda Sagar University Campus 4")</f>
        <v>Dayananda Sagar University Campus 4</v>
      </c>
      <c r="J52" s="50" t="str">
        <f>IFERROR(__xludf.DUMMYFUNCTION("""COMPUTED_VALUE"""),"https://drive.google.com/drive/folders/1WDZNRtIgEMOmoBB75ajPb4XxOLuwjhJK?usp=drive_link")</f>
        <v>https://drive.google.com/drive/folders/1WDZNRtIgEMOmoBB75ajPb4XxOLuwjhJK?usp=drive_link</v>
      </c>
    </row>
    <row r="53">
      <c r="A53" s="49"/>
      <c r="B53" s="55">
        <f>IFERROR(__xludf.DUMMYFUNCTION("""COMPUTED_VALUE"""),45978.0)</f>
        <v>45978</v>
      </c>
      <c r="C53" s="49" t="str">
        <f>IFERROR(__xludf.DUMMYFUNCTION("""COMPUTED_VALUE"""),"Fyrstgen Ideathon 2025")</f>
        <v>Fyrstgen Ideathon 2025</v>
      </c>
      <c r="D53" s="49" t="str">
        <f>IFERROR(__xludf.DUMMYFUNCTION("""COMPUTED_VALUE"""),"Mr. Philipp Assmus-Founder &amp; CEO, FyrstGen, Ms. Clémence Kopeikin – Chief Impact Officer FyrstGen, Mr. Vinod Babu – UN")</f>
        <v>Mr. Philipp Assmus-Founder &amp; CEO, FyrstGen, Ms. Clémence Kopeikin – Chief Impact Officer FyrstGen, Mr. Vinod Babu – UN</v>
      </c>
      <c r="E53" s="49" t="str">
        <f>IFERROR(__xludf.DUMMYFUNCTION("""COMPUTED_VALUE"""),"DSU")</f>
        <v>DSU</v>
      </c>
      <c r="F53" s="49"/>
      <c r="G53" s="49" t="str">
        <f>IFERROR(__xludf.DUMMYFUNCTION("""COMPUTED_VALUE"""),"Students")</f>
        <v>Students</v>
      </c>
      <c r="H53" s="49"/>
      <c r="I53" s="49" t="str">
        <f>IFERROR(__xludf.DUMMYFUNCTION("""COMPUTED_VALUE"""),"Dayananda Sagar University Campus 4")</f>
        <v>Dayananda Sagar University Campus 4</v>
      </c>
      <c r="J53" s="50" t="str">
        <f>IFERROR(__xludf.DUMMYFUNCTION("""COMPUTED_VALUE"""),"https://drive.google.com/drive/folders/1t1ueCAANBmlH2dhpuBGFM58thEbUqlKh?usp=drive_link")</f>
        <v>https://drive.google.com/drive/folders/1t1ueCAANBmlH2dhpuBGFM58thEbUqlKh?usp=drive_link</v>
      </c>
    </row>
    <row r="54">
      <c r="A54" s="49"/>
      <c r="B54" s="49"/>
      <c r="C54" s="49"/>
      <c r="D54" s="49"/>
      <c r="E54" s="49"/>
      <c r="F54" s="49"/>
      <c r="G54" s="49"/>
      <c r="H54" s="49"/>
      <c r="I54" s="49"/>
      <c r="J54" s="49"/>
    </row>
    <row r="55">
      <c r="A55" s="49"/>
      <c r="B55" s="49"/>
      <c r="C55" s="49"/>
      <c r="D55" s="49"/>
      <c r="E55" s="49"/>
      <c r="F55" s="49"/>
      <c r="G55" s="49"/>
      <c r="H55" s="49"/>
      <c r="I55" s="49"/>
      <c r="J55" s="49"/>
    </row>
    <row r="56">
      <c r="A56" s="49"/>
      <c r="B56" s="49"/>
      <c r="C56" s="49"/>
      <c r="D56" s="49"/>
      <c r="E56" s="49"/>
      <c r="F56" s="49"/>
      <c r="G56" s="49"/>
      <c r="H56" s="49"/>
      <c r="I56" s="49"/>
      <c r="J56" s="49"/>
    </row>
    <row r="57">
      <c r="A57" s="49"/>
      <c r="B57" s="49"/>
      <c r="C57" s="49"/>
      <c r="D57" s="49"/>
      <c r="E57" s="49"/>
      <c r="F57" s="49"/>
      <c r="G57" s="49"/>
      <c r="H57" s="49"/>
      <c r="I57" s="49"/>
      <c r="J57" s="49"/>
    </row>
    <row r="58">
      <c r="A58" s="49"/>
      <c r="B58" s="49"/>
      <c r="C58" s="49"/>
      <c r="D58" s="49"/>
      <c r="E58" s="49"/>
      <c r="F58" s="49"/>
      <c r="G58" s="49"/>
      <c r="H58" s="49"/>
      <c r="I58" s="49"/>
      <c r="J58" s="49"/>
    </row>
    <row r="59">
      <c r="A59" s="49"/>
      <c r="B59" s="49"/>
      <c r="C59" s="49"/>
      <c r="D59" s="49"/>
      <c r="E59" s="49"/>
      <c r="F59" s="49"/>
      <c r="G59" s="49"/>
      <c r="H59" s="49"/>
      <c r="I59" s="49"/>
      <c r="J59" s="49"/>
    </row>
    <row r="60">
      <c r="A60" s="49"/>
      <c r="B60" s="49"/>
      <c r="C60" s="49"/>
      <c r="D60" s="49"/>
      <c r="E60" s="49"/>
      <c r="F60" s="49"/>
      <c r="G60" s="49"/>
      <c r="H60" s="49"/>
      <c r="I60" s="49"/>
      <c r="J60" s="49"/>
    </row>
    <row r="61">
      <c r="A61" s="49"/>
      <c r="B61" s="49"/>
      <c r="C61" s="49"/>
      <c r="D61" s="49"/>
      <c r="E61" s="49"/>
      <c r="F61" s="49"/>
      <c r="G61" s="49"/>
      <c r="H61" s="49"/>
      <c r="I61" s="49"/>
      <c r="J61" s="49"/>
    </row>
    <row r="62">
      <c r="A62" s="49"/>
      <c r="B62" s="49"/>
      <c r="C62" s="49"/>
      <c r="D62" s="49"/>
      <c r="E62" s="49"/>
      <c r="F62" s="49"/>
      <c r="G62" s="49"/>
      <c r="H62" s="49"/>
      <c r="I62" s="49"/>
      <c r="J62" s="49"/>
    </row>
    <row r="63">
      <c r="A63" s="49"/>
      <c r="B63" s="49"/>
      <c r="C63" s="49"/>
      <c r="D63" s="49"/>
      <c r="E63" s="49"/>
      <c r="F63" s="49"/>
      <c r="G63" s="49"/>
      <c r="H63" s="49"/>
      <c r="I63" s="49"/>
      <c r="J63" s="49"/>
    </row>
    <row r="64">
      <c r="A64" s="49"/>
      <c r="B64" s="49"/>
      <c r="C64" s="49"/>
      <c r="D64" s="49"/>
      <c r="E64" s="49"/>
      <c r="F64" s="49"/>
      <c r="G64" s="49"/>
      <c r="H64" s="49"/>
      <c r="I64" s="49"/>
      <c r="J64" s="49"/>
    </row>
    <row r="65">
      <c r="A65" s="49"/>
      <c r="B65" s="49"/>
      <c r="C65" s="49"/>
      <c r="D65" s="49"/>
      <c r="E65" s="49"/>
      <c r="F65" s="49"/>
      <c r="G65" s="49"/>
      <c r="H65" s="49"/>
      <c r="I65" s="49"/>
      <c r="J65" s="49"/>
    </row>
    <row r="66">
      <c r="A66" s="49"/>
      <c r="B66" s="49"/>
      <c r="C66" s="49"/>
      <c r="D66" s="49"/>
      <c r="E66" s="49"/>
      <c r="F66" s="49"/>
      <c r="G66" s="49"/>
      <c r="H66" s="49"/>
      <c r="I66" s="49"/>
      <c r="J66" s="49"/>
    </row>
    <row r="67">
      <c r="A67" s="49"/>
      <c r="B67" s="49"/>
      <c r="C67" s="49"/>
      <c r="D67" s="49"/>
      <c r="E67" s="49"/>
      <c r="F67" s="49"/>
      <c r="G67" s="49"/>
      <c r="H67" s="49"/>
      <c r="I67" s="49"/>
      <c r="J67" s="49"/>
    </row>
    <row r="68">
      <c r="A68" s="49"/>
      <c r="B68" s="49"/>
      <c r="C68" s="49"/>
      <c r="D68" s="49"/>
      <c r="E68" s="49"/>
      <c r="F68" s="49"/>
      <c r="G68" s="49"/>
      <c r="H68" s="49"/>
      <c r="I68" s="49"/>
      <c r="J68" s="49"/>
    </row>
    <row r="69">
      <c r="A69" s="49"/>
      <c r="B69" s="49"/>
      <c r="C69" s="49"/>
      <c r="D69" s="49"/>
      <c r="E69" s="49"/>
      <c r="F69" s="49"/>
      <c r="G69" s="49"/>
      <c r="H69" s="49"/>
      <c r="I69" s="49"/>
      <c r="J69" s="49"/>
    </row>
    <row r="70">
      <c r="A70" s="49"/>
      <c r="B70" s="49"/>
      <c r="C70" s="49"/>
      <c r="D70" s="49"/>
      <c r="E70" s="49"/>
      <c r="F70" s="49"/>
      <c r="G70" s="49"/>
      <c r="H70" s="49"/>
      <c r="I70" s="49"/>
      <c r="J70" s="49"/>
    </row>
    <row r="71">
      <c r="A71" s="49"/>
      <c r="B71" s="49"/>
      <c r="C71" s="49"/>
      <c r="D71" s="49"/>
      <c r="E71" s="49"/>
      <c r="F71" s="49"/>
      <c r="G71" s="49"/>
      <c r="H71" s="49"/>
      <c r="I71" s="49"/>
      <c r="J71" s="49"/>
    </row>
    <row r="72">
      <c r="A72" s="49"/>
      <c r="B72" s="49"/>
      <c r="C72" s="49"/>
      <c r="D72" s="49"/>
      <c r="E72" s="49"/>
      <c r="F72" s="49"/>
      <c r="G72" s="49"/>
      <c r="H72" s="49"/>
      <c r="I72" s="49"/>
      <c r="J72" s="49"/>
    </row>
    <row r="73">
      <c r="A73" s="49"/>
      <c r="B73" s="49"/>
      <c r="C73" s="49"/>
      <c r="D73" s="49"/>
      <c r="E73" s="49"/>
      <c r="F73" s="49"/>
      <c r="G73" s="49"/>
      <c r="H73" s="49"/>
      <c r="I73" s="49"/>
      <c r="J73" s="49"/>
    </row>
    <row r="74">
      <c r="A74" s="49"/>
      <c r="B74" s="49"/>
      <c r="C74" s="49"/>
      <c r="D74" s="49"/>
      <c r="E74" s="49"/>
      <c r="F74" s="49"/>
      <c r="G74" s="49"/>
      <c r="H74" s="49"/>
      <c r="I74" s="49"/>
      <c r="J74" s="49"/>
    </row>
    <row r="75">
      <c r="A75" s="49"/>
      <c r="B75" s="49"/>
      <c r="C75" s="49"/>
      <c r="D75" s="49"/>
      <c r="E75" s="49"/>
      <c r="F75" s="49"/>
      <c r="G75" s="49"/>
      <c r="H75" s="49"/>
      <c r="I75" s="49"/>
      <c r="J75" s="49"/>
    </row>
    <row r="76">
      <c r="A76" s="49"/>
      <c r="B76" s="49"/>
      <c r="C76" s="49"/>
      <c r="D76" s="49"/>
      <c r="E76" s="49"/>
      <c r="F76" s="49"/>
      <c r="G76" s="49"/>
      <c r="H76" s="49"/>
      <c r="I76" s="49"/>
      <c r="J76" s="49"/>
    </row>
    <row r="77">
      <c r="A77" s="49"/>
      <c r="B77" s="49"/>
      <c r="C77" s="49"/>
      <c r="D77" s="49"/>
      <c r="E77" s="49"/>
      <c r="F77" s="49"/>
      <c r="G77" s="49"/>
      <c r="H77" s="49"/>
      <c r="I77" s="49"/>
      <c r="J77" s="49"/>
    </row>
    <row r="78">
      <c r="A78" s="49"/>
      <c r="B78" s="49"/>
      <c r="C78" s="49"/>
      <c r="D78" s="49"/>
      <c r="E78" s="49"/>
      <c r="F78" s="49"/>
      <c r="G78" s="49"/>
      <c r="H78" s="49"/>
      <c r="I78" s="49"/>
      <c r="J78" s="49"/>
    </row>
    <row r="79">
      <c r="A79" s="49"/>
      <c r="B79" s="49"/>
      <c r="C79" s="49"/>
      <c r="D79" s="49"/>
      <c r="E79" s="49"/>
      <c r="F79" s="49"/>
      <c r="G79" s="49"/>
      <c r="H79" s="49"/>
      <c r="I79" s="49"/>
      <c r="J79" s="49"/>
    </row>
    <row r="80">
      <c r="A80" s="49"/>
      <c r="B80" s="49"/>
      <c r="C80" s="49"/>
      <c r="D80" s="49"/>
      <c r="E80" s="49"/>
      <c r="F80" s="49"/>
      <c r="G80" s="49"/>
      <c r="H80" s="49"/>
      <c r="I80" s="49"/>
      <c r="J80" s="49"/>
    </row>
    <row r="81">
      <c r="A81" s="49"/>
      <c r="B81" s="49"/>
      <c r="C81" s="49"/>
      <c r="D81" s="49"/>
      <c r="E81" s="49"/>
      <c r="F81" s="49"/>
      <c r="G81" s="49"/>
      <c r="H81" s="49"/>
      <c r="I81" s="49"/>
      <c r="J81" s="49"/>
    </row>
    <row r="82">
      <c r="A82" s="49"/>
      <c r="B82" s="49"/>
      <c r="C82" s="49"/>
      <c r="D82" s="49"/>
      <c r="E82" s="49"/>
      <c r="F82" s="49"/>
      <c r="G82" s="49"/>
      <c r="H82" s="49"/>
      <c r="I82" s="49"/>
      <c r="J82" s="49"/>
    </row>
    <row r="83">
      <c r="A83" s="49"/>
      <c r="B83" s="49"/>
      <c r="C83" s="49"/>
      <c r="D83" s="49"/>
      <c r="E83" s="49"/>
      <c r="F83" s="49"/>
      <c r="G83" s="49"/>
      <c r="H83" s="49"/>
      <c r="I83" s="49"/>
      <c r="J83" s="49"/>
    </row>
    <row r="84">
      <c r="A84" s="49"/>
      <c r="B84" s="49"/>
      <c r="C84" s="49"/>
      <c r="D84" s="49"/>
      <c r="E84" s="49"/>
      <c r="F84" s="49"/>
      <c r="G84" s="49"/>
      <c r="H84" s="49"/>
      <c r="I84" s="49"/>
      <c r="J84" s="49"/>
    </row>
    <row r="85">
      <c r="A85" s="49"/>
      <c r="B85" s="49"/>
      <c r="C85" s="49"/>
      <c r="D85" s="49"/>
      <c r="E85" s="49"/>
      <c r="F85" s="49"/>
      <c r="G85" s="49"/>
      <c r="H85" s="49"/>
      <c r="I85" s="49"/>
      <c r="J85" s="49"/>
    </row>
    <row r="86">
      <c r="A86" s="49"/>
      <c r="B86" s="49"/>
      <c r="C86" s="49"/>
      <c r="D86" s="49"/>
      <c r="E86" s="49"/>
      <c r="F86" s="49"/>
      <c r="G86" s="49"/>
      <c r="H86" s="49"/>
      <c r="I86" s="49"/>
      <c r="J86" s="49"/>
    </row>
    <row r="87">
      <c r="A87" s="49"/>
      <c r="B87" s="49"/>
      <c r="C87" s="49"/>
      <c r="D87" s="49"/>
      <c r="E87" s="49"/>
      <c r="F87" s="49"/>
      <c r="G87" s="49"/>
      <c r="H87" s="49"/>
      <c r="I87" s="49"/>
      <c r="J87" s="49"/>
    </row>
    <row r="88">
      <c r="A88" s="49"/>
      <c r="B88" s="49"/>
      <c r="C88" s="49"/>
      <c r="D88" s="49"/>
      <c r="E88" s="49"/>
      <c r="F88" s="49"/>
      <c r="G88" s="49"/>
      <c r="H88" s="49"/>
      <c r="I88" s="49"/>
      <c r="J88" s="49"/>
    </row>
    <row r="89">
      <c r="A89" s="49"/>
      <c r="B89" s="49"/>
      <c r="C89" s="49"/>
      <c r="D89" s="49"/>
      <c r="E89" s="49"/>
      <c r="F89" s="49"/>
      <c r="G89" s="49"/>
      <c r="H89" s="49"/>
      <c r="I89" s="49"/>
      <c r="J89" s="49"/>
    </row>
    <row r="90">
      <c r="A90" s="49"/>
      <c r="B90" s="49"/>
      <c r="C90" s="49"/>
      <c r="D90" s="49"/>
      <c r="E90" s="49"/>
      <c r="F90" s="49"/>
      <c r="G90" s="49"/>
      <c r="H90" s="49"/>
      <c r="I90" s="49"/>
      <c r="J90" s="49"/>
    </row>
    <row r="91">
      <c r="A91" s="49"/>
      <c r="B91" s="49"/>
      <c r="C91" s="49"/>
      <c r="D91" s="49"/>
      <c r="E91" s="49"/>
      <c r="F91" s="49"/>
      <c r="G91" s="49"/>
      <c r="H91" s="49"/>
      <c r="I91" s="49"/>
      <c r="J91" s="49"/>
    </row>
    <row r="92">
      <c r="A92" s="49"/>
      <c r="B92" s="49"/>
      <c r="C92" s="49"/>
      <c r="D92" s="49"/>
      <c r="E92" s="49"/>
      <c r="F92" s="49"/>
      <c r="G92" s="49"/>
      <c r="H92" s="49"/>
      <c r="I92" s="49"/>
      <c r="J92" s="49"/>
    </row>
    <row r="93">
      <c r="A93" s="49"/>
      <c r="B93" s="49"/>
      <c r="C93" s="49"/>
      <c r="D93" s="49"/>
      <c r="E93" s="49"/>
      <c r="F93" s="49"/>
      <c r="G93" s="49"/>
      <c r="H93" s="49"/>
      <c r="I93" s="49"/>
      <c r="J93" s="49"/>
    </row>
    <row r="94">
      <c r="A94" s="49"/>
      <c r="B94" s="49"/>
      <c r="C94" s="49"/>
      <c r="D94" s="49"/>
      <c r="E94" s="49"/>
      <c r="F94" s="49"/>
      <c r="G94" s="49"/>
      <c r="H94" s="49"/>
      <c r="I94" s="49"/>
      <c r="J94" s="49"/>
    </row>
    <row r="95">
      <c r="A95" s="49"/>
      <c r="B95" s="49"/>
      <c r="C95" s="49"/>
      <c r="D95" s="49"/>
      <c r="E95" s="49"/>
      <c r="F95" s="49"/>
      <c r="G95" s="49"/>
      <c r="H95" s="49"/>
      <c r="I95" s="49"/>
      <c r="J95" s="49"/>
    </row>
    <row r="96">
      <c r="A96" s="49"/>
      <c r="B96" s="49"/>
      <c r="C96" s="49"/>
      <c r="D96" s="49"/>
      <c r="E96" s="49"/>
      <c r="F96" s="49"/>
      <c r="G96" s="49"/>
      <c r="H96" s="49"/>
      <c r="I96" s="49"/>
      <c r="J96" s="49"/>
    </row>
    <row r="97">
      <c r="A97" s="49"/>
      <c r="B97" s="49"/>
      <c r="C97" s="49"/>
      <c r="D97" s="49"/>
      <c r="E97" s="49"/>
      <c r="F97" s="49"/>
      <c r="G97" s="49"/>
      <c r="H97" s="49"/>
      <c r="I97" s="49"/>
      <c r="J97" s="49"/>
    </row>
    <row r="98">
      <c r="A98" s="49"/>
      <c r="B98" s="49"/>
      <c r="C98" s="49"/>
      <c r="D98" s="49"/>
      <c r="E98" s="49"/>
      <c r="F98" s="49"/>
      <c r="G98" s="49"/>
      <c r="H98" s="49"/>
      <c r="I98" s="49"/>
      <c r="J98" s="49"/>
    </row>
    <row r="99">
      <c r="A99" s="49"/>
      <c r="B99" s="49"/>
      <c r="C99" s="49"/>
      <c r="D99" s="49"/>
      <c r="E99" s="49"/>
      <c r="F99" s="49"/>
      <c r="G99" s="49"/>
      <c r="H99" s="49"/>
      <c r="I99" s="49"/>
      <c r="J99" s="49"/>
    </row>
    <row r="100">
      <c r="A100" s="49"/>
      <c r="B100" s="49"/>
      <c r="C100" s="49"/>
      <c r="D100" s="49"/>
      <c r="E100" s="49"/>
      <c r="F100" s="49"/>
      <c r="G100" s="49"/>
      <c r="H100" s="49"/>
      <c r="I100" s="49"/>
      <c r="J100" s="49"/>
    </row>
    <row r="101">
      <c r="A101" s="49"/>
      <c r="B101" s="49"/>
      <c r="C101" s="49"/>
      <c r="D101" s="49"/>
      <c r="E101" s="49"/>
      <c r="F101" s="49"/>
      <c r="G101" s="49"/>
      <c r="H101" s="49"/>
      <c r="I101" s="49"/>
      <c r="J101" s="49"/>
    </row>
    <row r="102">
      <c r="A102" s="49"/>
      <c r="B102" s="49"/>
      <c r="C102" s="49"/>
      <c r="D102" s="49"/>
      <c r="E102" s="49"/>
      <c r="F102" s="49"/>
      <c r="G102" s="49"/>
      <c r="H102" s="49"/>
      <c r="I102" s="49"/>
      <c r="J102" s="49"/>
    </row>
    <row r="103">
      <c r="A103" s="49"/>
      <c r="B103" s="49"/>
      <c r="C103" s="49"/>
      <c r="D103" s="49"/>
      <c r="E103" s="49"/>
      <c r="F103" s="49"/>
      <c r="G103" s="49"/>
      <c r="H103" s="49"/>
      <c r="I103" s="49"/>
      <c r="J103" s="49"/>
    </row>
    <row r="104">
      <c r="A104" s="49"/>
      <c r="B104" s="49"/>
      <c r="C104" s="49"/>
      <c r="D104" s="49"/>
      <c r="E104" s="49"/>
      <c r="F104" s="49"/>
      <c r="G104" s="49"/>
      <c r="H104" s="49"/>
      <c r="I104" s="49"/>
      <c r="J104" s="49"/>
    </row>
    <row r="105">
      <c r="A105" s="49"/>
      <c r="B105" s="49"/>
      <c r="C105" s="49"/>
      <c r="D105" s="49"/>
      <c r="E105" s="49"/>
      <c r="F105" s="49"/>
      <c r="G105" s="49"/>
      <c r="H105" s="49"/>
      <c r="I105" s="49"/>
      <c r="J105" s="49"/>
    </row>
    <row r="106">
      <c r="A106" s="49"/>
      <c r="B106" s="49"/>
      <c r="C106" s="49"/>
      <c r="D106" s="49"/>
      <c r="E106" s="49"/>
      <c r="F106" s="49"/>
      <c r="G106" s="49"/>
      <c r="H106" s="49"/>
      <c r="I106" s="49"/>
      <c r="J106" s="49"/>
    </row>
    <row r="107">
      <c r="A107" s="49"/>
      <c r="B107" s="49"/>
      <c r="C107" s="49"/>
      <c r="D107" s="49"/>
      <c r="E107" s="49"/>
      <c r="F107" s="49"/>
      <c r="G107" s="49"/>
      <c r="H107" s="49"/>
      <c r="I107" s="49"/>
      <c r="J107" s="49"/>
    </row>
    <row r="108">
      <c r="A108" s="49"/>
      <c r="B108" s="49"/>
      <c r="C108" s="49"/>
      <c r="D108" s="49"/>
      <c r="E108" s="49"/>
      <c r="F108" s="49"/>
      <c r="G108" s="49"/>
      <c r="H108" s="49"/>
      <c r="I108" s="49"/>
      <c r="J108" s="49"/>
    </row>
    <row r="109">
      <c r="A109" s="49"/>
      <c r="B109" s="49"/>
      <c r="C109" s="49"/>
      <c r="D109" s="49"/>
      <c r="E109" s="49"/>
      <c r="F109" s="49"/>
      <c r="G109" s="49"/>
      <c r="H109" s="49"/>
      <c r="I109" s="49"/>
      <c r="J109" s="49"/>
    </row>
    <row r="110">
      <c r="A110" s="49"/>
      <c r="B110" s="49"/>
      <c r="C110" s="49"/>
      <c r="D110" s="49"/>
      <c r="E110" s="49"/>
      <c r="F110" s="49"/>
      <c r="G110" s="49"/>
      <c r="H110" s="49"/>
      <c r="I110" s="49"/>
      <c r="J110" s="49"/>
    </row>
    <row r="111">
      <c r="A111" s="49"/>
      <c r="B111" s="49"/>
      <c r="C111" s="49"/>
      <c r="D111" s="49"/>
      <c r="E111" s="49"/>
      <c r="F111" s="49"/>
      <c r="G111" s="49"/>
      <c r="H111" s="49"/>
      <c r="I111" s="49"/>
      <c r="J111" s="49"/>
    </row>
    <row r="112">
      <c r="A112" s="49"/>
      <c r="B112" s="49"/>
      <c r="C112" s="49"/>
      <c r="D112" s="49"/>
      <c r="E112" s="49"/>
      <c r="F112" s="49"/>
      <c r="G112" s="49"/>
      <c r="H112" s="49"/>
      <c r="I112" s="49"/>
      <c r="J112" s="49"/>
    </row>
    <row r="113">
      <c r="A113" s="49"/>
      <c r="B113" s="49"/>
      <c r="C113" s="49"/>
      <c r="D113" s="49"/>
      <c r="E113" s="49"/>
      <c r="F113" s="49"/>
      <c r="G113" s="49"/>
      <c r="H113" s="49"/>
      <c r="I113" s="49"/>
      <c r="J113" s="49"/>
    </row>
    <row r="114">
      <c r="A114" s="49"/>
      <c r="B114" s="49"/>
      <c r="C114" s="49"/>
      <c r="D114" s="49"/>
      <c r="E114" s="49"/>
      <c r="F114" s="49"/>
      <c r="G114" s="49"/>
      <c r="H114" s="49"/>
      <c r="I114" s="49"/>
      <c r="J114" s="49"/>
    </row>
    <row r="115">
      <c r="A115" s="49"/>
      <c r="B115" s="49"/>
      <c r="C115" s="49"/>
      <c r="D115" s="49"/>
      <c r="E115" s="49"/>
      <c r="F115" s="49"/>
      <c r="G115" s="49"/>
      <c r="H115" s="49"/>
      <c r="I115" s="49"/>
      <c r="J115" s="49"/>
    </row>
    <row r="116">
      <c r="A116" s="49"/>
      <c r="B116" s="49"/>
      <c r="C116" s="49"/>
      <c r="D116" s="49"/>
      <c r="E116" s="49"/>
      <c r="F116" s="49"/>
      <c r="G116" s="49"/>
      <c r="H116" s="49"/>
      <c r="I116" s="49"/>
      <c r="J116" s="49"/>
    </row>
    <row r="117">
      <c r="A117" s="49"/>
      <c r="B117" s="49"/>
      <c r="C117" s="49"/>
      <c r="D117" s="49"/>
      <c r="E117" s="49"/>
      <c r="F117" s="49"/>
      <c r="G117" s="49"/>
      <c r="H117" s="49"/>
      <c r="I117" s="49"/>
      <c r="J117" s="49"/>
    </row>
    <row r="118">
      <c r="A118" s="49"/>
      <c r="B118" s="49"/>
      <c r="C118" s="49"/>
      <c r="D118" s="49"/>
      <c r="E118" s="49"/>
      <c r="F118" s="49"/>
      <c r="G118" s="49"/>
      <c r="H118" s="49"/>
      <c r="I118" s="49"/>
      <c r="J118" s="49"/>
    </row>
    <row r="119">
      <c r="A119" s="49"/>
      <c r="B119" s="49"/>
      <c r="C119" s="49"/>
      <c r="D119" s="49"/>
      <c r="E119" s="49"/>
      <c r="F119" s="49"/>
      <c r="G119" s="49"/>
      <c r="H119" s="49"/>
      <c r="I119" s="49"/>
      <c r="J119" s="49"/>
    </row>
    <row r="120">
      <c r="A120" s="49"/>
      <c r="B120" s="49"/>
      <c r="C120" s="49"/>
      <c r="D120" s="49"/>
      <c r="E120" s="49"/>
      <c r="F120" s="49"/>
      <c r="G120" s="49"/>
      <c r="H120" s="49"/>
      <c r="I120" s="49"/>
      <c r="J120" s="49"/>
    </row>
    <row r="121">
      <c r="A121" s="49"/>
      <c r="B121" s="49"/>
      <c r="C121" s="49"/>
      <c r="D121" s="49"/>
      <c r="E121" s="49"/>
      <c r="F121" s="49"/>
      <c r="G121" s="49"/>
      <c r="H121" s="49"/>
      <c r="I121" s="49"/>
      <c r="J121" s="49"/>
    </row>
    <row r="122">
      <c r="A122" s="49"/>
      <c r="B122" s="49"/>
      <c r="C122" s="49"/>
      <c r="D122" s="49"/>
      <c r="E122" s="49"/>
      <c r="F122" s="49"/>
      <c r="G122" s="49"/>
      <c r="H122" s="49"/>
      <c r="I122" s="49"/>
      <c r="J122" s="49"/>
    </row>
    <row r="123">
      <c r="A123" s="49"/>
      <c r="B123" s="49"/>
      <c r="C123" s="49"/>
      <c r="D123" s="49"/>
      <c r="E123" s="49"/>
      <c r="F123" s="49"/>
      <c r="G123" s="49"/>
      <c r="H123" s="49"/>
      <c r="I123" s="49"/>
      <c r="J123" s="49"/>
    </row>
    <row r="124">
      <c r="A124" s="49"/>
      <c r="B124" s="49"/>
      <c r="C124" s="49"/>
      <c r="D124" s="49"/>
      <c r="E124" s="49"/>
      <c r="F124" s="49"/>
      <c r="G124" s="49"/>
      <c r="H124" s="49"/>
      <c r="I124" s="49"/>
      <c r="J124" s="49"/>
    </row>
    <row r="125">
      <c r="A125" s="49"/>
      <c r="B125" s="49"/>
      <c r="C125" s="49"/>
      <c r="D125" s="49"/>
      <c r="E125" s="49"/>
      <c r="F125" s="49"/>
      <c r="G125" s="49"/>
      <c r="H125" s="49"/>
      <c r="I125" s="49"/>
      <c r="J125" s="49"/>
    </row>
    <row r="126">
      <c r="A126" s="49"/>
      <c r="B126" s="49"/>
      <c r="C126" s="49"/>
      <c r="D126" s="49"/>
      <c r="E126" s="49"/>
      <c r="F126" s="49"/>
      <c r="G126" s="49"/>
      <c r="H126" s="49"/>
      <c r="I126" s="49"/>
      <c r="J126" s="49"/>
    </row>
    <row r="127">
      <c r="A127" s="49"/>
      <c r="B127" s="49"/>
      <c r="C127" s="49"/>
      <c r="D127" s="49"/>
      <c r="E127" s="49"/>
      <c r="F127" s="49"/>
      <c r="G127" s="49"/>
      <c r="H127" s="49"/>
      <c r="I127" s="49"/>
      <c r="J127" s="49"/>
    </row>
    <row r="128">
      <c r="A128" s="49"/>
      <c r="B128" s="49"/>
      <c r="C128" s="49"/>
      <c r="D128" s="49"/>
      <c r="E128" s="49"/>
      <c r="F128" s="49"/>
      <c r="G128" s="49"/>
      <c r="H128" s="49"/>
      <c r="I128" s="49"/>
      <c r="J128" s="49"/>
    </row>
    <row r="129">
      <c r="A129" s="49"/>
      <c r="B129" s="49"/>
      <c r="C129" s="49"/>
      <c r="D129" s="49"/>
      <c r="E129" s="49"/>
      <c r="F129" s="49"/>
      <c r="G129" s="49"/>
      <c r="H129" s="49"/>
      <c r="I129" s="49"/>
      <c r="J129" s="49"/>
    </row>
    <row r="130">
      <c r="A130" s="49"/>
      <c r="B130" s="49"/>
      <c r="C130" s="49"/>
      <c r="D130" s="49"/>
      <c r="E130" s="49"/>
      <c r="F130" s="49"/>
      <c r="G130" s="49"/>
      <c r="H130" s="49"/>
      <c r="I130" s="49"/>
      <c r="J130" s="49"/>
    </row>
    <row r="131">
      <c r="A131" s="49"/>
      <c r="B131" s="49"/>
      <c r="C131" s="49"/>
      <c r="D131" s="49"/>
      <c r="E131" s="49"/>
      <c r="F131" s="49"/>
      <c r="G131" s="49"/>
      <c r="H131" s="49"/>
      <c r="I131" s="49"/>
      <c r="J131" s="49"/>
    </row>
    <row r="132">
      <c r="A132" s="49"/>
      <c r="B132" s="49"/>
      <c r="C132" s="49"/>
      <c r="D132" s="49"/>
      <c r="E132" s="49"/>
      <c r="F132" s="49"/>
      <c r="G132" s="49"/>
      <c r="H132" s="49"/>
      <c r="I132" s="49"/>
      <c r="J132" s="49"/>
    </row>
    <row r="133">
      <c r="A133" s="49"/>
      <c r="B133" s="49"/>
      <c r="C133" s="49"/>
      <c r="D133" s="49"/>
      <c r="E133" s="49"/>
      <c r="F133" s="49"/>
      <c r="G133" s="49"/>
      <c r="H133" s="49"/>
      <c r="I133" s="49"/>
      <c r="J133" s="49"/>
    </row>
    <row r="134">
      <c r="A134" s="49"/>
      <c r="B134" s="49"/>
      <c r="C134" s="49"/>
      <c r="D134" s="49"/>
      <c r="E134" s="49"/>
      <c r="F134" s="49"/>
      <c r="G134" s="49"/>
      <c r="H134" s="49"/>
      <c r="I134" s="49"/>
      <c r="J134" s="49"/>
    </row>
    <row r="135">
      <c r="A135" s="49"/>
      <c r="B135" s="49"/>
      <c r="C135" s="49"/>
      <c r="D135" s="49"/>
      <c r="E135" s="49"/>
      <c r="F135" s="49"/>
      <c r="G135" s="49"/>
      <c r="H135" s="49"/>
      <c r="I135" s="49"/>
      <c r="J135" s="49"/>
    </row>
    <row r="136">
      <c r="A136" s="49"/>
      <c r="B136" s="49"/>
      <c r="C136" s="49"/>
      <c r="D136" s="49"/>
      <c r="E136" s="49"/>
      <c r="F136" s="49"/>
      <c r="G136" s="49"/>
      <c r="H136" s="49"/>
      <c r="I136" s="49"/>
      <c r="J136" s="49"/>
    </row>
    <row r="137">
      <c r="A137" s="49"/>
      <c r="B137" s="49"/>
      <c r="C137" s="49"/>
      <c r="D137" s="49"/>
      <c r="E137" s="49"/>
      <c r="F137" s="49"/>
      <c r="G137" s="49"/>
      <c r="H137" s="49"/>
      <c r="I137" s="49"/>
      <c r="J137" s="49"/>
    </row>
    <row r="138">
      <c r="A138" s="49"/>
      <c r="B138" s="49"/>
      <c r="C138" s="49"/>
      <c r="D138" s="49"/>
      <c r="E138" s="49"/>
      <c r="F138" s="49"/>
      <c r="G138" s="49"/>
      <c r="H138" s="49"/>
      <c r="I138" s="49"/>
      <c r="J138" s="49"/>
    </row>
    <row r="139">
      <c r="A139" s="49"/>
      <c r="B139" s="49"/>
      <c r="C139" s="49"/>
      <c r="D139" s="49"/>
      <c r="E139" s="49"/>
      <c r="F139" s="49"/>
      <c r="G139" s="49"/>
      <c r="H139" s="49"/>
      <c r="I139" s="49"/>
      <c r="J139" s="49"/>
    </row>
    <row r="140">
      <c r="A140" s="49"/>
      <c r="B140" s="49"/>
      <c r="C140" s="49"/>
      <c r="D140" s="49"/>
      <c r="E140" s="49"/>
      <c r="F140" s="49"/>
      <c r="G140" s="49"/>
      <c r="H140" s="49"/>
      <c r="I140" s="49"/>
      <c r="J140" s="49"/>
    </row>
    <row r="141">
      <c r="A141" s="49"/>
      <c r="B141" s="49"/>
      <c r="C141" s="49"/>
      <c r="D141" s="49"/>
      <c r="E141" s="49"/>
      <c r="F141" s="49"/>
      <c r="G141" s="49"/>
      <c r="H141" s="49"/>
      <c r="I141" s="49"/>
      <c r="J141" s="49"/>
    </row>
    <row r="142">
      <c r="A142" s="49"/>
      <c r="B142" s="49"/>
      <c r="C142" s="49"/>
      <c r="D142" s="49"/>
      <c r="E142" s="49"/>
      <c r="F142" s="49"/>
      <c r="G142" s="49"/>
      <c r="H142" s="49"/>
      <c r="I142" s="49"/>
      <c r="J142" s="49"/>
    </row>
    <row r="143">
      <c r="A143" s="49"/>
      <c r="B143" s="49"/>
      <c r="C143" s="49"/>
      <c r="D143" s="49"/>
      <c r="E143" s="49"/>
      <c r="F143" s="49"/>
      <c r="G143" s="49"/>
      <c r="H143" s="49"/>
      <c r="I143" s="49"/>
      <c r="J143" s="49"/>
    </row>
    <row r="144">
      <c r="A144" s="49"/>
      <c r="B144" s="49"/>
      <c r="C144" s="49"/>
      <c r="D144" s="49"/>
      <c r="E144" s="49"/>
      <c r="F144" s="49"/>
      <c r="G144" s="49"/>
      <c r="H144" s="49"/>
      <c r="I144" s="49"/>
      <c r="J144" s="49"/>
    </row>
    <row r="145">
      <c r="A145" s="49"/>
      <c r="B145" s="49"/>
      <c r="C145" s="49"/>
      <c r="D145" s="49"/>
      <c r="E145" s="49"/>
      <c r="F145" s="49"/>
      <c r="G145" s="49"/>
      <c r="H145" s="49"/>
      <c r="I145" s="49"/>
      <c r="J145" s="49"/>
    </row>
    <row r="146">
      <c r="A146" s="49"/>
      <c r="B146" s="49"/>
      <c r="C146" s="49"/>
      <c r="D146" s="49"/>
      <c r="E146" s="49"/>
      <c r="F146" s="49"/>
      <c r="G146" s="49"/>
      <c r="H146" s="49"/>
      <c r="I146" s="49"/>
      <c r="J146" s="49"/>
    </row>
    <row r="147">
      <c r="A147" s="49"/>
      <c r="B147" s="49"/>
      <c r="C147" s="49"/>
      <c r="D147" s="49"/>
      <c r="E147" s="49"/>
      <c r="F147" s="49"/>
      <c r="G147" s="49"/>
      <c r="H147" s="49"/>
      <c r="I147" s="49"/>
      <c r="J147" s="49"/>
    </row>
    <row r="148">
      <c r="A148" s="49"/>
      <c r="B148" s="49"/>
      <c r="C148" s="49"/>
      <c r="D148" s="49"/>
      <c r="E148" s="49"/>
      <c r="F148" s="49"/>
      <c r="G148" s="49"/>
      <c r="H148" s="49"/>
      <c r="I148" s="49"/>
      <c r="J148" s="49"/>
    </row>
    <row r="149">
      <c r="A149" s="49"/>
      <c r="B149" s="49"/>
      <c r="C149" s="49"/>
      <c r="D149" s="49"/>
      <c r="E149" s="49"/>
      <c r="F149" s="49"/>
      <c r="G149" s="49"/>
      <c r="H149" s="49"/>
      <c r="I149" s="49"/>
      <c r="J149" s="49"/>
    </row>
    <row r="150">
      <c r="A150" s="49"/>
      <c r="B150" s="49"/>
      <c r="C150" s="49"/>
      <c r="D150" s="49"/>
      <c r="E150" s="49"/>
      <c r="F150" s="49"/>
      <c r="G150" s="49"/>
      <c r="H150" s="49"/>
      <c r="I150" s="49"/>
      <c r="J150" s="49"/>
    </row>
    <row r="151">
      <c r="A151" s="49"/>
      <c r="B151" s="49"/>
      <c r="C151" s="49"/>
      <c r="D151" s="49"/>
      <c r="E151" s="49"/>
      <c r="F151" s="49"/>
      <c r="G151" s="49"/>
      <c r="H151" s="49"/>
      <c r="I151" s="49"/>
      <c r="J151" s="49"/>
    </row>
    <row r="152">
      <c r="A152" s="49"/>
      <c r="B152" s="49"/>
      <c r="C152" s="49"/>
      <c r="D152" s="49"/>
      <c r="E152" s="49"/>
      <c r="F152" s="49"/>
      <c r="G152" s="49"/>
      <c r="H152" s="49"/>
      <c r="I152" s="49"/>
      <c r="J152" s="49"/>
    </row>
    <row r="153">
      <c r="A153" s="49"/>
      <c r="B153" s="49"/>
      <c r="C153" s="49"/>
      <c r="D153" s="49"/>
      <c r="E153" s="49"/>
      <c r="F153" s="49"/>
      <c r="G153" s="49"/>
      <c r="H153" s="49"/>
      <c r="I153" s="49"/>
      <c r="J153" s="49"/>
    </row>
    <row r="154">
      <c r="A154" s="49"/>
      <c r="B154" s="49"/>
      <c r="C154" s="49"/>
      <c r="D154" s="49"/>
      <c r="E154" s="49"/>
      <c r="F154" s="49"/>
      <c r="G154" s="49"/>
      <c r="H154" s="49"/>
      <c r="I154" s="49"/>
      <c r="J154" s="49"/>
    </row>
    <row r="155">
      <c r="A155" s="49"/>
      <c r="B155" s="49"/>
      <c r="C155" s="49"/>
      <c r="D155" s="49"/>
      <c r="E155" s="49"/>
      <c r="F155" s="49"/>
      <c r="G155" s="49"/>
      <c r="H155" s="49"/>
      <c r="I155" s="49"/>
      <c r="J155" s="49"/>
    </row>
    <row r="156">
      <c r="A156" s="49"/>
      <c r="B156" s="49"/>
      <c r="C156" s="49"/>
      <c r="D156" s="49"/>
      <c r="E156" s="49"/>
      <c r="F156" s="49"/>
      <c r="G156" s="49"/>
      <c r="H156" s="49"/>
      <c r="I156" s="49"/>
      <c r="J156" s="49"/>
    </row>
    <row r="157">
      <c r="A157" s="49"/>
      <c r="B157" s="49"/>
      <c r="C157" s="49"/>
      <c r="D157" s="49"/>
      <c r="E157" s="49"/>
      <c r="F157" s="49"/>
      <c r="G157" s="49"/>
      <c r="H157" s="49"/>
      <c r="I157" s="49"/>
      <c r="J157" s="49"/>
    </row>
    <row r="158">
      <c r="A158" s="49"/>
      <c r="B158" s="49"/>
      <c r="C158" s="49"/>
      <c r="D158" s="49"/>
      <c r="E158" s="49"/>
      <c r="F158" s="49"/>
      <c r="G158" s="49"/>
      <c r="H158" s="49"/>
      <c r="I158" s="49"/>
      <c r="J158" s="49"/>
    </row>
    <row r="159">
      <c r="A159" s="49"/>
      <c r="B159" s="49"/>
      <c r="C159" s="49"/>
      <c r="D159" s="49"/>
      <c r="E159" s="49"/>
      <c r="F159" s="49"/>
      <c r="G159" s="49"/>
      <c r="H159" s="49"/>
      <c r="I159" s="49"/>
      <c r="J159" s="49"/>
    </row>
    <row r="160">
      <c r="A160" s="49"/>
      <c r="B160" s="49"/>
      <c r="C160" s="49"/>
      <c r="D160" s="49"/>
      <c r="E160" s="49"/>
      <c r="F160" s="49"/>
      <c r="G160" s="49"/>
      <c r="H160" s="49"/>
      <c r="I160" s="49"/>
      <c r="J160" s="49"/>
    </row>
    <row r="161">
      <c r="A161" s="49"/>
      <c r="B161" s="49"/>
      <c r="C161" s="49"/>
      <c r="D161" s="49"/>
      <c r="E161" s="49"/>
      <c r="F161" s="49"/>
      <c r="G161" s="49"/>
      <c r="H161" s="49"/>
      <c r="I161" s="49"/>
      <c r="J161" s="49"/>
    </row>
    <row r="162">
      <c r="A162" s="49"/>
      <c r="B162" s="49"/>
      <c r="C162" s="49"/>
      <c r="D162" s="49"/>
      <c r="E162" s="49"/>
      <c r="F162" s="49"/>
      <c r="G162" s="49"/>
      <c r="H162" s="49"/>
      <c r="I162" s="49"/>
      <c r="J162" s="49"/>
    </row>
    <row r="163">
      <c r="A163" s="49"/>
      <c r="B163" s="49"/>
      <c r="C163" s="49"/>
      <c r="D163" s="49"/>
      <c r="E163" s="49"/>
      <c r="F163" s="49"/>
      <c r="G163" s="49"/>
      <c r="H163" s="49"/>
      <c r="I163" s="49"/>
      <c r="J163" s="49"/>
    </row>
    <row r="164">
      <c r="A164" s="49"/>
      <c r="B164" s="49"/>
      <c r="C164" s="49"/>
      <c r="D164" s="49"/>
      <c r="E164" s="49"/>
      <c r="F164" s="49"/>
      <c r="G164" s="49"/>
      <c r="H164" s="49"/>
      <c r="I164" s="49"/>
      <c r="J164" s="49"/>
    </row>
    <row r="165">
      <c r="A165" s="49"/>
      <c r="B165" s="49"/>
      <c r="C165" s="49"/>
      <c r="D165" s="49"/>
      <c r="E165" s="49"/>
      <c r="F165" s="49"/>
      <c r="G165" s="49"/>
      <c r="H165" s="49"/>
      <c r="I165" s="49"/>
      <c r="J165" s="49"/>
    </row>
    <row r="166">
      <c r="A166" s="49"/>
      <c r="B166" s="49"/>
      <c r="C166" s="49"/>
      <c r="D166" s="49"/>
      <c r="E166" s="49"/>
      <c r="F166" s="49"/>
      <c r="G166" s="49"/>
      <c r="H166" s="49"/>
      <c r="I166" s="49"/>
      <c r="J166" s="49"/>
    </row>
    <row r="167">
      <c r="A167" s="49"/>
      <c r="B167" s="49"/>
      <c r="C167" s="49"/>
      <c r="D167" s="49"/>
      <c r="E167" s="49"/>
      <c r="F167" s="49"/>
      <c r="G167" s="49"/>
      <c r="H167" s="49"/>
      <c r="I167" s="49"/>
      <c r="J167" s="49"/>
    </row>
    <row r="168">
      <c r="A168" s="49"/>
      <c r="B168" s="49"/>
      <c r="C168" s="49"/>
      <c r="D168" s="49"/>
      <c r="E168" s="49"/>
      <c r="F168" s="49"/>
      <c r="G168" s="49"/>
      <c r="H168" s="49"/>
      <c r="I168" s="49"/>
      <c r="J168" s="49"/>
    </row>
    <row r="169">
      <c r="A169" s="49"/>
      <c r="B169" s="49"/>
      <c r="C169" s="49"/>
      <c r="D169" s="49"/>
      <c r="E169" s="49"/>
      <c r="F169" s="49"/>
      <c r="G169" s="49"/>
      <c r="H169" s="49"/>
      <c r="I169" s="49"/>
      <c r="J169" s="49"/>
    </row>
    <row r="170">
      <c r="A170" s="49"/>
      <c r="B170" s="49"/>
      <c r="C170" s="49"/>
      <c r="D170" s="49"/>
      <c r="E170" s="49"/>
      <c r="F170" s="49"/>
      <c r="G170" s="49"/>
      <c r="H170" s="49"/>
      <c r="I170" s="49"/>
      <c r="J170" s="49"/>
    </row>
    <row r="171">
      <c r="A171" s="49"/>
      <c r="B171" s="49"/>
      <c r="C171" s="49"/>
      <c r="D171" s="49"/>
      <c r="E171" s="49"/>
      <c r="F171" s="49"/>
      <c r="G171" s="49"/>
      <c r="H171" s="49"/>
      <c r="I171" s="49"/>
      <c r="J171" s="49"/>
    </row>
    <row r="172">
      <c r="A172" s="49"/>
      <c r="B172" s="49"/>
      <c r="C172" s="49"/>
      <c r="D172" s="49"/>
      <c r="E172" s="49"/>
      <c r="F172" s="49"/>
      <c r="G172" s="49"/>
      <c r="H172" s="49"/>
      <c r="I172" s="49"/>
      <c r="J172" s="49"/>
    </row>
    <row r="173">
      <c r="A173" s="49"/>
      <c r="B173" s="49"/>
      <c r="C173" s="49"/>
      <c r="D173" s="49"/>
      <c r="E173" s="49"/>
      <c r="F173" s="49"/>
      <c r="G173" s="49"/>
      <c r="H173" s="49"/>
      <c r="I173" s="49"/>
      <c r="J173" s="49"/>
    </row>
    <row r="174">
      <c r="A174" s="49"/>
      <c r="B174" s="49"/>
      <c r="C174" s="49"/>
      <c r="D174" s="49"/>
      <c r="E174" s="49"/>
      <c r="F174" s="49"/>
      <c r="G174" s="49"/>
      <c r="H174" s="49"/>
      <c r="I174" s="49"/>
      <c r="J174" s="49"/>
    </row>
    <row r="175">
      <c r="A175" s="49"/>
      <c r="B175" s="49"/>
      <c r="C175" s="49"/>
      <c r="D175" s="49"/>
      <c r="E175" s="49"/>
      <c r="F175" s="49"/>
      <c r="G175" s="49"/>
      <c r="H175" s="49"/>
      <c r="I175" s="49"/>
      <c r="J175" s="49"/>
    </row>
    <row r="176">
      <c r="A176" s="49"/>
      <c r="B176" s="49"/>
      <c r="C176" s="49"/>
      <c r="D176" s="49"/>
      <c r="E176" s="49"/>
      <c r="F176" s="49"/>
      <c r="G176" s="49"/>
      <c r="H176" s="49"/>
      <c r="I176" s="49"/>
      <c r="J176" s="49"/>
    </row>
    <row r="177">
      <c r="A177" s="49"/>
      <c r="B177" s="49"/>
      <c r="C177" s="49"/>
      <c r="D177" s="49"/>
      <c r="E177" s="49"/>
      <c r="F177" s="49"/>
      <c r="G177" s="49"/>
      <c r="H177" s="49"/>
      <c r="I177" s="49"/>
      <c r="J177" s="49"/>
    </row>
    <row r="178">
      <c r="A178" s="49"/>
      <c r="B178" s="49"/>
      <c r="C178" s="49"/>
      <c r="D178" s="49"/>
      <c r="E178" s="49"/>
      <c r="F178" s="49"/>
      <c r="G178" s="49"/>
      <c r="H178" s="49"/>
      <c r="I178" s="49"/>
      <c r="J178" s="49"/>
    </row>
    <row r="179">
      <c r="A179" s="49"/>
      <c r="B179" s="49"/>
      <c r="C179" s="49"/>
      <c r="D179" s="49"/>
      <c r="E179" s="49"/>
      <c r="F179" s="49"/>
      <c r="G179" s="49"/>
      <c r="H179" s="49"/>
      <c r="I179" s="49"/>
      <c r="J179" s="49"/>
    </row>
    <row r="180">
      <c r="A180" s="49"/>
      <c r="B180" s="49"/>
      <c r="C180" s="49"/>
      <c r="D180" s="49"/>
      <c r="E180" s="49"/>
      <c r="F180" s="49"/>
      <c r="G180" s="49"/>
      <c r="H180" s="49"/>
      <c r="I180" s="49"/>
      <c r="J180" s="49"/>
    </row>
    <row r="181">
      <c r="A181" s="49"/>
      <c r="B181" s="49"/>
      <c r="C181" s="49"/>
      <c r="D181" s="49"/>
      <c r="E181" s="49"/>
      <c r="F181" s="49"/>
      <c r="G181" s="49"/>
      <c r="H181" s="49"/>
      <c r="I181" s="49"/>
      <c r="J181" s="49"/>
    </row>
    <row r="182">
      <c r="A182" s="49"/>
      <c r="B182" s="49"/>
      <c r="C182" s="49"/>
      <c r="D182" s="49"/>
      <c r="E182" s="49"/>
      <c r="F182" s="49"/>
      <c r="G182" s="49"/>
      <c r="H182" s="49"/>
      <c r="I182" s="49"/>
      <c r="J182" s="49"/>
    </row>
    <row r="183">
      <c r="A183" s="49"/>
      <c r="B183" s="49"/>
      <c r="C183" s="49"/>
      <c r="D183" s="49"/>
      <c r="E183" s="49"/>
      <c r="F183" s="49"/>
      <c r="G183" s="49"/>
      <c r="H183" s="49"/>
      <c r="I183" s="49"/>
      <c r="J183" s="49"/>
    </row>
    <row r="184">
      <c r="A184" s="49"/>
      <c r="B184" s="49"/>
      <c r="C184" s="49"/>
      <c r="D184" s="49"/>
      <c r="E184" s="49"/>
      <c r="F184" s="49"/>
      <c r="G184" s="49"/>
      <c r="H184" s="49"/>
      <c r="I184" s="49"/>
      <c r="J184" s="49"/>
    </row>
    <row r="185">
      <c r="A185" s="49"/>
      <c r="B185" s="49"/>
      <c r="C185" s="49"/>
      <c r="D185" s="49"/>
      <c r="E185" s="49"/>
      <c r="F185" s="49"/>
      <c r="G185" s="49"/>
      <c r="H185" s="49"/>
      <c r="I185" s="49"/>
      <c r="J185" s="49"/>
    </row>
    <row r="186">
      <c r="A186" s="49"/>
      <c r="B186" s="49"/>
      <c r="C186" s="49"/>
      <c r="D186" s="49"/>
      <c r="E186" s="49"/>
      <c r="F186" s="49"/>
      <c r="G186" s="49"/>
      <c r="H186" s="49"/>
      <c r="I186" s="49"/>
      <c r="J186" s="49"/>
    </row>
    <row r="187">
      <c r="A187" s="49"/>
      <c r="B187" s="49"/>
      <c r="C187" s="49"/>
      <c r="D187" s="49"/>
      <c r="E187" s="49"/>
      <c r="F187" s="49"/>
      <c r="G187" s="49"/>
      <c r="H187" s="49"/>
      <c r="I187" s="49"/>
      <c r="J187" s="49"/>
    </row>
    <row r="188">
      <c r="A188" s="49"/>
      <c r="B188" s="49"/>
      <c r="C188" s="49"/>
      <c r="D188" s="49"/>
      <c r="E188" s="49"/>
      <c r="F188" s="49"/>
      <c r="G188" s="49"/>
      <c r="H188" s="49"/>
      <c r="I188" s="49"/>
      <c r="J188" s="49"/>
    </row>
    <row r="189">
      <c r="A189" s="49"/>
      <c r="B189" s="49"/>
      <c r="C189" s="49"/>
      <c r="D189" s="49"/>
      <c r="E189" s="49"/>
      <c r="F189" s="49"/>
      <c r="G189" s="49"/>
      <c r="H189" s="49"/>
      <c r="I189" s="49"/>
      <c r="J189" s="49"/>
    </row>
    <row r="190">
      <c r="A190" s="49"/>
      <c r="B190" s="49"/>
      <c r="C190" s="49"/>
      <c r="D190" s="49"/>
      <c r="E190" s="49"/>
      <c r="F190" s="49"/>
      <c r="G190" s="49"/>
      <c r="H190" s="49"/>
      <c r="I190" s="49"/>
      <c r="J190" s="49"/>
    </row>
    <row r="191">
      <c r="A191" s="49"/>
      <c r="B191" s="49"/>
      <c r="C191" s="49"/>
      <c r="D191" s="49"/>
      <c r="E191" s="49"/>
      <c r="F191" s="49"/>
      <c r="G191" s="49"/>
      <c r="H191" s="49"/>
      <c r="I191" s="49"/>
      <c r="J191" s="49"/>
    </row>
    <row r="192">
      <c r="A192" s="49"/>
      <c r="B192" s="49"/>
      <c r="C192" s="49"/>
      <c r="D192" s="49"/>
      <c r="E192" s="49"/>
      <c r="F192" s="49"/>
      <c r="G192" s="49"/>
      <c r="H192" s="49"/>
      <c r="I192" s="49"/>
      <c r="J192" s="49"/>
    </row>
    <row r="193">
      <c r="A193" s="49"/>
      <c r="B193" s="49"/>
      <c r="C193" s="49"/>
      <c r="D193" s="49"/>
      <c r="E193" s="49"/>
      <c r="F193" s="49"/>
      <c r="G193" s="49"/>
      <c r="H193" s="49"/>
      <c r="I193" s="49"/>
      <c r="J193" s="49"/>
    </row>
    <row r="194">
      <c r="A194" s="49"/>
      <c r="B194" s="49"/>
      <c r="C194" s="49"/>
      <c r="D194" s="49"/>
      <c r="E194" s="49"/>
      <c r="F194" s="49"/>
      <c r="G194" s="49"/>
      <c r="H194" s="49"/>
      <c r="I194" s="49"/>
      <c r="J194" s="49"/>
    </row>
    <row r="195">
      <c r="A195" s="49"/>
      <c r="B195" s="49"/>
      <c r="C195" s="49"/>
      <c r="D195" s="49"/>
      <c r="E195" s="49"/>
      <c r="F195" s="49"/>
      <c r="G195" s="49"/>
      <c r="H195" s="49"/>
      <c r="I195" s="49"/>
      <c r="J195" s="49"/>
    </row>
    <row r="196">
      <c r="A196" s="49"/>
      <c r="B196" s="49"/>
      <c r="C196" s="49"/>
      <c r="D196" s="49"/>
      <c r="E196" s="49"/>
      <c r="F196" s="49"/>
      <c r="G196" s="49"/>
      <c r="H196" s="49"/>
      <c r="I196" s="49"/>
      <c r="J196" s="49"/>
    </row>
    <row r="197">
      <c r="A197" s="49"/>
      <c r="B197" s="49"/>
      <c r="C197" s="49"/>
      <c r="D197" s="49"/>
      <c r="E197" s="49"/>
      <c r="F197" s="49"/>
      <c r="G197" s="49"/>
      <c r="H197" s="49"/>
      <c r="I197" s="49"/>
      <c r="J197" s="49"/>
    </row>
    <row r="198">
      <c r="A198" s="49"/>
      <c r="B198" s="49"/>
      <c r="C198" s="49"/>
      <c r="D198" s="49"/>
      <c r="E198" s="49"/>
      <c r="F198" s="49"/>
      <c r="G198" s="49"/>
      <c r="H198" s="49"/>
      <c r="I198" s="49"/>
      <c r="J198" s="49"/>
    </row>
    <row r="199">
      <c r="A199" s="49"/>
      <c r="B199" s="49"/>
      <c r="C199" s="49"/>
      <c r="D199" s="49"/>
      <c r="E199" s="49"/>
      <c r="F199" s="49"/>
      <c r="G199" s="49"/>
      <c r="H199" s="49"/>
      <c r="I199" s="49"/>
      <c r="J199" s="49"/>
    </row>
    <row r="200">
      <c r="A200" s="49"/>
      <c r="B200" s="49"/>
      <c r="C200" s="49"/>
      <c r="D200" s="49"/>
      <c r="E200" s="49"/>
      <c r="F200" s="49"/>
      <c r="G200" s="49"/>
      <c r="H200" s="49"/>
      <c r="I200" s="49"/>
      <c r="J200" s="49"/>
    </row>
    <row r="201">
      <c r="A201" s="49"/>
      <c r="B201" s="49"/>
      <c r="C201" s="49"/>
      <c r="D201" s="49"/>
      <c r="E201" s="49"/>
      <c r="F201" s="49"/>
      <c r="G201" s="49"/>
      <c r="H201" s="49"/>
      <c r="I201" s="49"/>
      <c r="J201" s="49"/>
    </row>
    <row r="202">
      <c r="A202" s="49"/>
      <c r="B202" s="49"/>
      <c r="C202" s="49"/>
      <c r="D202" s="49"/>
      <c r="E202" s="49"/>
      <c r="F202" s="49"/>
      <c r="G202" s="49"/>
      <c r="H202" s="49"/>
      <c r="I202" s="49"/>
      <c r="J202" s="49"/>
    </row>
    <row r="203">
      <c r="A203" s="49"/>
      <c r="B203" s="49"/>
      <c r="C203" s="49"/>
      <c r="D203" s="49"/>
      <c r="E203" s="49"/>
      <c r="F203" s="49"/>
      <c r="G203" s="49"/>
      <c r="H203" s="49"/>
      <c r="I203" s="49"/>
      <c r="J203" s="49"/>
    </row>
    <row r="204">
      <c r="A204" s="49"/>
      <c r="B204" s="49"/>
      <c r="C204" s="49"/>
      <c r="D204" s="49"/>
      <c r="E204" s="49"/>
      <c r="F204" s="49"/>
      <c r="G204" s="49"/>
      <c r="H204" s="49"/>
      <c r="I204" s="49"/>
      <c r="J204" s="49"/>
    </row>
    <row r="205">
      <c r="A205" s="49"/>
      <c r="B205" s="49"/>
      <c r="C205" s="49"/>
      <c r="D205" s="49"/>
      <c r="E205" s="49"/>
      <c r="F205" s="49"/>
      <c r="G205" s="49"/>
      <c r="H205" s="49"/>
      <c r="I205" s="49"/>
      <c r="J205" s="49"/>
    </row>
    <row r="206">
      <c r="A206" s="49"/>
      <c r="B206" s="49"/>
      <c r="C206" s="49"/>
      <c r="D206" s="49"/>
      <c r="E206" s="49"/>
      <c r="F206" s="49"/>
      <c r="G206" s="49"/>
      <c r="H206" s="49"/>
      <c r="I206" s="49"/>
      <c r="J206" s="49"/>
    </row>
    <row r="207">
      <c r="A207" s="49"/>
      <c r="B207" s="49"/>
      <c r="C207" s="49"/>
      <c r="D207" s="49"/>
      <c r="E207" s="49"/>
      <c r="F207" s="49"/>
      <c r="G207" s="49"/>
      <c r="H207" s="49"/>
      <c r="I207" s="49"/>
      <c r="J207" s="49"/>
    </row>
    <row r="208">
      <c r="A208" s="49"/>
      <c r="B208" s="49"/>
      <c r="C208" s="49"/>
      <c r="D208" s="49"/>
      <c r="E208" s="49"/>
      <c r="F208" s="49"/>
      <c r="G208" s="49"/>
      <c r="H208" s="49"/>
      <c r="I208" s="49"/>
      <c r="J208" s="49"/>
    </row>
    <row r="209">
      <c r="A209" s="49"/>
      <c r="B209" s="49"/>
      <c r="C209" s="49"/>
      <c r="D209" s="49"/>
      <c r="E209" s="49"/>
      <c r="F209" s="49"/>
      <c r="G209" s="49"/>
      <c r="H209" s="49"/>
      <c r="I209" s="49"/>
      <c r="J209" s="49"/>
    </row>
    <row r="210">
      <c r="A210" s="49"/>
      <c r="B210" s="49"/>
      <c r="C210" s="49"/>
      <c r="D210" s="49"/>
      <c r="E210" s="49"/>
      <c r="F210" s="49"/>
      <c r="G210" s="49"/>
      <c r="H210" s="49"/>
      <c r="I210" s="49"/>
      <c r="J210" s="49"/>
    </row>
    <row r="211">
      <c r="A211" s="49"/>
      <c r="B211" s="49"/>
      <c r="C211" s="49"/>
      <c r="D211" s="49"/>
      <c r="E211" s="49"/>
      <c r="F211" s="49"/>
      <c r="G211" s="49"/>
      <c r="H211" s="49"/>
      <c r="I211" s="49"/>
      <c r="J211" s="49"/>
    </row>
    <row r="212">
      <c r="A212" s="49"/>
      <c r="B212" s="49"/>
      <c r="C212" s="49"/>
      <c r="D212" s="49"/>
      <c r="E212" s="49"/>
      <c r="F212" s="49"/>
      <c r="G212" s="49"/>
      <c r="H212" s="49"/>
      <c r="I212" s="49"/>
      <c r="J212" s="49"/>
    </row>
    <row r="213">
      <c r="A213" s="49"/>
      <c r="B213" s="49"/>
      <c r="C213" s="49"/>
      <c r="D213" s="49"/>
      <c r="E213" s="49"/>
      <c r="F213" s="49"/>
      <c r="G213" s="49"/>
      <c r="H213" s="49"/>
      <c r="I213" s="49"/>
      <c r="J213" s="49"/>
    </row>
    <row r="214">
      <c r="A214" s="49"/>
      <c r="B214" s="49"/>
      <c r="C214" s="49"/>
      <c r="D214" s="49"/>
      <c r="E214" s="49"/>
      <c r="F214" s="49"/>
      <c r="G214" s="49"/>
      <c r="H214" s="49"/>
      <c r="I214" s="49"/>
      <c r="J214" s="49"/>
    </row>
    <row r="215">
      <c r="A215" s="49"/>
      <c r="B215" s="49"/>
      <c r="C215" s="49"/>
      <c r="D215" s="49"/>
      <c r="E215" s="49"/>
      <c r="F215" s="49"/>
      <c r="G215" s="49"/>
      <c r="H215" s="49"/>
      <c r="I215" s="49"/>
      <c r="J215" s="49"/>
    </row>
    <row r="216">
      <c r="A216" s="49"/>
      <c r="B216" s="49"/>
      <c r="C216" s="49"/>
      <c r="D216" s="49"/>
      <c r="E216" s="49"/>
      <c r="F216" s="49"/>
      <c r="G216" s="49"/>
      <c r="H216" s="49"/>
      <c r="I216" s="49"/>
      <c r="J216" s="49"/>
    </row>
    <row r="217">
      <c r="A217" s="49"/>
      <c r="B217" s="49"/>
      <c r="C217" s="49"/>
      <c r="D217" s="49"/>
      <c r="E217" s="49"/>
      <c r="F217" s="49"/>
      <c r="G217" s="49"/>
      <c r="H217" s="49"/>
      <c r="I217" s="49"/>
      <c r="J217" s="49"/>
    </row>
    <row r="218">
      <c r="A218" s="49"/>
      <c r="B218" s="49"/>
      <c r="C218" s="49"/>
      <c r="D218" s="49"/>
      <c r="E218" s="49"/>
      <c r="F218" s="49"/>
      <c r="G218" s="49"/>
      <c r="H218" s="49"/>
      <c r="I218" s="49"/>
      <c r="J218" s="49"/>
    </row>
    <row r="219">
      <c r="A219" s="49"/>
      <c r="B219" s="49"/>
      <c r="C219" s="49"/>
      <c r="D219" s="49"/>
      <c r="E219" s="49"/>
      <c r="F219" s="49"/>
      <c r="G219" s="49"/>
      <c r="H219" s="49"/>
      <c r="I219" s="49"/>
      <c r="J219" s="49"/>
    </row>
    <row r="220">
      <c r="A220" s="49"/>
      <c r="B220" s="49"/>
      <c r="C220" s="49"/>
      <c r="D220" s="49"/>
      <c r="E220" s="49"/>
      <c r="F220" s="49"/>
      <c r="G220" s="49"/>
      <c r="H220" s="49"/>
      <c r="I220" s="49"/>
      <c r="J220" s="49"/>
    </row>
    <row r="221">
      <c r="A221" s="49"/>
      <c r="B221" s="49"/>
      <c r="C221" s="49"/>
      <c r="D221" s="49"/>
      <c r="E221" s="49"/>
      <c r="F221" s="49"/>
      <c r="G221" s="49"/>
      <c r="H221" s="49"/>
      <c r="I221" s="49"/>
      <c r="J221" s="49"/>
    </row>
    <row r="222">
      <c r="A222" s="49"/>
      <c r="B222" s="49"/>
      <c r="C222" s="49"/>
      <c r="D222" s="49"/>
      <c r="E222" s="49"/>
      <c r="F222" s="49"/>
      <c r="G222" s="49"/>
      <c r="H222" s="49"/>
      <c r="I222" s="49"/>
      <c r="J222" s="49"/>
    </row>
    <row r="223">
      <c r="A223" s="49"/>
      <c r="B223" s="49"/>
      <c r="C223" s="49"/>
      <c r="D223" s="49"/>
      <c r="E223" s="49"/>
      <c r="F223" s="49"/>
      <c r="G223" s="49"/>
      <c r="H223" s="49"/>
      <c r="I223" s="49"/>
      <c r="J223" s="49"/>
    </row>
    <row r="224">
      <c r="A224" s="49"/>
      <c r="B224" s="49"/>
      <c r="C224" s="49"/>
      <c r="D224" s="49"/>
      <c r="E224" s="49"/>
      <c r="F224" s="49"/>
      <c r="G224" s="49"/>
      <c r="H224" s="49"/>
      <c r="I224" s="49"/>
      <c r="J224" s="49"/>
    </row>
    <row r="225">
      <c r="A225" s="49"/>
      <c r="B225" s="49"/>
      <c r="C225" s="49"/>
      <c r="D225" s="49"/>
      <c r="E225" s="49"/>
      <c r="F225" s="49"/>
      <c r="G225" s="49"/>
      <c r="H225" s="49"/>
      <c r="I225" s="49"/>
      <c r="J225" s="49"/>
    </row>
    <row r="226">
      <c r="A226" s="49"/>
      <c r="B226" s="49"/>
      <c r="C226" s="49"/>
      <c r="D226" s="49"/>
      <c r="E226" s="49"/>
      <c r="F226" s="49"/>
      <c r="G226" s="49"/>
      <c r="H226" s="49"/>
      <c r="I226" s="49"/>
      <c r="J226" s="49"/>
    </row>
    <row r="227">
      <c r="A227" s="49"/>
      <c r="B227" s="49"/>
      <c r="C227" s="49"/>
      <c r="D227" s="49"/>
      <c r="E227" s="49"/>
      <c r="F227" s="49"/>
      <c r="G227" s="49"/>
      <c r="H227" s="49"/>
      <c r="I227" s="49"/>
      <c r="J227" s="49"/>
    </row>
    <row r="228">
      <c r="A228" s="49"/>
      <c r="B228" s="49"/>
      <c r="C228" s="49"/>
      <c r="D228" s="49"/>
      <c r="E228" s="49"/>
      <c r="F228" s="49"/>
      <c r="G228" s="49"/>
      <c r="H228" s="49"/>
      <c r="I228" s="49"/>
      <c r="J228" s="49"/>
    </row>
    <row r="229">
      <c r="A229" s="49"/>
      <c r="B229" s="49"/>
      <c r="C229" s="49"/>
      <c r="D229" s="49"/>
      <c r="E229" s="49"/>
      <c r="F229" s="49"/>
      <c r="G229" s="49"/>
      <c r="H229" s="49"/>
      <c r="I229" s="49"/>
      <c r="J229" s="49"/>
    </row>
    <row r="230">
      <c r="A230" s="49"/>
      <c r="B230" s="49"/>
      <c r="C230" s="49"/>
      <c r="D230" s="49"/>
      <c r="E230" s="49"/>
      <c r="F230" s="49"/>
      <c r="G230" s="49"/>
      <c r="H230" s="49"/>
      <c r="I230" s="49"/>
      <c r="J230" s="49"/>
    </row>
    <row r="231">
      <c r="A231" s="49"/>
      <c r="B231" s="49"/>
      <c r="C231" s="49"/>
      <c r="D231" s="49"/>
      <c r="E231" s="49"/>
      <c r="F231" s="49"/>
      <c r="G231" s="49"/>
      <c r="H231" s="49"/>
      <c r="I231" s="49"/>
      <c r="J231" s="49"/>
    </row>
    <row r="232">
      <c r="A232" s="49"/>
      <c r="B232" s="49"/>
      <c r="C232" s="49"/>
      <c r="D232" s="49"/>
      <c r="E232" s="49"/>
      <c r="F232" s="49"/>
      <c r="G232" s="49"/>
      <c r="H232" s="49"/>
      <c r="I232" s="49"/>
      <c r="J232" s="49"/>
    </row>
    <row r="233">
      <c r="A233" s="49"/>
      <c r="B233" s="49"/>
      <c r="C233" s="49"/>
      <c r="D233" s="49"/>
      <c r="E233" s="49"/>
      <c r="F233" s="49"/>
      <c r="G233" s="49"/>
      <c r="H233" s="49"/>
      <c r="I233" s="49"/>
      <c r="J233" s="49"/>
    </row>
    <row r="234">
      <c r="A234" s="49"/>
      <c r="B234" s="49"/>
      <c r="C234" s="49"/>
      <c r="D234" s="49"/>
      <c r="E234" s="49"/>
      <c r="F234" s="49"/>
      <c r="G234" s="49"/>
      <c r="H234" s="49"/>
      <c r="I234" s="49"/>
      <c r="J234" s="49"/>
    </row>
    <row r="235">
      <c r="A235" s="49"/>
      <c r="B235" s="49"/>
      <c r="C235" s="49"/>
      <c r="D235" s="49"/>
      <c r="E235" s="49"/>
      <c r="F235" s="49"/>
      <c r="G235" s="49"/>
      <c r="H235" s="49"/>
      <c r="I235" s="49"/>
      <c r="J235" s="49"/>
    </row>
    <row r="236">
      <c r="A236" s="49"/>
      <c r="B236" s="49"/>
      <c r="C236" s="49"/>
      <c r="D236" s="49"/>
      <c r="E236" s="49"/>
      <c r="F236" s="49"/>
      <c r="G236" s="49"/>
      <c r="H236" s="49"/>
      <c r="I236" s="49"/>
      <c r="J236" s="49"/>
    </row>
    <row r="237">
      <c r="A237" s="49"/>
      <c r="B237" s="49"/>
      <c r="C237" s="49"/>
      <c r="D237" s="49"/>
      <c r="E237" s="49"/>
      <c r="F237" s="49"/>
      <c r="G237" s="49"/>
      <c r="H237" s="49"/>
      <c r="I237" s="49"/>
      <c r="J237" s="49"/>
    </row>
    <row r="238">
      <c r="A238" s="49"/>
      <c r="B238" s="49"/>
      <c r="C238" s="49"/>
      <c r="D238" s="49"/>
      <c r="E238" s="49"/>
      <c r="F238" s="49"/>
      <c r="G238" s="49"/>
      <c r="H238" s="49"/>
      <c r="I238" s="49"/>
      <c r="J238" s="49"/>
    </row>
    <row r="239">
      <c r="A239" s="49"/>
      <c r="B239" s="49"/>
      <c r="C239" s="49"/>
      <c r="D239" s="49"/>
      <c r="E239" s="49"/>
      <c r="F239" s="49"/>
      <c r="G239" s="49"/>
      <c r="H239" s="49"/>
      <c r="I239" s="49"/>
      <c r="J239" s="49"/>
    </row>
    <row r="240">
      <c r="A240" s="49"/>
      <c r="B240" s="49"/>
      <c r="C240" s="49"/>
      <c r="D240" s="49"/>
      <c r="E240" s="49"/>
      <c r="F240" s="49"/>
      <c r="G240" s="49"/>
      <c r="H240" s="49"/>
      <c r="I240" s="49"/>
      <c r="J240" s="49"/>
    </row>
    <row r="241">
      <c r="A241" s="49"/>
      <c r="B241" s="49"/>
      <c r="C241" s="49"/>
      <c r="D241" s="49"/>
      <c r="E241" s="49"/>
      <c r="F241" s="49"/>
      <c r="G241" s="49"/>
      <c r="H241" s="49"/>
      <c r="I241" s="49"/>
      <c r="J241" s="49"/>
    </row>
    <row r="242">
      <c r="A242" s="49"/>
      <c r="B242" s="49"/>
      <c r="C242" s="49"/>
      <c r="D242" s="49"/>
      <c r="E242" s="49"/>
      <c r="F242" s="49"/>
      <c r="G242" s="49"/>
      <c r="H242" s="49"/>
      <c r="I242" s="49"/>
      <c r="J242" s="49"/>
    </row>
    <row r="243">
      <c r="A243" s="49"/>
      <c r="B243" s="49"/>
      <c r="C243" s="49"/>
      <c r="D243" s="49"/>
      <c r="E243" s="49"/>
      <c r="F243" s="49"/>
      <c r="G243" s="49"/>
      <c r="H243" s="49"/>
      <c r="I243" s="49"/>
      <c r="J243" s="49"/>
    </row>
    <row r="244">
      <c r="A244" s="49"/>
      <c r="B244" s="49"/>
      <c r="C244" s="49"/>
      <c r="D244" s="49"/>
      <c r="E244" s="49"/>
      <c r="F244" s="49"/>
      <c r="G244" s="49"/>
      <c r="H244" s="49"/>
      <c r="I244" s="49"/>
      <c r="J244" s="49"/>
    </row>
    <row r="245">
      <c r="A245" s="49"/>
      <c r="B245" s="49"/>
      <c r="C245" s="49"/>
      <c r="D245" s="49"/>
      <c r="E245" s="49"/>
      <c r="F245" s="49"/>
      <c r="G245" s="49"/>
      <c r="H245" s="49"/>
      <c r="I245" s="49"/>
      <c r="J245" s="49"/>
    </row>
    <row r="246">
      <c r="A246" s="49"/>
      <c r="B246" s="49"/>
      <c r="C246" s="49"/>
      <c r="D246" s="49"/>
      <c r="E246" s="49"/>
      <c r="F246" s="49"/>
      <c r="G246" s="49"/>
      <c r="H246" s="49"/>
      <c r="I246" s="49"/>
      <c r="J246" s="49"/>
    </row>
    <row r="247">
      <c r="A247" s="49"/>
      <c r="B247" s="49"/>
      <c r="C247" s="49"/>
      <c r="D247" s="49"/>
      <c r="E247" s="49"/>
      <c r="F247" s="49"/>
      <c r="G247" s="49"/>
      <c r="H247" s="49"/>
      <c r="I247" s="49"/>
      <c r="J247" s="49"/>
    </row>
    <row r="248">
      <c r="A248" s="49"/>
      <c r="B248" s="49"/>
      <c r="C248" s="49"/>
      <c r="D248" s="49"/>
      <c r="E248" s="49"/>
      <c r="F248" s="49"/>
      <c r="G248" s="49"/>
      <c r="H248" s="49"/>
      <c r="I248" s="49"/>
      <c r="J248" s="49"/>
    </row>
    <row r="249">
      <c r="A249" s="49"/>
      <c r="B249" s="49"/>
      <c r="C249" s="49"/>
      <c r="D249" s="49"/>
      <c r="E249" s="49"/>
      <c r="F249" s="49"/>
      <c r="G249" s="49"/>
      <c r="H249" s="49"/>
      <c r="I249" s="49"/>
      <c r="J249" s="49"/>
    </row>
    <row r="250">
      <c r="A250" s="49"/>
      <c r="B250" s="49"/>
      <c r="C250" s="49"/>
      <c r="D250" s="49"/>
      <c r="E250" s="49"/>
      <c r="F250" s="49"/>
      <c r="G250" s="49"/>
      <c r="H250" s="49"/>
      <c r="I250" s="49"/>
      <c r="J250" s="49"/>
    </row>
    <row r="251">
      <c r="A251" s="49"/>
      <c r="B251" s="49"/>
      <c r="C251" s="49"/>
      <c r="D251" s="49"/>
      <c r="E251" s="49"/>
      <c r="F251" s="49"/>
      <c r="G251" s="49"/>
      <c r="H251" s="49"/>
      <c r="I251" s="49"/>
      <c r="J251" s="49"/>
    </row>
    <row r="252">
      <c r="A252" s="49"/>
      <c r="B252" s="49"/>
      <c r="C252" s="49"/>
      <c r="D252" s="49"/>
      <c r="E252" s="49"/>
      <c r="F252" s="49"/>
      <c r="G252" s="49"/>
      <c r="H252" s="49"/>
      <c r="I252" s="49"/>
      <c r="J252" s="49"/>
    </row>
    <row r="253">
      <c r="A253" s="49"/>
      <c r="B253" s="49"/>
      <c r="C253" s="49"/>
      <c r="D253" s="49"/>
      <c r="E253" s="49"/>
      <c r="F253" s="49"/>
      <c r="G253" s="49"/>
      <c r="H253" s="49"/>
      <c r="I253" s="49"/>
      <c r="J253" s="49"/>
    </row>
    <row r="254">
      <c r="A254" s="49"/>
      <c r="B254" s="49"/>
      <c r="C254" s="49"/>
      <c r="D254" s="49"/>
      <c r="E254" s="49"/>
      <c r="F254" s="49"/>
      <c r="G254" s="49"/>
      <c r="H254" s="49"/>
      <c r="I254" s="49"/>
      <c r="J254" s="49"/>
    </row>
    <row r="255">
      <c r="A255" s="49"/>
      <c r="B255" s="49"/>
      <c r="C255" s="49"/>
      <c r="D255" s="49"/>
      <c r="E255" s="49"/>
      <c r="F255" s="49"/>
      <c r="G255" s="49"/>
      <c r="H255" s="49"/>
      <c r="I255" s="49"/>
      <c r="J255" s="49"/>
    </row>
    <row r="256">
      <c r="A256" s="49"/>
      <c r="B256" s="49"/>
      <c r="C256" s="49"/>
      <c r="D256" s="49"/>
      <c r="E256" s="49"/>
      <c r="F256" s="49"/>
      <c r="G256" s="49"/>
      <c r="H256" s="49"/>
      <c r="I256" s="49"/>
      <c r="J256" s="49"/>
    </row>
    <row r="257">
      <c r="A257" s="49"/>
      <c r="B257" s="49"/>
      <c r="C257" s="49"/>
      <c r="D257" s="49"/>
      <c r="E257" s="49"/>
      <c r="F257" s="49"/>
      <c r="G257" s="49"/>
      <c r="H257" s="49"/>
      <c r="I257" s="49"/>
      <c r="J257" s="49"/>
    </row>
    <row r="258">
      <c r="A258" s="49"/>
      <c r="B258" s="49"/>
      <c r="C258" s="49"/>
      <c r="D258" s="49"/>
      <c r="E258" s="49"/>
      <c r="F258" s="49"/>
      <c r="G258" s="49"/>
      <c r="H258" s="49"/>
      <c r="I258" s="49"/>
      <c r="J258" s="49"/>
    </row>
    <row r="259">
      <c r="A259" s="49"/>
      <c r="B259" s="49"/>
      <c r="C259" s="49"/>
      <c r="D259" s="49"/>
      <c r="E259" s="49"/>
      <c r="F259" s="49"/>
      <c r="G259" s="49"/>
      <c r="H259" s="49"/>
      <c r="I259" s="49"/>
      <c r="J259" s="49"/>
    </row>
    <row r="260">
      <c r="A260" s="49"/>
      <c r="B260" s="49"/>
      <c r="C260" s="49"/>
      <c r="D260" s="49"/>
      <c r="E260" s="49"/>
      <c r="F260" s="49"/>
      <c r="G260" s="49"/>
      <c r="H260" s="49"/>
      <c r="I260" s="49"/>
      <c r="J260" s="49"/>
    </row>
    <row r="261">
      <c r="A261" s="49"/>
      <c r="B261" s="49"/>
      <c r="C261" s="49"/>
      <c r="D261" s="49"/>
      <c r="E261" s="49"/>
      <c r="F261" s="49"/>
      <c r="G261" s="49"/>
      <c r="H261" s="49"/>
      <c r="I261" s="49"/>
      <c r="J261" s="49"/>
    </row>
    <row r="262">
      <c r="A262" s="49"/>
      <c r="B262" s="49"/>
      <c r="C262" s="49"/>
      <c r="D262" s="49"/>
      <c r="E262" s="49"/>
      <c r="F262" s="49"/>
      <c r="G262" s="49"/>
      <c r="H262" s="49"/>
      <c r="I262" s="49"/>
      <c r="J262" s="49"/>
    </row>
    <row r="263">
      <c r="A263" s="49"/>
      <c r="B263" s="49"/>
      <c r="C263" s="49"/>
      <c r="D263" s="49"/>
      <c r="E263" s="49"/>
      <c r="F263" s="49"/>
      <c r="G263" s="49"/>
      <c r="H263" s="49"/>
      <c r="I263" s="49"/>
      <c r="J263" s="49"/>
    </row>
    <row r="264">
      <c r="A264" s="49"/>
      <c r="B264" s="49"/>
      <c r="C264" s="49"/>
      <c r="D264" s="49"/>
      <c r="E264" s="49"/>
      <c r="F264" s="49"/>
      <c r="G264" s="49"/>
      <c r="H264" s="49"/>
      <c r="I264" s="49"/>
      <c r="J264" s="49"/>
    </row>
    <row r="265">
      <c r="A265" s="49"/>
      <c r="B265" s="49"/>
      <c r="C265" s="49"/>
      <c r="D265" s="49"/>
      <c r="E265" s="49"/>
      <c r="F265" s="49"/>
      <c r="G265" s="49"/>
      <c r="H265" s="49"/>
      <c r="I265" s="49"/>
      <c r="J265" s="49"/>
    </row>
    <row r="266">
      <c r="A266" s="49"/>
      <c r="B266" s="49"/>
      <c r="C266" s="49"/>
      <c r="D266" s="49"/>
      <c r="E266" s="49"/>
      <c r="F266" s="49"/>
      <c r="G266" s="49"/>
      <c r="H266" s="49"/>
      <c r="I266" s="49"/>
      <c r="J266" s="49"/>
    </row>
    <row r="267">
      <c r="A267" s="49"/>
      <c r="B267" s="49"/>
      <c r="C267" s="49"/>
      <c r="D267" s="49"/>
      <c r="E267" s="49"/>
      <c r="F267" s="49"/>
      <c r="G267" s="49"/>
      <c r="H267" s="49"/>
      <c r="I267" s="49"/>
      <c r="J267" s="49"/>
    </row>
    <row r="268">
      <c r="A268" s="49"/>
      <c r="B268" s="49"/>
      <c r="C268" s="49"/>
      <c r="D268" s="49"/>
      <c r="E268" s="49"/>
      <c r="F268" s="49"/>
      <c r="G268" s="49"/>
      <c r="H268" s="49"/>
      <c r="I268" s="49"/>
      <c r="J268" s="49"/>
    </row>
    <row r="269">
      <c r="A269" s="49"/>
      <c r="B269" s="49"/>
      <c r="C269" s="49"/>
      <c r="D269" s="49"/>
      <c r="E269" s="49"/>
      <c r="F269" s="49"/>
      <c r="G269" s="49"/>
      <c r="H269" s="49"/>
      <c r="I269" s="49"/>
      <c r="J269" s="49"/>
    </row>
    <row r="270">
      <c r="A270" s="49"/>
      <c r="B270" s="49"/>
      <c r="C270" s="49"/>
      <c r="D270" s="49"/>
      <c r="E270" s="49"/>
      <c r="F270" s="49"/>
      <c r="G270" s="49"/>
      <c r="H270" s="49"/>
      <c r="I270" s="49"/>
      <c r="J270" s="49"/>
    </row>
    <row r="271">
      <c r="A271" s="49"/>
      <c r="B271" s="49"/>
      <c r="C271" s="49"/>
      <c r="D271" s="49"/>
      <c r="E271" s="49"/>
      <c r="F271" s="49"/>
      <c r="G271" s="49"/>
      <c r="H271" s="49"/>
      <c r="I271" s="49"/>
      <c r="J271" s="49"/>
    </row>
    <row r="272">
      <c r="A272" s="49"/>
      <c r="B272" s="49"/>
      <c r="C272" s="49"/>
      <c r="D272" s="49"/>
      <c r="E272" s="49"/>
      <c r="F272" s="49"/>
      <c r="G272" s="49"/>
      <c r="H272" s="49"/>
      <c r="I272" s="49"/>
      <c r="J272" s="49"/>
    </row>
    <row r="273">
      <c r="A273" s="49"/>
      <c r="B273" s="49"/>
      <c r="C273" s="49"/>
      <c r="D273" s="49"/>
      <c r="E273" s="49"/>
      <c r="F273" s="49"/>
      <c r="G273" s="49"/>
      <c r="H273" s="49"/>
      <c r="I273" s="49"/>
      <c r="J273" s="49"/>
    </row>
    <row r="274">
      <c r="A274" s="49"/>
      <c r="B274" s="49"/>
      <c r="C274" s="49"/>
      <c r="D274" s="49"/>
      <c r="E274" s="49"/>
      <c r="F274" s="49"/>
      <c r="G274" s="49"/>
      <c r="H274" s="49"/>
      <c r="I274" s="49"/>
      <c r="J274" s="49"/>
    </row>
    <row r="275">
      <c r="A275" s="49"/>
      <c r="B275" s="49"/>
      <c r="C275" s="49"/>
      <c r="D275" s="49"/>
      <c r="E275" s="49"/>
      <c r="F275" s="49"/>
      <c r="G275" s="49"/>
      <c r="H275" s="49"/>
      <c r="I275" s="49"/>
      <c r="J275" s="49"/>
    </row>
    <row r="276">
      <c r="A276" s="49"/>
      <c r="B276" s="49"/>
      <c r="C276" s="49"/>
      <c r="D276" s="49"/>
      <c r="E276" s="49"/>
      <c r="F276" s="49"/>
      <c r="G276" s="49"/>
      <c r="H276" s="49"/>
      <c r="I276" s="49"/>
      <c r="J276" s="49"/>
    </row>
    <row r="277">
      <c r="A277" s="49"/>
      <c r="B277" s="49"/>
      <c r="C277" s="49"/>
      <c r="D277" s="49"/>
      <c r="E277" s="49"/>
      <c r="F277" s="49"/>
      <c r="G277" s="49"/>
      <c r="H277" s="49"/>
      <c r="I277" s="49"/>
      <c r="J277" s="49"/>
    </row>
    <row r="278">
      <c r="A278" s="49"/>
      <c r="B278" s="49"/>
      <c r="C278" s="49"/>
      <c r="D278" s="49"/>
      <c r="E278" s="49"/>
      <c r="F278" s="49"/>
      <c r="G278" s="49"/>
      <c r="H278" s="49"/>
      <c r="I278" s="49"/>
      <c r="J278" s="49"/>
    </row>
    <row r="279">
      <c r="A279" s="49"/>
      <c r="B279" s="49"/>
      <c r="C279" s="49"/>
      <c r="D279" s="49"/>
      <c r="E279" s="49"/>
      <c r="F279" s="49"/>
      <c r="G279" s="49"/>
      <c r="H279" s="49"/>
      <c r="I279" s="49"/>
      <c r="J279" s="49"/>
    </row>
    <row r="280">
      <c r="A280" s="49"/>
      <c r="B280" s="49"/>
      <c r="C280" s="49"/>
      <c r="D280" s="49"/>
      <c r="E280" s="49"/>
      <c r="F280" s="49"/>
      <c r="G280" s="49"/>
      <c r="H280" s="49"/>
      <c r="I280" s="49"/>
      <c r="J280" s="49"/>
    </row>
    <row r="281">
      <c r="A281" s="49"/>
      <c r="B281" s="49"/>
      <c r="C281" s="49"/>
      <c r="D281" s="49"/>
      <c r="E281" s="49"/>
      <c r="F281" s="49"/>
      <c r="G281" s="49"/>
      <c r="H281" s="49"/>
      <c r="I281" s="49"/>
      <c r="J281" s="49"/>
    </row>
    <row r="282">
      <c r="A282" s="49"/>
      <c r="B282" s="49"/>
      <c r="C282" s="49"/>
      <c r="D282" s="49"/>
      <c r="E282" s="49"/>
      <c r="F282" s="49"/>
      <c r="G282" s="49"/>
      <c r="H282" s="49"/>
      <c r="I282" s="49"/>
      <c r="J282" s="49"/>
    </row>
    <row r="283">
      <c r="A283" s="49"/>
      <c r="B283" s="49"/>
      <c r="C283" s="49"/>
      <c r="D283" s="49"/>
      <c r="E283" s="49"/>
      <c r="F283" s="49"/>
      <c r="G283" s="49"/>
      <c r="H283" s="49"/>
      <c r="I283" s="49"/>
      <c r="J283" s="49"/>
    </row>
    <row r="284">
      <c r="A284" s="49"/>
      <c r="B284" s="49"/>
      <c r="C284" s="49"/>
      <c r="D284" s="49"/>
      <c r="E284" s="49"/>
      <c r="F284" s="49"/>
      <c r="G284" s="49"/>
      <c r="H284" s="49"/>
      <c r="I284" s="49"/>
      <c r="J284" s="49"/>
    </row>
    <row r="285">
      <c r="A285" s="49"/>
      <c r="B285" s="49"/>
      <c r="C285" s="49"/>
      <c r="D285" s="49"/>
      <c r="E285" s="49"/>
      <c r="F285" s="49"/>
      <c r="G285" s="49"/>
      <c r="H285" s="49"/>
      <c r="I285" s="49"/>
      <c r="J285" s="49"/>
    </row>
    <row r="286">
      <c r="A286" s="49"/>
      <c r="B286" s="49"/>
      <c r="C286" s="49"/>
      <c r="D286" s="49"/>
      <c r="E286" s="49"/>
      <c r="F286" s="49"/>
      <c r="G286" s="49"/>
      <c r="H286" s="49"/>
      <c r="I286" s="49"/>
      <c r="J286" s="49"/>
    </row>
    <row r="287">
      <c r="A287" s="49"/>
      <c r="B287" s="49"/>
      <c r="C287" s="49"/>
      <c r="D287" s="49"/>
      <c r="E287" s="49"/>
      <c r="F287" s="49"/>
      <c r="G287" s="49"/>
      <c r="H287" s="49"/>
      <c r="I287" s="49"/>
      <c r="J287" s="49"/>
    </row>
    <row r="288">
      <c r="A288" s="49"/>
      <c r="B288" s="49"/>
      <c r="C288" s="49"/>
      <c r="D288" s="49"/>
      <c r="E288" s="49"/>
      <c r="F288" s="49"/>
      <c r="G288" s="49"/>
      <c r="H288" s="49"/>
      <c r="I288" s="49"/>
      <c r="J288" s="49"/>
    </row>
    <row r="289">
      <c r="A289" s="49"/>
      <c r="B289" s="49"/>
      <c r="C289" s="49"/>
      <c r="D289" s="49"/>
      <c r="E289" s="49"/>
      <c r="F289" s="49"/>
      <c r="G289" s="49"/>
      <c r="H289" s="49"/>
      <c r="I289" s="49"/>
      <c r="J289" s="49"/>
    </row>
    <row r="290">
      <c r="A290" s="49"/>
      <c r="B290" s="49"/>
      <c r="C290" s="49"/>
      <c r="D290" s="49"/>
      <c r="E290" s="49"/>
      <c r="F290" s="49"/>
      <c r="G290" s="49"/>
      <c r="H290" s="49"/>
      <c r="I290" s="49"/>
      <c r="J290" s="49"/>
    </row>
    <row r="291">
      <c r="A291" s="49"/>
      <c r="B291" s="49"/>
      <c r="C291" s="49"/>
      <c r="D291" s="49"/>
      <c r="E291" s="49"/>
      <c r="F291" s="49"/>
      <c r="G291" s="49"/>
      <c r="H291" s="49"/>
      <c r="I291" s="49"/>
      <c r="J291" s="49"/>
    </row>
    <row r="292">
      <c r="A292" s="49"/>
      <c r="B292" s="49"/>
      <c r="C292" s="49"/>
      <c r="D292" s="49"/>
      <c r="E292" s="49"/>
      <c r="F292" s="49"/>
      <c r="G292" s="49"/>
      <c r="H292" s="49"/>
      <c r="I292" s="49"/>
      <c r="J292" s="49"/>
    </row>
    <row r="293">
      <c r="A293" s="49"/>
      <c r="B293" s="49"/>
      <c r="C293" s="49"/>
      <c r="D293" s="49"/>
      <c r="E293" s="49"/>
      <c r="F293" s="49"/>
      <c r="G293" s="49"/>
      <c r="H293" s="49"/>
      <c r="I293" s="49"/>
      <c r="J293" s="49"/>
    </row>
    <row r="294">
      <c r="A294" s="49"/>
      <c r="B294" s="49"/>
      <c r="C294" s="49"/>
      <c r="D294" s="49"/>
      <c r="E294" s="49"/>
      <c r="F294" s="49"/>
      <c r="G294" s="49"/>
      <c r="H294" s="49"/>
      <c r="I294" s="49"/>
      <c r="J294" s="49"/>
    </row>
    <row r="295">
      <c r="A295" s="49"/>
      <c r="B295" s="49"/>
      <c r="C295" s="49"/>
      <c r="D295" s="49"/>
      <c r="E295" s="49"/>
      <c r="F295" s="49"/>
      <c r="G295" s="49"/>
      <c r="H295" s="49"/>
      <c r="I295" s="49"/>
      <c r="J295" s="49"/>
    </row>
    <row r="296">
      <c r="A296" s="49"/>
      <c r="B296" s="49"/>
      <c r="C296" s="49"/>
      <c r="D296" s="49"/>
      <c r="E296" s="49"/>
      <c r="F296" s="49"/>
      <c r="G296" s="49"/>
      <c r="H296" s="49"/>
      <c r="I296" s="49"/>
      <c r="J296" s="49"/>
    </row>
    <row r="297">
      <c r="A297" s="49"/>
      <c r="B297" s="49"/>
      <c r="C297" s="49"/>
      <c r="D297" s="49"/>
      <c r="E297" s="49"/>
      <c r="F297" s="49"/>
      <c r="G297" s="49"/>
      <c r="H297" s="49"/>
      <c r="I297" s="49"/>
      <c r="J297" s="49"/>
    </row>
    <row r="298">
      <c r="A298" s="49"/>
      <c r="B298" s="49"/>
      <c r="C298" s="49"/>
      <c r="D298" s="49"/>
      <c r="E298" s="49"/>
      <c r="F298" s="49"/>
      <c r="G298" s="49"/>
      <c r="H298" s="49"/>
      <c r="I298" s="49"/>
      <c r="J298" s="49"/>
    </row>
    <row r="299">
      <c r="A299" s="49"/>
      <c r="B299" s="49"/>
      <c r="C299" s="49"/>
      <c r="D299" s="49"/>
      <c r="E299" s="49"/>
      <c r="F299" s="49"/>
      <c r="G299" s="49"/>
      <c r="H299" s="49"/>
      <c r="I299" s="49"/>
      <c r="J299" s="49"/>
    </row>
    <row r="300">
      <c r="A300" s="49"/>
      <c r="B300" s="49"/>
      <c r="C300" s="49"/>
      <c r="D300" s="49"/>
      <c r="E300" s="49"/>
      <c r="F300" s="49"/>
      <c r="G300" s="49"/>
      <c r="H300" s="49"/>
      <c r="I300" s="49"/>
      <c r="J300" s="49"/>
    </row>
    <row r="301">
      <c r="A301" s="49"/>
      <c r="B301" s="49"/>
      <c r="C301" s="49"/>
      <c r="D301" s="49"/>
      <c r="E301" s="49"/>
      <c r="F301" s="49"/>
      <c r="G301" s="49"/>
      <c r="H301" s="49"/>
      <c r="I301" s="49"/>
      <c r="J301" s="49"/>
    </row>
    <row r="302">
      <c r="A302" s="49"/>
      <c r="B302" s="49"/>
      <c r="C302" s="49"/>
      <c r="D302" s="49"/>
      <c r="E302" s="49"/>
      <c r="F302" s="49"/>
      <c r="G302" s="49"/>
      <c r="H302" s="49"/>
      <c r="I302" s="49"/>
      <c r="J302" s="49"/>
    </row>
    <row r="303">
      <c r="A303" s="49"/>
      <c r="B303" s="49"/>
      <c r="C303" s="49"/>
      <c r="D303" s="49"/>
      <c r="E303" s="49"/>
      <c r="F303" s="49"/>
      <c r="G303" s="49"/>
      <c r="H303" s="49"/>
      <c r="I303" s="49"/>
      <c r="J303" s="49"/>
    </row>
    <row r="304">
      <c r="A304" s="49"/>
      <c r="B304" s="49"/>
      <c r="C304" s="49"/>
      <c r="D304" s="49"/>
      <c r="E304" s="49"/>
      <c r="F304" s="49"/>
      <c r="G304" s="49"/>
      <c r="H304" s="49"/>
      <c r="I304" s="49"/>
      <c r="J304" s="49"/>
    </row>
    <row r="305">
      <c r="A305" s="49"/>
      <c r="B305" s="49"/>
      <c r="C305" s="49"/>
      <c r="D305" s="49"/>
      <c r="E305" s="49"/>
      <c r="F305" s="49"/>
      <c r="G305" s="49"/>
      <c r="H305" s="49"/>
      <c r="I305" s="49"/>
      <c r="J305" s="49"/>
    </row>
    <row r="306">
      <c r="A306" s="49"/>
      <c r="B306" s="49"/>
      <c r="C306" s="49"/>
      <c r="D306" s="49"/>
      <c r="E306" s="49"/>
      <c r="F306" s="49"/>
      <c r="G306" s="49"/>
      <c r="H306" s="49"/>
      <c r="I306" s="49"/>
      <c r="J306" s="49"/>
    </row>
    <row r="307">
      <c r="A307" s="49"/>
      <c r="B307" s="49"/>
      <c r="C307" s="49"/>
      <c r="D307" s="49"/>
      <c r="E307" s="49"/>
      <c r="F307" s="49"/>
      <c r="G307" s="49"/>
      <c r="H307" s="49"/>
      <c r="I307" s="49"/>
      <c r="J307" s="49"/>
    </row>
    <row r="308">
      <c r="A308" s="49"/>
      <c r="B308" s="49"/>
      <c r="C308" s="49"/>
      <c r="D308" s="49"/>
      <c r="E308" s="49"/>
      <c r="F308" s="49"/>
      <c r="G308" s="49"/>
      <c r="H308" s="49"/>
      <c r="I308" s="49"/>
      <c r="J308" s="49"/>
    </row>
    <row r="309">
      <c r="A309" s="49"/>
      <c r="B309" s="49"/>
      <c r="C309" s="49"/>
      <c r="D309" s="49"/>
      <c r="E309" s="49"/>
      <c r="F309" s="49"/>
      <c r="G309" s="49"/>
      <c r="H309" s="49"/>
      <c r="I309" s="49"/>
      <c r="J309" s="49"/>
    </row>
    <row r="310">
      <c r="A310" s="49"/>
      <c r="B310" s="49"/>
      <c r="C310" s="49"/>
      <c r="D310" s="49"/>
      <c r="E310" s="49"/>
      <c r="F310" s="49"/>
      <c r="G310" s="49"/>
      <c r="H310" s="49"/>
      <c r="I310" s="49"/>
      <c r="J310" s="49"/>
    </row>
    <row r="311">
      <c r="A311" s="49"/>
      <c r="B311" s="49"/>
      <c r="C311" s="49"/>
      <c r="D311" s="49"/>
      <c r="E311" s="49"/>
      <c r="F311" s="49"/>
      <c r="G311" s="49"/>
      <c r="H311" s="49"/>
      <c r="I311" s="49"/>
      <c r="J311" s="49"/>
    </row>
    <row r="312">
      <c r="A312" s="49"/>
      <c r="B312" s="49"/>
      <c r="C312" s="49"/>
      <c r="D312" s="49"/>
      <c r="E312" s="49"/>
      <c r="F312" s="49"/>
      <c r="G312" s="49"/>
      <c r="H312" s="49"/>
      <c r="I312" s="49"/>
      <c r="J312" s="49"/>
    </row>
    <row r="313">
      <c r="A313" s="49"/>
      <c r="B313" s="49"/>
      <c r="C313" s="49"/>
      <c r="D313" s="49"/>
      <c r="E313" s="49"/>
      <c r="F313" s="49"/>
      <c r="G313" s="49"/>
      <c r="H313" s="49"/>
      <c r="I313" s="49"/>
      <c r="J313" s="49"/>
    </row>
    <row r="314">
      <c r="A314" s="49"/>
      <c r="B314" s="49"/>
      <c r="C314" s="49"/>
      <c r="D314" s="49"/>
      <c r="E314" s="49"/>
      <c r="F314" s="49"/>
      <c r="G314" s="49"/>
      <c r="H314" s="49"/>
      <c r="I314" s="49"/>
      <c r="J314" s="49"/>
    </row>
    <row r="315">
      <c r="A315" s="49"/>
      <c r="B315" s="49"/>
      <c r="C315" s="49"/>
      <c r="D315" s="49"/>
      <c r="E315" s="49"/>
      <c r="F315" s="49"/>
      <c r="G315" s="49"/>
      <c r="H315" s="49"/>
      <c r="I315" s="49"/>
      <c r="J315" s="49"/>
    </row>
    <row r="316">
      <c r="A316" s="49"/>
      <c r="B316" s="49"/>
      <c r="C316" s="49"/>
      <c r="D316" s="49"/>
      <c r="E316" s="49"/>
      <c r="F316" s="49"/>
      <c r="G316" s="49"/>
      <c r="H316" s="49"/>
      <c r="I316" s="49"/>
      <c r="J316" s="49"/>
    </row>
    <row r="317">
      <c r="A317" s="49"/>
      <c r="B317" s="49"/>
      <c r="C317" s="49"/>
      <c r="D317" s="49"/>
      <c r="E317" s="49"/>
      <c r="F317" s="49"/>
      <c r="G317" s="49"/>
      <c r="H317" s="49"/>
      <c r="I317" s="49"/>
      <c r="J317" s="49"/>
    </row>
    <row r="318">
      <c r="A318" s="49"/>
      <c r="B318" s="49"/>
      <c r="C318" s="49"/>
      <c r="D318" s="49"/>
      <c r="E318" s="49"/>
      <c r="F318" s="49"/>
      <c r="G318" s="49"/>
      <c r="H318" s="49"/>
      <c r="I318" s="49"/>
      <c r="J318" s="49"/>
    </row>
    <row r="319">
      <c r="A319" s="49"/>
      <c r="B319" s="49"/>
      <c r="C319" s="49"/>
      <c r="D319" s="49"/>
      <c r="E319" s="49"/>
      <c r="F319" s="49"/>
      <c r="G319" s="49"/>
      <c r="H319" s="49"/>
      <c r="I319" s="49"/>
      <c r="J319" s="49"/>
    </row>
    <row r="320">
      <c r="A320" s="49"/>
      <c r="B320" s="49"/>
      <c r="C320" s="49"/>
      <c r="D320" s="49"/>
      <c r="E320" s="49"/>
      <c r="F320" s="49"/>
      <c r="G320" s="49"/>
      <c r="H320" s="49"/>
      <c r="I320" s="49"/>
      <c r="J320" s="49"/>
    </row>
    <row r="321">
      <c r="A321" s="49"/>
      <c r="B321" s="49"/>
      <c r="C321" s="49"/>
      <c r="D321" s="49"/>
      <c r="E321" s="49"/>
      <c r="F321" s="49"/>
      <c r="G321" s="49"/>
      <c r="H321" s="49"/>
      <c r="I321" s="49"/>
      <c r="J321" s="49"/>
    </row>
    <row r="322">
      <c r="A322" s="49"/>
      <c r="B322" s="49"/>
      <c r="C322" s="49"/>
      <c r="D322" s="49"/>
      <c r="E322" s="49"/>
      <c r="F322" s="49"/>
      <c r="G322" s="49"/>
      <c r="H322" s="49"/>
      <c r="I322" s="49"/>
      <c r="J322" s="49"/>
    </row>
    <row r="323">
      <c r="A323" s="49"/>
      <c r="B323" s="49"/>
      <c r="C323" s="49"/>
      <c r="D323" s="49"/>
      <c r="E323" s="49"/>
      <c r="F323" s="49"/>
      <c r="G323" s="49"/>
      <c r="H323" s="49"/>
      <c r="I323" s="49"/>
      <c r="J323" s="49"/>
    </row>
    <row r="324">
      <c r="A324" s="49"/>
      <c r="B324" s="49"/>
      <c r="C324" s="49"/>
      <c r="D324" s="49"/>
      <c r="E324" s="49"/>
      <c r="F324" s="49"/>
      <c r="G324" s="49"/>
      <c r="H324" s="49"/>
      <c r="I324" s="49"/>
      <c r="J324" s="49"/>
    </row>
    <row r="325">
      <c r="A325" s="49"/>
      <c r="B325" s="49"/>
      <c r="C325" s="49"/>
      <c r="D325" s="49"/>
      <c r="E325" s="49"/>
      <c r="F325" s="49"/>
      <c r="G325" s="49"/>
      <c r="H325" s="49"/>
      <c r="I325" s="49"/>
      <c r="J325" s="49"/>
    </row>
    <row r="326">
      <c r="A326" s="49"/>
      <c r="B326" s="49"/>
      <c r="C326" s="49"/>
      <c r="D326" s="49"/>
      <c r="E326" s="49"/>
      <c r="F326" s="49"/>
      <c r="G326" s="49"/>
      <c r="H326" s="49"/>
      <c r="I326" s="49"/>
      <c r="J326" s="49"/>
    </row>
    <row r="327">
      <c r="A327" s="49"/>
      <c r="B327" s="49"/>
      <c r="C327" s="49"/>
      <c r="D327" s="49"/>
      <c r="E327" s="49"/>
      <c r="F327" s="49"/>
      <c r="G327" s="49"/>
      <c r="H327" s="49"/>
      <c r="I327" s="49"/>
      <c r="J327" s="49"/>
    </row>
    <row r="328">
      <c r="A328" s="49"/>
      <c r="B328" s="49"/>
      <c r="C328" s="49"/>
      <c r="D328" s="49"/>
      <c r="E328" s="49"/>
      <c r="F328" s="49"/>
      <c r="G328" s="49"/>
      <c r="H328" s="49"/>
      <c r="I328" s="49"/>
      <c r="J328" s="49"/>
    </row>
    <row r="329">
      <c r="A329" s="49"/>
      <c r="B329" s="49"/>
      <c r="C329" s="49"/>
      <c r="D329" s="49"/>
      <c r="E329" s="49"/>
      <c r="F329" s="49"/>
      <c r="G329" s="49"/>
      <c r="H329" s="49"/>
      <c r="I329" s="49"/>
      <c r="J329" s="49"/>
    </row>
    <row r="330">
      <c r="A330" s="49"/>
      <c r="B330" s="49"/>
      <c r="C330" s="49"/>
      <c r="D330" s="49"/>
      <c r="E330" s="49"/>
      <c r="F330" s="49"/>
      <c r="G330" s="49"/>
      <c r="H330" s="49"/>
      <c r="I330" s="49"/>
      <c r="J330" s="49"/>
    </row>
    <row r="331">
      <c r="A331" s="49"/>
      <c r="B331" s="49"/>
      <c r="C331" s="49"/>
      <c r="D331" s="49"/>
      <c r="E331" s="49"/>
      <c r="F331" s="49"/>
      <c r="G331" s="49"/>
      <c r="H331" s="49"/>
      <c r="I331" s="49"/>
      <c r="J331" s="49"/>
    </row>
    <row r="332">
      <c r="A332" s="49"/>
      <c r="B332" s="49"/>
      <c r="C332" s="49"/>
      <c r="D332" s="49"/>
      <c r="E332" s="49"/>
      <c r="F332" s="49"/>
      <c r="G332" s="49"/>
      <c r="H332" s="49"/>
      <c r="I332" s="49"/>
      <c r="J332" s="49"/>
    </row>
    <row r="333">
      <c r="A333" s="49"/>
      <c r="B333" s="49"/>
      <c r="C333" s="49"/>
      <c r="D333" s="49"/>
      <c r="E333" s="49"/>
      <c r="F333" s="49"/>
      <c r="G333" s="49"/>
      <c r="H333" s="49"/>
      <c r="I333" s="49"/>
      <c r="J333" s="49"/>
    </row>
    <row r="334">
      <c r="A334" s="49"/>
      <c r="B334" s="49"/>
      <c r="C334" s="49"/>
      <c r="D334" s="49"/>
      <c r="E334" s="49"/>
      <c r="F334" s="49"/>
      <c r="G334" s="49"/>
      <c r="H334" s="49"/>
      <c r="I334" s="49"/>
      <c r="J334" s="49"/>
    </row>
    <row r="335">
      <c r="A335" s="49"/>
      <c r="B335" s="49"/>
      <c r="C335" s="49"/>
      <c r="D335" s="49"/>
      <c r="E335" s="49"/>
      <c r="F335" s="49"/>
      <c r="G335" s="49"/>
      <c r="H335" s="49"/>
      <c r="I335" s="49"/>
      <c r="J335" s="49"/>
    </row>
    <row r="336">
      <c r="A336" s="49"/>
      <c r="B336" s="49"/>
      <c r="C336" s="49"/>
      <c r="D336" s="49"/>
      <c r="E336" s="49"/>
      <c r="F336" s="49"/>
      <c r="G336" s="49"/>
      <c r="H336" s="49"/>
      <c r="I336" s="49"/>
      <c r="J336" s="49"/>
    </row>
    <row r="337">
      <c r="A337" s="49"/>
      <c r="B337" s="49"/>
      <c r="C337" s="49"/>
      <c r="D337" s="49"/>
      <c r="E337" s="49"/>
      <c r="F337" s="49"/>
      <c r="G337" s="49"/>
      <c r="H337" s="49"/>
      <c r="I337" s="49"/>
      <c r="J337" s="49"/>
    </row>
    <row r="338">
      <c r="A338" s="49"/>
      <c r="B338" s="49"/>
      <c r="C338" s="49"/>
      <c r="D338" s="49"/>
      <c r="E338" s="49"/>
      <c r="F338" s="49"/>
      <c r="G338" s="49"/>
      <c r="H338" s="49"/>
      <c r="I338" s="49"/>
      <c r="J338" s="49"/>
    </row>
    <row r="339">
      <c r="A339" s="49"/>
      <c r="B339" s="49"/>
      <c r="C339" s="49"/>
      <c r="D339" s="49"/>
      <c r="E339" s="49"/>
      <c r="F339" s="49"/>
      <c r="G339" s="49"/>
      <c r="H339" s="49"/>
      <c r="I339" s="49"/>
      <c r="J339" s="49"/>
    </row>
    <row r="340">
      <c r="A340" s="49"/>
      <c r="B340" s="49"/>
      <c r="C340" s="49"/>
      <c r="D340" s="49"/>
      <c r="E340" s="49"/>
      <c r="F340" s="49"/>
      <c r="G340" s="49"/>
      <c r="H340" s="49"/>
      <c r="I340" s="49"/>
      <c r="J340" s="49"/>
    </row>
    <row r="341">
      <c r="A341" s="49"/>
      <c r="B341" s="49"/>
      <c r="C341" s="49"/>
      <c r="D341" s="49"/>
      <c r="E341" s="49"/>
      <c r="F341" s="49"/>
      <c r="G341" s="49"/>
      <c r="H341" s="49"/>
      <c r="I341" s="49"/>
      <c r="J341" s="49"/>
    </row>
    <row r="342">
      <c r="A342" s="49"/>
      <c r="B342" s="49"/>
      <c r="C342" s="49"/>
      <c r="D342" s="49"/>
      <c r="E342" s="49"/>
      <c r="F342" s="49"/>
      <c r="G342" s="49"/>
      <c r="H342" s="49"/>
      <c r="I342" s="49"/>
      <c r="J342" s="49"/>
    </row>
    <row r="343">
      <c r="A343" s="49"/>
      <c r="B343" s="49"/>
      <c r="C343" s="49"/>
      <c r="D343" s="49"/>
      <c r="E343" s="49"/>
      <c r="F343" s="49"/>
      <c r="G343" s="49"/>
      <c r="H343" s="49"/>
      <c r="I343" s="49"/>
      <c r="J343" s="49"/>
    </row>
    <row r="344">
      <c r="A344" s="49"/>
      <c r="B344" s="49"/>
      <c r="C344" s="49"/>
      <c r="D344" s="49"/>
      <c r="E344" s="49"/>
      <c r="F344" s="49"/>
      <c r="G344" s="49"/>
      <c r="H344" s="49"/>
      <c r="I344" s="49"/>
      <c r="J344" s="49"/>
    </row>
    <row r="345">
      <c r="A345" s="49"/>
      <c r="B345" s="49"/>
      <c r="C345" s="49"/>
      <c r="D345" s="49"/>
      <c r="E345" s="49"/>
      <c r="F345" s="49"/>
      <c r="G345" s="49"/>
      <c r="H345" s="49"/>
      <c r="I345" s="49"/>
      <c r="J345" s="49"/>
    </row>
    <row r="346">
      <c r="A346" s="49"/>
      <c r="B346" s="49"/>
      <c r="C346" s="49"/>
      <c r="D346" s="49"/>
      <c r="E346" s="49"/>
      <c r="F346" s="49"/>
      <c r="G346" s="49"/>
      <c r="H346" s="49"/>
      <c r="I346" s="49"/>
      <c r="J346" s="49"/>
    </row>
    <row r="347">
      <c r="A347" s="49"/>
      <c r="B347" s="49"/>
      <c r="C347" s="49"/>
      <c r="D347" s="49"/>
      <c r="E347" s="49"/>
      <c r="F347" s="49"/>
      <c r="G347" s="49"/>
      <c r="H347" s="49"/>
      <c r="I347" s="49"/>
      <c r="J347" s="49"/>
    </row>
    <row r="348">
      <c r="A348" s="49"/>
      <c r="B348" s="49"/>
      <c r="C348" s="49"/>
      <c r="D348" s="49"/>
      <c r="E348" s="49"/>
      <c r="F348" s="49"/>
      <c r="G348" s="49"/>
      <c r="H348" s="49"/>
      <c r="I348" s="49"/>
      <c r="J348" s="49"/>
    </row>
    <row r="349">
      <c r="A349" s="49"/>
      <c r="B349" s="49"/>
      <c r="C349" s="49"/>
      <c r="D349" s="49"/>
      <c r="E349" s="49"/>
      <c r="F349" s="49"/>
      <c r="G349" s="49"/>
      <c r="H349" s="49"/>
      <c r="I349" s="49"/>
      <c r="J349" s="49"/>
    </row>
    <row r="350">
      <c r="A350" s="49"/>
      <c r="B350" s="49"/>
      <c r="C350" s="49"/>
      <c r="D350" s="49"/>
      <c r="E350" s="49"/>
      <c r="F350" s="49"/>
      <c r="G350" s="49"/>
      <c r="H350" s="49"/>
      <c r="I350" s="49"/>
      <c r="J350" s="49"/>
    </row>
    <row r="351">
      <c r="A351" s="49"/>
      <c r="B351" s="49"/>
      <c r="C351" s="49"/>
      <c r="D351" s="49"/>
      <c r="E351" s="49"/>
      <c r="F351" s="49"/>
      <c r="G351" s="49"/>
      <c r="H351" s="49"/>
      <c r="I351" s="49"/>
      <c r="J351" s="49"/>
    </row>
    <row r="352">
      <c r="A352" s="49"/>
      <c r="B352" s="49"/>
      <c r="C352" s="49"/>
      <c r="D352" s="49"/>
      <c r="E352" s="49"/>
      <c r="F352" s="49"/>
      <c r="G352" s="49"/>
      <c r="H352" s="49"/>
      <c r="I352" s="49"/>
      <c r="J352" s="49"/>
    </row>
    <row r="353">
      <c r="A353" s="49"/>
      <c r="B353" s="49"/>
      <c r="C353" s="49"/>
      <c r="D353" s="49"/>
      <c r="E353" s="49"/>
      <c r="F353" s="49"/>
      <c r="G353" s="49"/>
      <c r="H353" s="49"/>
      <c r="I353" s="49"/>
      <c r="J353" s="49"/>
    </row>
    <row r="354">
      <c r="A354" s="49"/>
      <c r="B354" s="49"/>
      <c r="C354" s="49"/>
      <c r="D354" s="49"/>
      <c r="E354" s="49"/>
      <c r="F354" s="49"/>
      <c r="G354" s="49"/>
      <c r="H354" s="49"/>
      <c r="I354" s="49"/>
      <c r="J354" s="49"/>
    </row>
    <row r="355">
      <c r="A355" s="49"/>
      <c r="B355" s="49"/>
      <c r="C355" s="49"/>
      <c r="D355" s="49"/>
      <c r="E355" s="49"/>
      <c r="F355" s="49"/>
      <c r="G355" s="49"/>
      <c r="H355" s="49"/>
      <c r="I355" s="49"/>
      <c r="J355" s="49"/>
    </row>
    <row r="356">
      <c r="A356" s="49"/>
      <c r="B356" s="49"/>
      <c r="C356" s="49"/>
      <c r="D356" s="49"/>
      <c r="E356" s="49"/>
      <c r="F356" s="49"/>
      <c r="G356" s="49"/>
      <c r="H356" s="49"/>
      <c r="I356" s="49"/>
      <c r="J356" s="49"/>
    </row>
    <row r="357">
      <c r="A357" s="49"/>
      <c r="B357" s="49"/>
      <c r="C357" s="49"/>
      <c r="D357" s="49"/>
      <c r="E357" s="49"/>
      <c r="F357" s="49"/>
      <c r="G357" s="49"/>
      <c r="H357" s="49"/>
      <c r="I357" s="49"/>
      <c r="J357" s="49"/>
    </row>
    <row r="358">
      <c r="A358" s="49"/>
      <c r="B358" s="49"/>
      <c r="C358" s="49"/>
      <c r="D358" s="49"/>
      <c r="E358" s="49"/>
      <c r="F358" s="49"/>
      <c r="G358" s="49"/>
      <c r="H358" s="49"/>
      <c r="I358" s="49"/>
      <c r="J358" s="49"/>
    </row>
    <row r="359">
      <c r="A359" s="49"/>
      <c r="B359" s="49"/>
      <c r="C359" s="49"/>
      <c r="D359" s="49"/>
      <c r="E359" s="49"/>
      <c r="F359" s="49"/>
      <c r="G359" s="49"/>
      <c r="H359" s="49"/>
      <c r="I359" s="49"/>
      <c r="J359" s="49"/>
    </row>
    <row r="360">
      <c r="A360" s="49"/>
      <c r="B360" s="49"/>
      <c r="C360" s="49"/>
      <c r="D360" s="49"/>
      <c r="E360" s="49"/>
      <c r="F360" s="49"/>
      <c r="G360" s="49"/>
      <c r="H360" s="49"/>
      <c r="I360" s="49"/>
      <c r="J360" s="49"/>
    </row>
    <row r="361">
      <c r="A361" s="49"/>
      <c r="B361" s="49"/>
      <c r="C361" s="49"/>
      <c r="D361" s="49"/>
      <c r="E361" s="49"/>
      <c r="F361" s="49"/>
      <c r="G361" s="49"/>
      <c r="H361" s="49"/>
      <c r="I361" s="49"/>
      <c r="J361" s="49"/>
    </row>
    <row r="362">
      <c r="A362" s="49"/>
      <c r="B362" s="49"/>
      <c r="C362" s="49"/>
      <c r="D362" s="49"/>
      <c r="E362" s="49"/>
      <c r="F362" s="49"/>
      <c r="G362" s="49"/>
      <c r="H362" s="49"/>
      <c r="I362" s="49"/>
      <c r="J362" s="49"/>
    </row>
    <row r="363">
      <c r="A363" s="49"/>
      <c r="B363" s="49"/>
      <c r="C363" s="49"/>
      <c r="D363" s="49"/>
      <c r="E363" s="49"/>
      <c r="F363" s="49"/>
      <c r="G363" s="49"/>
      <c r="H363" s="49"/>
      <c r="I363" s="49"/>
      <c r="J363" s="49"/>
    </row>
    <row r="364">
      <c r="A364" s="49"/>
      <c r="B364" s="49"/>
      <c r="C364" s="49"/>
      <c r="D364" s="49"/>
      <c r="E364" s="49"/>
      <c r="F364" s="49"/>
      <c r="G364" s="49"/>
      <c r="H364" s="49"/>
      <c r="I364" s="49"/>
      <c r="J364" s="49"/>
    </row>
    <row r="365">
      <c r="A365" s="49"/>
      <c r="B365" s="49"/>
      <c r="C365" s="49"/>
      <c r="D365" s="49"/>
      <c r="E365" s="49"/>
      <c r="F365" s="49"/>
      <c r="G365" s="49"/>
      <c r="H365" s="49"/>
      <c r="I365" s="49"/>
      <c r="J365" s="49"/>
    </row>
    <row r="366">
      <c r="A366" s="49"/>
      <c r="B366" s="49"/>
      <c r="C366" s="49"/>
      <c r="D366" s="49"/>
      <c r="E366" s="49"/>
      <c r="F366" s="49"/>
      <c r="G366" s="49"/>
      <c r="H366" s="49"/>
      <c r="I366" s="49"/>
      <c r="J366" s="49"/>
    </row>
    <row r="367">
      <c r="A367" s="49"/>
      <c r="B367" s="49"/>
      <c r="C367" s="49"/>
      <c r="D367" s="49"/>
      <c r="E367" s="49"/>
      <c r="F367" s="49"/>
      <c r="G367" s="49"/>
      <c r="H367" s="49"/>
      <c r="I367" s="49"/>
      <c r="J367" s="49"/>
    </row>
    <row r="368">
      <c r="A368" s="49"/>
      <c r="B368" s="49"/>
      <c r="C368" s="49"/>
      <c r="D368" s="49"/>
      <c r="E368" s="49"/>
      <c r="F368" s="49"/>
      <c r="G368" s="49"/>
      <c r="H368" s="49"/>
      <c r="I368" s="49"/>
      <c r="J368" s="49"/>
    </row>
    <row r="369">
      <c r="A369" s="49"/>
      <c r="B369" s="49"/>
      <c r="C369" s="49"/>
      <c r="D369" s="49"/>
      <c r="E369" s="49"/>
      <c r="F369" s="49"/>
      <c r="G369" s="49"/>
      <c r="H369" s="49"/>
      <c r="I369" s="49"/>
      <c r="J369" s="49"/>
    </row>
    <row r="370">
      <c r="A370" s="49"/>
      <c r="B370" s="49"/>
      <c r="C370" s="49"/>
      <c r="D370" s="49"/>
      <c r="E370" s="49"/>
      <c r="F370" s="49"/>
      <c r="G370" s="49"/>
      <c r="H370" s="49"/>
      <c r="I370" s="49"/>
      <c r="J370" s="49"/>
    </row>
    <row r="371">
      <c r="A371" s="49"/>
      <c r="B371" s="49"/>
      <c r="C371" s="49"/>
      <c r="D371" s="49"/>
      <c r="E371" s="49"/>
      <c r="F371" s="49"/>
      <c r="G371" s="49"/>
      <c r="H371" s="49"/>
      <c r="I371" s="49"/>
      <c r="J371" s="49"/>
    </row>
    <row r="372">
      <c r="A372" s="49"/>
      <c r="B372" s="49"/>
      <c r="C372" s="49"/>
      <c r="D372" s="49"/>
      <c r="E372" s="49"/>
      <c r="F372" s="49"/>
      <c r="G372" s="49"/>
      <c r="H372" s="49"/>
      <c r="I372" s="49"/>
      <c r="J372" s="49"/>
    </row>
    <row r="373">
      <c r="A373" s="49"/>
      <c r="B373" s="49"/>
      <c r="C373" s="49"/>
      <c r="D373" s="49"/>
      <c r="E373" s="49"/>
      <c r="F373" s="49"/>
      <c r="G373" s="49"/>
      <c r="H373" s="49"/>
      <c r="I373" s="49"/>
      <c r="J373" s="49"/>
    </row>
    <row r="374">
      <c r="A374" s="49"/>
      <c r="B374" s="49"/>
      <c r="C374" s="49"/>
      <c r="D374" s="49"/>
      <c r="E374" s="49"/>
      <c r="F374" s="49"/>
      <c r="G374" s="49"/>
      <c r="H374" s="49"/>
      <c r="I374" s="49"/>
      <c r="J374" s="49"/>
    </row>
    <row r="375">
      <c r="A375" s="49"/>
      <c r="B375" s="49"/>
      <c r="C375" s="49"/>
      <c r="D375" s="49"/>
      <c r="E375" s="49"/>
      <c r="F375" s="49"/>
      <c r="G375" s="49"/>
      <c r="H375" s="49"/>
      <c r="I375" s="49"/>
      <c r="J375" s="49"/>
    </row>
    <row r="376">
      <c r="A376" s="49"/>
      <c r="B376" s="49"/>
      <c r="C376" s="49"/>
      <c r="D376" s="49"/>
      <c r="E376" s="49"/>
      <c r="F376" s="49"/>
      <c r="G376" s="49"/>
      <c r="H376" s="49"/>
      <c r="I376" s="49"/>
      <c r="J376" s="49"/>
    </row>
    <row r="377">
      <c r="A377" s="49"/>
      <c r="B377" s="49"/>
      <c r="C377" s="49"/>
      <c r="D377" s="49"/>
      <c r="E377" s="49"/>
      <c r="F377" s="49"/>
      <c r="G377" s="49"/>
      <c r="H377" s="49"/>
      <c r="I377" s="49"/>
      <c r="J377" s="49"/>
    </row>
    <row r="378">
      <c r="A378" s="49"/>
      <c r="B378" s="49"/>
      <c r="C378" s="49"/>
      <c r="D378" s="49"/>
      <c r="E378" s="49"/>
      <c r="F378" s="49"/>
      <c r="G378" s="49"/>
      <c r="H378" s="49"/>
      <c r="I378" s="49"/>
      <c r="J378" s="49"/>
    </row>
    <row r="379">
      <c r="A379" s="49"/>
      <c r="B379" s="49"/>
      <c r="C379" s="49"/>
      <c r="D379" s="49"/>
      <c r="E379" s="49"/>
      <c r="F379" s="49"/>
      <c r="G379" s="49"/>
      <c r="H379" s="49"/>
      <c r="I379" s="49"/>
      <c r="J379" s="49"/>
    </row>
    <row r="380">
      <c r="A380" s="49"/>
      <c r="B380" s="49"/>
      <c r="C380" s="49"/>
      <c r="D380" s="49"/>
      <c r="E380" s="49"/>
      <c r="F380" s="49"/>
      <c r="G380" s="49"/>
      <c r="H380" s="49"/>
      <c r="I380" s="49"/>
      <c r="J380" s="49"/>
    </row>
    <row r="381">
      <c r="A381" s="49"/>
      <c r="B381" s="49"/>
      <c r="C381" s="49"/>
      <c r="D381" s="49"/>
      <c r="E381" s="49"/>
      <c r="F381" s="49"/>
      <c r="G381" s="49"/>
      <c r="H381" s="49"/>
      <c r="I381" s="49"/>
      <c r="J381" s="49"/>
    </row>
    <row r="382">
      <c r="A382" s="49"/>
      <c r="B382" s="49"/>
      <c r="C382" s="49"/>
      <c r="D382" s="49"/>
      <c r="E382" s="49"/>
      <c r="F382" s="49"/>
      <c r="G382" s="49"/>
      <c r="H382" s="49"/>
      <c r="I382" s="49"/>
      <c r="J382" s="49"/>
    </row>
    <row r="383">
      <c r="A383" s="49"/>
      <c r="B383" s="49"/>
      <c r="C383" s="49"/>
      <c r="D383" s="49"/>
      <c r="E383" s="49"/>
      <c r="F383" s="49"/>
      <c r="G383" s="49"/>
      <c r="H383" s="49"/>
      <c r="I383" s="49"/>
      <c r="J383" s="49"/>
    </row>
    <row r="384">
      <c r="A384" s="49"/>
      <c r="B384" s="49"/>
      <c r="C384" s="49"/>
      <c r="D384" s="49"/>
      <c r="E384" s="49"/>
      <c r="F384" s="49"/>
      <c r="G384" s="49"/>
      <c r="H384" s="49"/>
      <c r="I384" s="49"/>
      <c r="J384" s="49"/>
    </row>
    <row r="385">
      <c r="A385" s="49"/>
      <c r="B385" s="49"/>
      <c r="C385" s="49"/>
      <c r="D385" s="49"/>
      <c r="E385" s="49"/>
      <c r="F385" s="49"/>
      <c r="G385" s="49"/>
      <c r="H385" s="49"/>
      <c r="I385" s="49"/>
      <c r="J385" s="49"/>
    </row>
    <row r="386">
      <c r="A386" s="49"/>
      <c r="B386" s="49"/>
      <c r="C386" s="49"/>
      <c r="D386" s="49"/>
      <c r="E386" s="49"/>
      <c r="F386" s="49"/>
      <c r="G386" s="49"/>
      <c r="H386" s="49"/>
      <c r="I386" s="49"/>
      <c r="J386" s="49"/>
    </row>
    <row r="387">
      <c r="A387" s="49"/>
      <c r="B387" s="49"/>
      <c r="C387" s="49"/>
      <c r="D387" s="49"/>
      <c r="E387" s="49"/>
      <c r="F387" s="49"/>
      <c r="G387" s="49"/>
      <c r="H387" s="49"/>
      <c r="I387" s="49"/>
      <c r="J387" s="49"/>
    </row>
    <row r="388">
      <c r="A388" s="49"/>
      <c r="B388" s="49"/>
      <c r="C388" s="49"/>
      <c r="D388" s="49"/>
      <c r="E388" s="49"/>
      <c r="F388" s="49"/>
      <c r="G388" s="49"/>
      <c r="H388" s="49"/>
      <c r="I388" s="49"/>
      <c r="J388" s="49"/>
    </row>
    <row r="389">
      <c r="A389" s="49"/>
      <c r="B389" s="49"/>
      <c r="C389" s="49"/>
      <c r="D389" s="49"/>
      <c r="E389" s="49"/>
      <c r="F389" s="49"/>
      <c r="G389" s="49"/>
      <c r="H389" s="49"/>
      <c r="I389" s="49"/>
      <c r="J389" s="49"/>
    </row>
    <row r="390">
      <c r="A390" s="49"/>
      <c r="B390" s="49"/>
      <c r="C390" s="49"/>
      <c r="D390" s="49"/>
      <c r="E390" s="49"/>
      <c r="F390" s="49"/>
      <c r="G390" s="49"/>
      <c r="H390" s="49"/>
      <c r="I390" s="49"/>
      <c r="J390" s="49"/>
    </row>
    <row r="391">
      <c r="A391" s="49"/>
      <c r="B391" s="49"/>
      <c r="C391" s="49"/>
      <c r="D391" s="49"/>
      <c r="E391" s="49"/>
      <c r="F391" s="49"/>
      <c r="G391" s="49"/>
      <c r="H391" s="49"/>
      <c r="I391" s="49"/>
      <c r="J391" s="49"/>
    </row>
    <row r="392">
      <c r="A392" s="49"/>
      <c r="B392" s="49"/>
      <c r="C392" s="49"/>
      <c r="D392" s="49"/>
      <c r="E392" s="49"/>
      <c r="F392" s="49"/>
      <c r="G392" s="49"/>
      <c r="H392" s="49"/>
      <c r="I392" s="49"/>
      <c r="J392" s="49"/>
    </row>
    <row r="393">
      <c r="A393" s="49"/>
      <c r="B393" s="49"/>
      <c r="C393" s="49"/>
      <c r="D393" s="49"/>
      <c r="E393" s="49"/>
      <c r="F393" s="49"/>
      <c r="G393" s="49"/>
      <c r="H393" s="49"/>
      <c r="I393" s="49"/>
      <c r="J393" s="49"/>
    </row>
    <row r="394">
      <c r="A394" s="49"/>
      <c r="B394" s="49"/>
      <c r="C394" s="49"/>
      <c r="D394" s="49"/>
      <c r="E394" s="49"/>
      <c r="F394" s="49"/>
      <c r="G394" s="49"/>
      <c r="H394" s="49"/>
      <c r="I394" s="49"/>
      <c r="J394" s="49"/>
    </row>
    <row r="395">
      <c r="A395" s="49"/>
      <c r="B395" s="49"/>
      <c r="C395" s="49"/>
      <c r="D395" s="49"/>
      <c r="E395" s="49"/>
      <c r="F395" s="49"/>
      <c r="G395" s="49"/>
      <c r="H395" s="49"/>
      <c r="I395" s="49"/>
      <c r="J395" s="49"/>
    </row>
    <row r="396">
      <c r="A396" s="49"/>
      <c r="B396" s="49"/>
      <c r="C396" s="49"/>
      <c r="D396" s="49"/>
      <c r="E396" s="49"/>
      <c r="F396" s="49"/>
      <c r="G396" s="49"/>
      <c r="H396" s="49"/>
      <c r="I396" s="49"/>
      <c r="J396" s="49"/>
    </row>
    <row r="397">
      <c r="A397" s="49"/>
      <c r="B397" s="49"/>
      <c r="C397" s="49"/>
      <c r="D397" s="49"/>
      <c r="E397" s="49"/>
      <c r="F397" s="49"/>
      <c r="G397" s="49"/>
      <c r="H397" s="49"/>
      <c r="I397" s="49"/>
      <c r="J397" s="49"/>
    </row>
    <row r="398">
      <c r="A398" s="49"/>
      <c r="B398" s="49"/>
      <c r="C398" s="49"/>
      <c r="D398" s="49"/>
      <c r="E398" s="49"/>
      <c r="F398" s="49"/>
      <c r="G398" s="49"/>
      <c r="H398" s="49"/>
      <c r="I398" s="49"/>
      <c r="J398" s="49"/>
    </row>
    <row r="399">
      <c r="A399" s="49"/>
      <c r="B399" s="49"/>
      <c r="C399" s="49"/>
      <c r="D399" s="49"/>
      <c r="E399" s="49"/>
      <c r="F399" s="49"/>
      <c r="G399" s="49"/>
      <c r="H399" s="49"/>
      <c r="I399" s="49"/>
      <c r="J399" s="49"/>
    </row>
    <row r="400">
      <c r="A400" s="49"/>
      <c r="B400" s="49"/>
      <c r="C400" s="49"/>
      <c r="D400" s="49"/>
      <c r="E400" s="49"/>
      <c r="F400" s="49"/>
      <c r="G400" s="49"/>
      <c r="H400" s="49"/>
      <c r="I400" s="49"/>
      <c r="J400" s="49"/>
    </row>
    <row r="401">
      <c r="A401" s="49"/>
      <c r="B401" s="49"/>
      <c r="C401" s="49"/>
      <c r="D401" s="49"/>
      <c r="E401" s="49"/>
      <c r="F401" s="49"/>
      <c r="G401" s="49"/>
      <c r="H401" s="49"/>
      <c r="I401" s="49"/>
      <c r="J401" s="49"/>
    </row>
    <row r="402">
      <c r="A402" s="49"/>
      <c r="B402" s="49"/>
      <c r="C402" s="49"/>
      <c r="D402" s="49"/>
      <c r="E402" s="49"/>
      <c r="F402" s="49"/>
      <c r="G402" s="49"/>
      <c r="H402" s="49"/>
      <c r="I402" s="49"/>
      <c r="J402" s="49"/>
    </row>
    <row r="403">
      <c r="A403" s="49"/>
      <c r="B403" s="49"/>
      <c r="C403" s="49"/>
      <c r="D403" s="49"/>
      <c r="E403" s="49"/>
      <c r="F403" s="49"/>
      <c r="G403" s="49"/>
      <c r="H403" s="49"/>
      <c r="I403" s="49"/>
      <c r="J403" s="49"/>
    </row>
    <row r="404">
      <c r="A404" s="49"/>
      <c r="B404" s="49"/>
      <c r="C404" s="49"/>
      <c r="D404" s="49"/>
      <c r="E404" s="49"/>
      <c r="F404" s="49"/>
      <c r="G404" s="49"/>
      <c r="H404" s="49"/>
      <c r="I404" s="49"/>
      <c r="J404" s="49"/>
    </row>
    <row r="405">
      <c r="A405" s="49"/>
      <c r="B405" s="49"/>
      <c r="C405" s="49"/>
      <c r="D405" s="49"/>
      <c r="E405" s="49"/>
      <c r="F405" s="49"/>
      <c r="G405" s="49"/>
      <c r="H405" s="49"/>
      <c r="I405" s="49"/>
      <c r="J405" s="49"/>
    </row>
    <row r="406">
      <c r="A406" s="49"/>
      <c r="B406" s="49"/>
      <c r="C406" s="49"/>
      <c r="D406" s="49"/>
      <c r="E406" s="49"/>
      <c r="F406" s="49"/>
      <c r="G406" s="49"/>
      <c r="H406" s="49"/>
      <c r="I406" s="49"/>
      <c r="J406" s="49"/>
    </row>
    <row r="407">
      <c r="A407" s="49"/>
      <c r="B407" s="49"/>
      <c r="C407" s="49"/>
      <c r="D407" s="49"/>
      <c r="E407" s="49"/>
      <c r="F407" s="49"/>
      <c r="G407" s="49"/>
      <c r="H407" s="49"/>
      <c r="I407" s="49"/>
      <c r="J407" s="49"/>
    </row>
    <row r="408">
      <c r="A408" s="49"/>
      <c r="B408" s="49"/>
      <c r="C408" s="49"/>
      <c r="D408" s="49"/>
      <c r="E408" s="49"/>
      <c r="F408" s="49"/>
      <c r="G408" s="49"/>
      <c r="H408" s="49"/>
      <c r="I408" s="49"/>
      <c r="J408" s="49"/>
    </row>
    <row r="409">
      <c r="A409" s="49"/>
      <c r="B409" s="49"/>
      <c r="C409" s="49"/>
      <c r="D409" s="49"/>
      <c r="E409" s="49"/>
      <c r="F409" s="49"/>
      <c r="G409" s="49"/>
      <c r="H409" s="49"/>
      <c r="I409" s="49"/>
      <c r="J409" s="49"/>
    </row>
    <row r="410">
      <c r="A410" s="49"/>
      <c r="B410" s="49"/>
      <c r="C410" s="49"/>
      <c r="D410" s="49"/>
      <c r="E410" s="49"/>
      <c r="F410" s="49"/>
      <c r="G410" s="49"/>
      <c r="H410" s="49"/>
      <c r="I410" s="49"/>
      <c r="J410" s="49"/>
    </row>
    <row r="411">
      <c r="A411" s="49"/>
      <c r="B411" s="49"/>
      <c r="C411" s="49"/>
      <c r="D411" s="49"/>
      <c r="E411" s="49"/>
      <c r="F411" s="49"/>
      <c r="G411" s="49"/>
      <c r="H411" s="49"/>
      <c r="I411" s="49"/>
      <c r="J411" s="49"/>
    </row>
    <row r="412">
      <c r="A412" s="49"/>
      <c r="B412" s="49"/>
      <c r="C412" s="49"/>
      <c r="D412" s="49"/>
      <c r="E412" s="49"/>
      <c r="F412" s="49"/>
      <c r="G412" s="49"/>
      <c r="H412" s="49"/>
      <c r="I412" s="49"/>
      <c r="J412" s="49"/>
    </row>
    <row r="413">
      <c r="A413" s="49"/>
      <c r="B413" s="49"/>
      <c r="C413" s="49"/>
      <c r="D413" s="49"/>
      <c r="E413" s="49"/>
      <c r="F413" s="49"/>
      <c r="G413" s="49"/>
      <c r="H413" s="49"/>
      <c r="I413" s="49"/>
      <c r="J413" s="49"/>
    </row>
    <row r="414">
      <c r="A414" s="49"/>
      <c r="B414" s="49"/>
      <c r="C414" s="49"/>
      <c r="D414" s="49"/>
      <c r="E414" s="49"/>
      <c r="F414" s="49"/>
      <c r="G414" s="49"/>
      <c r="H414" s="49"/>
      <c r="I414" s="49"/>
      <c r="J414" s="49"/>
    </row>
    <row r="415">
      <c r="A415" s="49"/>
      <c r="B415" s="49"/>
      <c r="C415" s="49"/>
      <c r="D415" s="49"/>
      <c r="E415" s="49"/>
      <c r="F415" s="49"/>
      <c r="G415" s="49"/>
      <c r="H415" s="49"/>
      <c r="I415" s="49"/>
      <c r="J415" s="49"/>
    </row>
    <row r="416">
      <c r="A416" s="49"/>
      <c r="B416" s="49"/>
      <c r="C416" s="49"/>
      <c r="D416" s="49"/>
      <c r="E416" s="49"/>
      <c r="F416" s="49"/>
      <c r="G416" s="49"/>
      <c r="H416" s="49"/>
      <c r="I416" s="49"/>
      <c r="J416" s="49"/>
    </row>
    <row r="417">
      <c r="A417" s="49"/>
      <c r="B417" s="49"/>
      <c r="C417" s="49"/>
      <c r="D417" s="49"/>
      <c r="E417" s="49"/>
      <c r="F417" s="49"/>
      <c r="G417" s="49"/>
      <c r="H417" s="49"/>
      <c r="I417" s="49"/>
      <c r="J417" s="49"/>
    </row>
    <row r="418">
      <c r="A418" s="49"/>
      <c r="B418" s="49"/>
      <c r="C418" s="49"/>
      <c r="D418" s="49"/>
      <c r="E418" s="49"/>
      <c r="F418" s="49"/>
      <c r="G418" s="49"/>
      <c r="H418" s="49"/>
      <c r="I418" s="49"/>
      <c r="J418" s="49"/>
    </row>
    <row r="419">
      <c r="A419" s="49"/>
      <c r="B419" s="49"/>
      <c r="C419" s="49"/>
      <c r="D419" s="49"/>
      <c r="E419" s="49"/>
      <c r="F419" s="49"/>
      <c r="G419" s="49"/>
      <c r="H419" s="49"/>
      <c r="I419" s="49"/>
      <c r="J419" s="49"/>
    </row>
    <row r="420">
      <c r="A420" s="49"/>
      <c r="B420" s="49"/>
      <c r="C420" s="49"/>
      <c r="D420" s="49"/>
      <c r="E420" s="49"/>
      <c r="F420" s="49"/>
      <c r="G420" s="49"/>
      <c r="H420" s="49"/>
      <c r="I420" s="49"/>
      <c r="J420" s="49"/>
    </row>
    <row r="421">
      <c r="A421" s="49"/>
      <c r="B421" s="49"/>
      <c r="C421" s="49"/>
      <c r="D421" s="49"/>
      <c r="E421" s="49"/>
      <c r="F421" s="49"/>
      <c r="G421" s="49"/>
      <c r="H421" s="49"/>
      <c r="I421" s="49"/>
      <c r="J421" s="49"/>
    </row>
    <row r="422">
      <c r="A422" s="49"/>
      <c r="B422" s="49"/>
      <c r="C422" s="49"/>
      <c r="D422" s="49"/>
      <c r="E422" s="49"/>
      <c r="F422" s="49"/>
      <c r="G422" s="49"/>
      <c r="H422" s="49"/>
      <c r="I422" s="49"/>
      <c r="J422" s="49"/>
    </row>
    <row r="423">
      <c r="A423" s="49"/>
      <c r="B423" s="49"/>
      <c r="C423" s="49"/>
      <c r="D423" s="49"/>
      <c r="E423" s="49"/>
      <c r="F423" s="49"/>
      <c r="G423" s="49"/>
      <c r="H423" s="49"/>
      <c r="I423" s="49"/>
      <c r="J423" s="49"/>
    </row>
    <row r="424">
      <c r="A424" s="49"/>
      <c r="B424" s="49"/>
      <c r="C424" s="49"/>
      <c r="D424" s="49"/>
      <c r="E424" s="49"/>
      <c r="F424" s="49"/>
      <c r="G424" s="49"/>
      <c r="H424" s="49"/>
      <c r="I424" s="49"/>
      <c r="J424" s="49"/>
    </row>
    <row r="425">
      <c r="A425" s="49"/>
      <c r="B425" s="49"/>
      <c r="C425" s="49"/>
      <c r="D425" s="49"/>
      <c r="E425" s="49"/>
      <c r="F425" s="49"/>
      <c r="G425" s="49"/>
      <c r="H425" s="49"/>
      <c r="I425" s="49"/>
      <c r="J425" s="49"/>
    </row>
    <row r="426">
      <c r="A426" s="49"/>
      <c r="B426" s="49"/>
      <c r="C426" s="49"/>
      <c r="D426" s="49"/>
      <c r="E426" s="49"/>
      <c r="F426" s="49"/>
      <c r="G426" s="49"/>
      <c r="H426" s="49"/>
      <c r="I426" s="49"/>
      <c r="J426" s="49"/>
    </row>
    <row r="427">
      <c r="A427" s="49"/>
      <c r="B427" s="49"/>
      <c r="C427" s="49"/>
      <c r="D427" s="49"/>
      <c r="E427" s="49"/>
      <c r="F427" s="49"/>
      <c r="G427" s="49"/>
      <c r="H427" s="49"/>
      <c r="I427" s="49"/>
      <c r="J427" s="49"/>
    </row>
    <row r="428">
      <c r="A428" s="49"/>
      <c r="B428" s="49"/>
      <c r="C428" s="49"/>
      <c r="D428" s="49"/>
      <c r="E428" s="49"/>
      <c r="F428" s="49"/>
      <c r="G428" s="49"/>
      <c r="H428" s="49"/>
      <c r="I428" s="49"/>
      <c r="J428" s="49"/>
    </row>
    <row r="429">
      <c r="A429" s="49"/>
      <c r="B429" s="49"/>
      <c r="C429" s="49"/>
      <c r="D429" s="49"/>
      <c r="E429" s="49"/>
      <c r="F429" s="49"/>
      <c r="G429" s="49"/>
      <c r="H429" s="49"/>
      <c r="I429" s="49"/>
      <c r="J429" s="49"/>
    </row>
    <row r="430">
      <c r="A430" s="49"/>
      <c r="B430" s="49"/>
      <c r="C430" s="49"/>
      <c r="D430" s="49"/>
      <c r="E430" s="49"/>
      <c r="F430" s="49"/>
      <c r="G430" s="49"/>
      <c r="H430" s="49"/>
      <c r="I430" s="49"/>
      <c r="J430" s="49"/>
    </row>
    <row r="431">
      <c r="A431" s="49"/>
      <c r="B431" s="49"/>
      <c r="C431" s="49"/>
      <c r="D431" s="49"/>
      <c r="E431" s="49"/>
      <c r="F431" s="49"/>
      <c r="G431" s="49"/>
      <c r="H431" s="49"/>
      <c r="I431" s="49"/>
      <c r="J431" s="49"/>
    </row>
    <row r="432">
      <c r="A432" s="49"/>
      <c r="B432" s="49"/>
      <c r="C432" s="49"/>
      <c r="D432" s="49"/>
      <c r="E432" s="49"/>
      <c r="F432" s="49"/>
      <c r="G432" s="49"/>
      <c r="H432" s="49"/>
      <c r="I432" s="49"/>
      <c r="J432" s="49"/>
    </row>
    <row r="433">
      <c r="A433" s="49"/>
      <c r="B433" s="49"/>
      <c r="C433" s="49"/>
      <c r="D433" s="49"/>
      <c r="E433" s="49"/>
      <c r="F433" s="49"/>
      <c r="G433" s="49"/>
      <c r="H433" s="49"/>
      <c r="I433" s="49"/>
      <c r="J433" s="49"/>
    </row>
    <row r="434">
      <c r="A434" s="49"/>
      <c r="B434" s="49"/>
      <c r="C434" s="49"/>
      <c r="D434" s="49"/>
      <c r="E434" s="49"/>
      <c r="F434" s="49"/>
      <c r="G434" s="49"/>
      <c r="H434" s="49"/>
      <c r="I434" s="49"/>
      <c r="J434" s="49"/>
    </row>
    <row r="435">
      <c r="A435" s="49"/>
      <c r="B435" s="49"/>
      <c r="C435" s="49"/>
      <c r="D435" s="49"/>
      <c r="E435" s="49"/>
      <c r="F435" s="49"/>
      <c r="G435" s="49"/>
      <c r="H435" s="49"/>
      <c r="I435" s="49"/>
      <c r="J435" s="49"/>
    </row>
    <row r="436">
      <c r="A436" s="49"/>
      <c r="B436" s="49"/>
      <c r="C436" s="49"/>
      <c r="D436" s="49"/>
      <c r="E436" s="49"/>
      <c r="F436" s="49"/>
      <c r="G436" s="49"/>
      <c r="H436" s="49"/>
      <c r="I436" s="49"/>
      <c r="J436" s="49"/>
    </row>
    <row r="437">
      <c r="A437" s="49"/>
      <c r="B437" s="49"/>
      <c r="C437" s="49"/>
      <c r="D437" s="49"/>
      <c r="E437" s="49"/>
      <c r="F437" s="49"/>
      <c r="G437" s="49"/>
      <c r="H437" s="49"/>
      <c r="I437" s="49"/>
      <c r="J437" s="49"/>
    </row>
    <row r="438">
      <c r="A438" s="49"/>
      <c r="B438" s="49"/>
      <c r="C438" s="49"/>
      <c r="D438" s="49"/>
      <c r="E438" s="49"/>
      <c r="F438" s="49"/>
      <c r="G438" s="49"/>
      <c r="H438" s="49"/>
      <c r="I438" s="49"/>
      <c r="J438" s="49"/>
    </row>
    <row r="439">
      <c r="A439" s="49"/>
      <c r="B439" s="49"/>
      <c r="C439" s="49"/>
      <c r="D439" s="49"/>
      <c r="E439" s="49"/>
      <c r="F439" s="49"/>
      <c r="G439" s="49"/>
      <c r="H439" s="49"/>
      <c r="I439" s="49"/>
      <c r="J439" s="49"/>
    </row>
    <row r="440">
      <c r="A440" s="49"/>
      <c r="B440" s="49"/>
      <c r="C440" s="49"/>
      <c r="D440" s="49"/>
      <c r="E440" s="49"/>
      <c r="F440" s="49"/>
      <c r="G440" s="49"/>
      <c r="H440" s="49"/>
      <c r="I440" s="49"/>
      <c r="J440" s="49"/>
    </row>
    <row r="441">
      <c r="A441" s="49"/>
      <c r="B441" s="49"/>
      <c r="C441" s="49"/>
      <c r="D441" s="49"/>
      <c r="E441" s="49"/>
      <c r="F441" s="49"/>
      <c r="G441" s="49"/>
      <c r="H441" s="49"/>
      <c r="I441" s="49"/>
      <c r="J441" s="49"/>
    </row>
    <row r="442">
      <c r="A442" s="49"/>
      <c r="B442" s="49"/>
      <c r="C442" s="49"/>
      <c r="D442" s="49"/>
      <c r="E442" s="49"/>
      <c r="F442" s="49"/>
      <c r="G442" s="49"/>
      <c r="H442" s="49"/>
      <c r="I442" s="49"/>
      <c r="J442" s="49"/>
    </row>
    <row r="443">
      <c r="A443" s="49"/>
      <c r="B443" s="49"/>
      <c r="C443" s="49"/>
      <c r="D443" s="49"/>
      <c r="E443" s="49"/>
      <c r="F443" s="49"/>
      <c r="G443" s="49"/>
      <c r="H443" s="49"/>
      <c r="I443" s="49"/>
      <c r="J443" s="49"/>
    </row>
    <row r="444">
      <c r="A444" s="49"/>
      <c r="B444" s="49"/>
      <c r="C444" s="49"/>
      <c r="D444" s="49"/>
      <c r="E444" s="49"/>
      <c r="F444" s="49"/>
      <c r="G444" s="49"/>
      <c r="H444" s="49"/>
      <c r="I444" s="49"/>
      <c r="J444" s="49"/>
    </row>
    <row r="445">
      <c r="A445" s="49"/>
      <c r="B445" s="49"/>
      <c r="C445" s="49"/>
      <c r="D445" s="49"/>
      <c r="E445" s="49"/>
      <c r="F445" s="49"/>
      <c r="G445" s="49"/>
      <c r="H445" s="49"/>
      <c r="I445" s="49"/>
      <c r="J445" s="49"/>
    </row>
    <row r="446">
      <c r="A446" s="49"/>
      <c r="B446" s="49"/>
      <c r="C446" s="49"/>
      <c r="D446" s="49"/>
      <c r="E446" s="49"/>
      <c r="F446" s="49"/>
      <c r="G446" s="49"/>
      <c r="H446" s="49"/>
      <c r="I446" s="49"/>
      <c r="J446" s="49"/>
    </row>
    <row r="447">
      <c r="A447" s="49"/>
      <c r="B447" s="49"/>
      <c r="C447" s="49"/>
      <c r="D447" s="49"/>
      <c r="E447" s="49"/>
      <c r="F447" s="49"/>
      <c r="G447" s="49"/>
      <c r="H447" s="49"/>
      <c r="I447" s="49"/>
      <c r="J447" s="49"/>
    </row>
    <row r="448">
      <c r="A448" s="49"/>
      <c r="B448" s="49"/>
      <c r="C448" s="49"/>
      <c r="D448" s="49"/>
      <c r="E448" s="49"/>
      <c r="F448" s="49"/>
      <c r="G448" s="49"/>
      <c r="H448" s="49"/>
      <c r="I448" s="49"/>
      <c r="J448" s="49"/>
    </row>
    <row r="449">
      <c r="A449" s="49"/>
      <c r="B449" s="49"/>
      <c r="C449" s="49"/>
      <c r="D449" s="49"/>
      <c r="E449" s="49"/>
      <c r="F449" s="49"/>
      <c r="G449" s="49"/>
      <c r="H449" s="49"/>
      <c r="I449" s="49"/>
      <c r="J449" s="49"/>
    </row>
    <row r="450">
      <c r="A450" s="49"/>
      <c r="B450" s="49"/>
      <c r="C450" s="49"/>
      <c r="D450" s="49"/>
      <c r="E450" s="49"/>
      <c r="F450" s="49"/>
      <c r="G450" s="49"/>
      <c r="H450" s="49"/>
      <c r="I450" s="49"/>
      <c r="J450" s="49"/>
    </row>
    <row r="451">
      <c r="A451" s="49"/>
      <c r="B451" s="49"/>
      <c r="C451" s="49"/>
      <c r="D451" s="49"/>
      <c r="E451" s="49"/>
      <c r="F451" s="49"/>
      <c r="G451" s="49"/>
      <c r="H451" s="49"/>
      <c r="I451" s="49"/>
      <c r="J451" s="49"/>
    </row>
    <row r="452">
      <c r="A452" s="49"/>
      <c r="B452" s="49"/>
      <c r="C452" s="49"/>
      <c r="D452" s="49"/>
      <c r="E452" s="49"/>
      <c r="F452" s="49"/>
      <c r="G452" s="49"/>
      <c r="H452" s="49"/>
      <c r="I452" s="49"/>
      <c r="J452" s="49"/>
    </row>
    <row r="453">
      <c r="A453" s="49"/>
      <c r="B453" s="49"/>
      <c r="C453" s="49"/>
      <c r="D453" s="49"/>
      <c r="E453" s="49"/>
      <c r="F453" s="49"/>
      <c r="G453" s="49"/>
      <c r="H453" s="49"/>
      <c r="I453" s="49"/>
      <c r="J453" s="49"/>
    </row>
    <row r="454">
      <c r="A454" s="49"/>
      <c r="B454" s="49"/>
      <c r="C454" s="49"/>
      <c r="D454" s="49"/>
      <c r="E454" s="49"/>
      <c r="F454" s="49"/>
      <c r="G454" s="49"/>
      <c r="H454" s="49"/>
      <c r="I454" s="49"/>
      <c r="J454" s="49"/>
    </row>
    <row r="455">
      <c r="A455" s="49"/>
      <c r="B455" s="49"/>
      <c r="C455" s="49"/>
      <c r="D455" s="49"/>
      <c r="E455" s="49"/>
      <c r="F455" s="49"/>
      <c r="G455" s="49"/>
      <c r="H455" s="49"/>
      <c r="I455" s="49"/>
      <c r="J455" s="49"/>
    </row>
    <row r="456">
      <c r="A456" s="49"/>
      <c r="B456" s="49"/>
      <c r="C456" s="49"/>
      <c r="D456" s="49"/>
      <c r="E456" s="49"/>
      <c r="F456" s="49"/>
      <c r="G456" s="49"/>
      <c r="H456" s="49"/>
      <c r="I456" s="49"/>
      <c r="J456" s="49"/>
    </row>
    <row r="457">
      <c r="A457" s="49"/>
      <c r="B457" s="49"/>
      <c r="C457" s="49"/>
      <c r="D457" s="49"/>
      <c r="E457" s="49"/>
      <c r="F457" s="49"/>
      <c r="G457" s="49"/>
      <c r="H457" s="49"/>
      <c r="I457" s="49"/>
      <c r="J457" s="49"/>
    </row>
    <row r="458">
      <c r="A458" s="49"/>
      <c r="B458" s="49"/>
      <c r="C458" s="49"/>
      <c r="D458" s="49"/>
      <c r="E458" s="49"/>
      <c r="F458" s="49"/>
      <c r="G458" s="49"/>
      <c r="H458" s="49"/>
      <c r="I458" s="49"/>
      <c r="J458" s="49"/>
    </row>
    <row r="459">
      <c r="A459" s="49"/>
      <c r="B459" s="49"/>
      <c r="C459" s="49"/>
      <c r="D459" s="49"/>
      <c r="E459" s="49"/>
      <c r="F459" s="49"/>
      <c r="G459" s="49"/>
      <c r="H459" s="49"/>
      <c r="I459" s="49"/>
      <c r="J459" s="49"/>
    </row>
    <row r="460">
      <c r="A460" s="49"/>
      <c r="B460" s="49"/>
      <c r="C460" s="49"/>
      <c r="D460" s="49"/>
      <c r="E460" s="49"/>
      <c r="F460" s="49"/>
      <c r="G460" s="49"/>
      <c r="H460" s="49"/>
      <c r="I460" s="49"/>
      <c r="J460" s="49"/>
    </row>
    <row r="461">
      <c r="A461" s="49"/>
      <c r="B461" s="49"/>
      <c r="C461" s="49"/>
      <c r="D461" s="49"/>
      <c r="E461" s="49"/>
      <c r="F461" s="49"/>
      <c r="G461" s="49"/>
      <c r="H461" s="49"/>
      <c r="I461" s="49"/>
      <c r="J461" s="49"/>
    </row>
    <row r="462">
      <c r="A462" s="49"/>
      <c r="B462" s="49"/>
      <c r="C462" s="49"/>
      <c r="D462" s="49"/>
      <c r="E462" s="49"/>
      <c r="F462" s="49"/>
      <c r="G462" s="49"/>
      <c r="H462" s="49"/>
      <c r="I462" s="49"/>
      <c r="J462" s="49"/>
    </row>
    <row r="463">
      <c r="A463" s="49"/>
      <c r="B463" s="49"/>
      <c r="C463" s="49"/>
      <c r="D463" s="49"/>
      <c r="E463" s="49"/>
      <c r="F463" s="49"/>
      <c r="G463" s="49"/>
      <c r="H463" s="49"/>
      <c r="I463" s="49"/>
      <c r="J463" s="49"/>
    </row>
    <row r="464">
      <c r="A464" s="49"/>
      <c r="B464" s="49"/>
      <c r="C464" s="49"/>
      <c r="D464" s="49"/>
      <c r="E464" s="49"/>
      <c r="F464" s="49"/>
      <c r="G464" s="49"/>
      <c r="H464" s="49"/>
      <c r="I464" s="49"/>
      <c r="J464" s="49"/>
    </row>
    <row r="465">
      <c r="A465" s="49"/>
      <c r="B465" s="49"/>
      <c r="C465" s="49"/>
      <c r="D465" s="49"/>
      <c r="E465" s="49"/>
      <c r="F465" s="49"/>
      <c r="G465" s="49"/>
      <c r="H465" s="49"/>
      <c r="I465" s="49"/>
      <c r="J465" s="49"/>
    </row>
    <row r="466">
      <c r="A466" s="49"/>
      <c r="B466" s="49"/>
      <c r="C466" s="49"/>
      <c r="D466" s="49"/>
      <c r="E466" s="49"/>
      <c r="F466" s="49"/>
      <c r="G466" s="49"/>
      <c r="H466" s="49"/>
      <c r="I466" s="49"/>
      <c r="J466" s="49"/>
    </row>
    <row r="467">
      <c r="A467" s="49"/>
      <c r="B467" s="49"/>
      <c r="C467" s="49"/>
      <c r="D467" s="49"/>
      <c r="E467" s="49"/>
      <c r="F467" s="49"/>
      <c r="G467" s="49"/>
      <c r="H467" s="49"/>
      <c r="I467" s="49"/>
      <c r="J467" s="49"/>
    </row>
    <row r="468">
      <c r="A468" s="49"/>
      <c r="B468" s="49"/>
      <c r="C468" s="49"/>
      <c r="D468" s="49"/>
      <c r="E468" s="49"/>
      <c r="F468" s="49"/>
      <c r="G468" s="49"/>
      <c r="H468" s="49"/>
      <c r="I468" s="49"/>
      <c r="J468" s="49"/>
    </row>
    <row r="469">
      <c r="A469" s="49"/>
      <c r="B469" s="49"/>
      <c r="C469" s="49"/>
      <c r="D469" s="49"/>
      <c r="E469" s="49"/>
      <c r="F469" s="49"/>
      <c r="G469" s="49"/>
      <c r="H469" s="49"/>
      <c r="I469" s="49"/>
      <c r="J469" s="49"/>
    </row>
    <row r="470">
      <c r="A470" s="49"/>
      <c r="B470" s="49"/>
      <c r="C470" s="49"/>
      <c r="D470" s="49"/>
      <c r="E470" s="49"/>
      <c r="F470" s="49"/>
      <c r="G470" s="49"/>
      <c r="H470" s="49"/>
      <c r="I470" s="49"/>
      <c r="J470" s="49"/>
    </row>
    <row r="471">
      <c r="A471" s="49"/>
      <c r="B471" s="49"/>
      <c r="C471" s="49"/>
      <c r="D471" s="49"/>
      <c r="E471" s="49"/>
      <c r="F471" s="49"/>
      <c r="G471" s="49"/>
      <c r="H471" s="49"/>
      <c r="I471" s="49"/>
      <c r="J471" s="49"/>
    </row>
    <row r="472">
      <c r="A472" s="49"/>
      <c r="B472" s="49"/>
      <c r="C472" s="49"/>
      <c r="D472" s="49"/>
      <c r="E472" s="49"/>
      <c r="F472" s="49"/>
      <c r="G472" s="49"/>
      <c r="H472" s="49"/>
      <c r="I472" s="49"/>
      <c r="J472" s="49"/>
    </row>
    <row r="473">
      <c r="A473" s="49"/>
      <c r="B473" s="49"/>
      <c r="C473" s="49"/>
      <c r="D473" s="49"/>
      <c r="E473" s="49"/>
      <c r="F473" s="49"/>
      <c r="G473" s="49"/>
      <c r="H473" s="49"/>
      <c r="I473" s="49"/>
      <c r="J473" s="49"/>
    </row>
    <row r="474">
      <c r="A474" s="49"/>
      <c r="B474" s="49"/>
      <c r="C474" s="49"/>
      <c r="D474" s="49"/>
      <c r="E474" s="49"/>
      <c r="F474" s="49"/>
      <c r="G474" s="49"/>
      <c r="H474" s="49"/>
      <c r="I474" s="49"/>
      <c r="J474" s="49"/>
    </row>
    <row r="475">
      <c r="A475" s="49"/>
      <c r="B475" s="49"/>
      <c r="C475" s="49"/>
      <c r="D475" s="49"/>
      <c r="E475" s="49"/>
      <c r="F475" s="49"/>
      <c r="G475" s="49"/>
      <c r="H475" s="49"/>
      <c r="I475" s="49"/>
      <c r="J475" s="49"/>
    </row>
    <row r="476">
      <c r="A476" s="49"/>
      <c r="B476" s="49"/>
      <c r="C476" s="49"/>
      <c r="D476" s="49"/>
      <c r="E476" s="49"/>
      <c r="F476" s="49"/>
      <c r="G476" s="49"/>
      <c r="H476" s="49"/>
      <c r="I476" s="49"/>
      <c r="J476" s="49"/>
    </row>
    <row r="477">
      <c r="A477" s="49"/>
      <c r="B477" s="49"/>
      <c r="C477" s="49"/>
      <c r="D477" s="49"/>
      <c r="E477" s="49"/>
      <c r="F477" s="49"/>
      <c r="G477" s="49"/>
      <c r="H477" s="49"/>
      <c r="I477" s="49"/>
      <c r="J477" s="49"/>
    </row>
    <row r="478">
      <c r="A478" s="49"/>
      <c r="B478" s="49"/>
      <c r="C478" s="49"/>
      <c r="D478" s="49"/>
      <c r="E478" s="49"/>
      <c r="F478" s="49"/>
      <c r="G478" s="49"/>
      <c r="H478" s="49"/>
      <c r="I478" s="49"/>
      <c r="J478" s="49"/>
    </row>
    <row r="479">
      <c r="A479" s="49"/>
      <c r="B479" s="49"/>
      <c r="C479" s="49"/>
      <c r="D479" s="49"/>
      <c r="E479" s="49"/>
      <c r="F479" s="49"/>
      <c r="G479" s="49"/>
      <c r="H479" s="49"/>
      <c r="I479" s="49"/>
      <c r="J479" s="49"/>
    </row>
    <row r="480">
      <c r="A480" s="49"/>
      <c r="B480" s="49"/>
      <c r="C480" s="49"/>
      <c r="D480" s="49"/>
      <c r="E480" s="49"/>
      <c r="F480" s="49"/>
      <c r="G480" s="49"/>
      <c r="H480" s="49"/>
      <c r="I480" s="49"/>
      <c r="J480" s="49"/>
    </row>
    <row r="481">
      <c r="A481" s="49"/>
      <c r="B481" s="49"/>
      <c r="C481" s="49"/>
      <c r="D481" s="49"/>
      <c r="E481" s="49"/>
      <c r="F481" s="49"/>
      <c r="G481" s="49"/>
      <c r="H481" s="49"/>
      <c r="I481" s="49"/>
      <c r="J481" s="49"/>
    </row>
    <row r="482">
      <c r="A482" s="49"/>
      <c r="B482" s="49"/>
      <c r="C482" s="49"/>
      <c r="D482" s="49"/>
      <c r="E482" s="49"/>
      <c r="F482" s="49"/>
      <c r="G482" s="49"/>
      <c r="H482" s="49"/>
      <c r="I482" s="49"/>
      <c r="J482" s="49"/>
    </row>
    <row r="483">
      <c r="A483" s="49"/>
      <c r="B483" s="49"/>
      <c r="C483" s="49"/>
      <c r="D483" s="49"/>
      <c r="E483" s="49"/>
      <c r="F483" s="49"/>
      <c r="G483" s="49"/>
      <c r="H483" s="49"/>
      <c r="I483" s="49"/>
      <c r="J483" s="49"/>
    </row>
    <row r="484">
      <c r="A484" s="49"/>
      <c r="B484" s="49"/>
      <c r="C484" s="49"/>
      <c r="D484" s="49"/>
      <c r="E484" s="49"/>
      <c r="F484" s="49"/>
      <c r="G484" s="49"/>
      <c r="H484" s="49"/>
      <c r="I484" s="49"/>
      <c r="J484" s="49"/>
    </row>
    <row r="485">
      <c r="A485" s="49"/>
      <c r="B485" s="49"/>
      <c r="C485" s="49"/>
      <c r="D485" s="49"/>
      <c r="E485" s="49"/>
      <c r="F485" s="49"/>
      <c r="G485" s="49"/>
      <c r="H485" s="49"/>
      <c r="I485" s="49"/>
      <c r="J485" s="49"/>
    </row>
    <row r="486">
      <c r="A486" s="49"/>
      <c r="B486" s="49"/>
      <c r="C486" s="49"/>
      <c r="D486" s="49"/>
      <c r="E486" s="49"/>
      <c r="F486" s="49"/>
      <c r="G486" s="49"/>
      <c r="H486" s="49"/>
      <c r="I486" s="49"/>
      <c r="J486" s="49"/>
    </row>
    <row r="487">
      <c r="A487" s="49"/>
      <c r="B487" s="49"/>
      <c r="C487" s="49"/>
      <c r="D487" s="49"/>
      <c r="E487" s="49"/>
      <c r="F487" s="49"/>
      <c r="G487" s="49"/>
      <c r="H487" s="49"/>
      <c r="I487" s="49"/>
      <c r="J487" s="49"/>
    </row>
    <row r="488">
      <c r="A488" s="49"/>
      <c r="B488" s="49"/>
      <c r="C488" s="49"/>
      <c r="D488" s="49"/>
      <c r="E488" s="49"/>
      <c r="F488" s="49"/>
      <c r="G488" s="49"/>
      <c r="H488" s="49"/>
      <c r="I488" s="49"/>
      <c r="J488" s="49"/>
    </row>
    <row r="489">
      <c r="A489" s="49"/>
      <c r="B489" s="49"/>
      <c r="C489" s="49"/>
      <c r="D489" s="49"/>
      <c r="E489" s="49"/>
      <c r="F489" s="49"/>
      <c r="G489" s="49"/>
      <c r="H489" s="49"/>
      <c r="I489" s="49"/>
      <c r="J489" s="49"/>
    </row>
    <row r="490">
      <c r="A490" s="49"/>
      <c r="B490" s="49"/>
      <c r="C490" s="49"/>
      <c r="D490" s="49"/>
      <c r="E490" s="49"/>
      <c r="F490" s="49"/>
      <c r="G490" s="49"/>
      <c r="H490" s="49"/>
      <c r="I490" s="49"/>
      <c r="J490" s="49"/>
    </row>
    <row r="491">
      <c r="A491" s="49"/>
      <c r="B491" s="49"/>
      <c r="C491" s="49"/>
      <c r="D491" s="49"/>
      <c r="E491" s="49"/>
      <c r="F491" s="49"/>
      <c r="G491" s="49"/>
      <c r="H491" s="49"/>
      <c r="I491" s="49"/>
      <c r="J491" s="49"/>
    </row>
    <row r="492">
      <c r="A492" s="49"/>
      <c r="B492" s="49"/>
      <c r="C492" s="49"/>
      <c r="D492" s="49"/>
      <c r="E492" s="49"/>
      <c r="F492" s="49"/>
      <c r="G492" s="49"/>
      <c r="H492" s="49"/>
      <c r="I492" s="49"/>
      <c r="J492" s="49"/>
    </row>
    <row r="493">
      <c r="A493" s="49"/>
      <c r="B493" s="49"/>
      <c r="C493" s="49"/>
      <c r="D493" s="49"/>
      <c r="E493" s="49"/>
      <c r="F493" s="49"/>
      <c r="G493" s="49"/>
      <c r="H493" s="49"/>
      <c r="I493" s="49"/>
      <c r="J493" s="49"/>
    </row>
    <row r="494">
      <c r="A494" s="49"/>
      <c r="B494" s="49"/>
      <c r="C494" s="49"/>
      <c r="D494" s="49"/>
      <c r="E494" s="49"/>
      <c r="F494" s="49"/>
      <c r="G494" s="49"/>
      <c r="H494" s="49"/>
      <c r="I494" s="49"/>
      <c r="J494" s="49"/>
    </row>
    <row r="495">
      <c r="A495" s="49"/>
      <c r="B495" s="49"/>
      <c r="C495" s="49"/>
      <c r="D495" s="49"/>
      <c r="E495" s="49"/>
      <c r="F495" s="49"/>
      <c r="G495" s="49"/>
      <c r="H495" s="49"/>
      <c r="I495" s="49"/>
      <c r="J495" s="49"/>
    </row>
    <row r="496">
      <c r="A496" s="49"/>
      <c r="B496" s="49"/>
      <c r="C496" s="49"/>
      <c r="D496" s="49"/>
      <c r="E496" s="49"/>
      <c r="F496" s="49"/>
      <c r="G496" s="49"/>
      <c r="H496" s="49"/>
      <c r="I496" s="49"/>
      <c r="J496" s="49"/>
    </row>
    <row r="497">
      <c r="A497" s="49"/>
      <c r="B497" s="49"/>
      <c r="C497" s="49"/>
      <c r="D497" s="49"/>
      <c r="E497" s="49"/>
      <c r="F497" s="49"/>
      <c r="G497" s="49"/>
      <c r="H497" s="49"/>
      <c r="I497" s="49"/>
      <c r="J497" s="49"/>
    </row>
    <row r="498">
      <c r="A498" s="49"/>
      <c r="B498" s="49"/>
      <c r="C498" s="49"/>
      <c r="D498" s="49"/>
      <c r="E498" s="49"/>
      <c r="F498" s="49"/>
      <c r="G498" s="49"/>
      <c r="H498" s="49"/>
      <c r="I498" s="49"/>
      <c r="J498" s="49"/>
    </row>
    <row r="499">
      <c r="A499" s="49"/>
      <c r="B499" s="49"/>
      <c r="C499" s="49"/>
      <c r="D499" s="49"/>
      <c r="E499" s="49"/>
      <c r="F499" s="49"/>
      <c r="G499" s="49"/>
      <c r="H499" s="49"/>
      <c r="I499" s="49"/>
      <c r="J499" s="49"/>
    </row>
    <row r="500">
      <c r="A500" s="49"/>
      <c r="B500" s="49"/>
      <c r="C500" s="49"/>
      <c r="D500" s="49"/>
      <c r="E500" s="49"/>
      <c r="F500" s="49"/>
      <c r="G500" s="49"/>
      <c r="H500" s="49"/>
      <c r="I500" s="49"/>
      <c r="J500" s="49"/>
    </row>
    <row r="501">
      <c r="A501" s="49"/>
      <c r="B501" s="49"/>
      <c r="C501" s="49"/>
      <c r="D501" s="49"/>
      <c r="E501" s="49"/>
      <c r="F501" s="49"/>
      <c r="G501" s="49"/>
      <c r="H501" s="49"/>
      <c r="I501" s="49"/>
      <c r="J501" s="49"/>
    </row>
    <row r="502">
      <c r="A502" s="49"/>
      <c r="B502" s="49"/>
      <c r="C502" s="49"/>
      <c r="D502" s="49"/>
      <c r="E502" s="49"/>
      <c r="F502" s="49"/>
      <c r="G502" s="49"/>
      <c r="H502" s="49"/>
      <c r="I502" s="49"/>
      <c r="J502" s="49"/>
    </row>
    <row r="503">
      <c r="A503" s="49"/>
      <c r="B503" s="49"/>
      <c r="C503" s="49"/>
      <c r="D503" s="49"/>
      <c r="E503" s="49"/>
      <c r="F503" s="49"/>
      <c r="G503" s="49"/>
      <c r="H503" s="49"/>
      <c r="I503" s="49"/>
      <c r="J503" s="49"/>
    </row>
    <row r="504">
      <c r="A504" s="49"/>
      <c r="B504" s="49"/>
      <c r="C504" s="49"/>
      <c r="D504" s="49"/>
      <c r="E504" s="49"/>
      <c r="F504" s="49"/>
      <c r="G504" s="49"/>
      <c r="H504" s="49"/>
      <c r="I504" s="49"/>
      <c r="J504" s="49"/>
    </row>
    <row r="505">
      <c r="A505" s="49"/>
      <c r="B505" s="49"/>
      <c r="C505" s="49"/>
      <c r="D505" s="49"/>
      <c r="E505" s="49"/>
      <c r="F505" s="49"/>
      <c r="G505" s="49"/>
      <c r="H505" s="49"/>
      <c r="I505" s="49"/>
      <c r="J505" s="49"/>
    </row>
    <row r="506">
      <c r="A506" s="49"/>
      <c r="B506" s="49"/>
      <c r="C506" s="49"/>
      <c r="D506" s="49"/>
      <c r="E506" s="49"/>
      <c r="F506" s="49"/>
      <c r="G506" s="49"/>
      <c r="H506" s="49"/>
      <c r="I506" s="49"/>
      <c r="J506" s="49"/>
    </row>
    <row r="507">
      <c r="A507" s="49"/>
      <c r="B507" s="49"/>
      <c r="C507" s="49"/>
      <c r="D507" s="49"/>
      <c r="E507" s="49"/>
      <c r="F507" s="49"/>
      <c r="G507" s="49"/>
      <c r="H507" s="49"/>
      <c r="I507" s="49"/>
      <c r="J507" s="49"/>
    </row>
    <row r="508">
      <c r="A508" s="49"/>
      <c r="B508" s="49"/>
      <c r="C508" s="49"/>
      <c r="D508" s="49"/>
      <c r="E508" s="49"/>
      <c r="F508" s="49"/>
      <c r="G508" s="49"/>
      <c r="H508" s="49"/>
      <c r="I508" s="49"/>
      <c r="J508" s="49"/>
    </row>
    <row r="509">
      <c r="A509" s="49"/>
      <c r="B509" s="49"/>
      <c r="C509" s="49"/>
      <c r="D509" s="49"/>
      <c r="E509" s="49"/>
      <c r="F509" s="49"/>
      <c r="G509" s="49"/>
      <c r="H509" s="49"/>
      <c r="I509" s="49"/>
      <c r="J509" s="49"/>
    </row>
    <row r="510">
      <c r="A510" s="49"/>
      <c r="B510" s="49"/>
      <c r="C510" s="49"/>
      <c r="D510" s="49"/>
      <c r="E510" s="49"/>
      <c r="F510" s="49"/>
      <c r="G510" s="49"/>
      <c r="H510" s="49"/>
      <c r="I510" s="49"/>
      <c r="J510" s="49"/>
    </row>
    <row r="511">
      <c r="A511" s="49"/>
      <c r="B511" s="49"/>
      <c r="C511" s="49"/>
      <c r="D511" s="49"/>
      <c r="E511" s="49"/>
      <c r="F511" s="49"/>
      <c r="G511" s="49"/>
      <c r="H511" s="49"/>
      <c r="I511" s="49"/>
      <c r="J511" s="49"/>
    </row>
    <row r="512">
      <c r="A512" s="49"/>
      <c r="B512" s="49"/>
      <c r="C512" s="49"/>
      <c r="D512" s="49"/>
      <c r="E512" s="49"/>
      <c r="F512" s="49"/>
      <c r="G512" s="49"/>
      <c r="H512" s="49"/>
      <c r="I512" s="49"/>
      <c r="J512" s="49"/>
    </row>
    <row r="513">
      <c r="A513" s="49"/>
      <c r="B513" s="49"/>
      <c r="C513" s="49"/>
      <c r="D513" s="49"/>
      <c r="E513" s="49"/>
      <c r="F513" s="49"/>
      <c r="G513" s="49"/>
      <c r="H513" s="49"/>
      <c r="I513" s="49"/>
      <c r="J513" s="49"/>
    </row>
    <row r="514">
      <c r="A514" s="49"/>
      <c r="B514" s="49"/>
      <c r="C514" s="49"/>
      <c r="D514" s="49"/>
      <c r="E514" s="49"/>
      <c r="F514" s="49"/>
      <c r="G514" s="49"/>
      <c r="H514" s="49"/>
      <c r="I514" s="49"/>
      <c r="J514" s="49"/>
    </row>
    <row r="515">
      <c r="A515" s="49"/>
      <c r="B515" s="49"/>
      <c r="C515" s="49"/>
      <c r="D515" s="49"/>
      <c r="E515" s="49"/>
      <c r="F515" s="49"/>
      <c r="G515" s="49"/>
      <c r="H515" s="49"/>
      <c r="I515" s="49"/>
      <c r="J515" s="49"/>
    </row>
    <row r="516">
      <c r="A516" s="49"/>
      <c r="B516" s="49"/>
      <c r="C516" s="49"/>
      <c r="D516" s="49"/>
      <c r="E516" s="49"/>
      <c r="F516" s="49"/>
      <c r="G516" s="49"/>
      <c r="H516" s="49"/>
      <c r="I516" s="49"/>
      <c r="J516" s="49"/>
    </row>
    <row r="517">
      <c r="A517" s="49"/>
      <c r="B517" s="49"/>
      <c r="C517" s="49"/>
      <c r="D517" s="49"/>
      <c r="E517" s="49"/>
      <c r="F517" s="49"/>
      <c r="G517" s="49"/>
      <c r="H517" s="49"/>
      <c r="I517" s="49"/>
      <c r="J517" s="49"/>
    </row>
    <row r="518">
      <c r="A518" s="49"/>
      <c r="B518" s="49"/>
      <c r="C518" s="49"/>
      <c r="D518" s="49"/>
      <c r="E518" s="49"/>
      <c r="F518" s="49"/>
      <c r="G518" s="49"/>
      <c r="H518" s="49"/>
      <c r="I518" s="49"/>
      <c r="J518" s="49"/>
    </row>
    <row r="519">
      <c r="A519" s="49"/>
      <c r="B519" s="49"/>
      <c r="C519" s="49"/>
      <c r="D519" s="49"/>
      <c r="E519" s="49"/>
      <c r="F519" s="49"/>
      <c r="G519" s="49"/>
      <c r="H519" s="49"/>
      <c r="I519" s="49"/>
      <c r="J519" s="49"/>
    </row>
    <row r="520">
      <c r="A520" s="49"/>
      <c r="B520" s="49"/>
      <c r="C520" s="49"/>
      <c r="D520" s="49"/>
      <c r="E520" s="49"/>
      <c r="F520" s="49"/>
      <c r="G520" s="49"/>
      <c r="H520" s="49"/>
      <c r="I520" s="49"/>
      <c r="J520" s="49"/>
    </row>
    <row r="521">
      <c r="A521" s="49"/>
      <c r="B521" s="49"/>
      <c r="C521" s="49"/>
      <c r="D521" s="49"/>
      <c r="E521" s="49"/>
      <c r="F521" s="49"/>
      <c r="G521" s="49"/>
      <c r="H521" s="49"/>
      <c r="I521" s="49"/>
      <c r="J521" s="49"/>
    </row>
    <row r="522">
      <c r="A522" s="49"/>
      <c r="B522" s="49"/>
      <c r="C522" s="49"/>
      <c r="D522" s="49"/>
      <c r="E522" s="49"/>
      <c r="F522" s="49"/>
      <c r="G522" s="49"/>
      <c r="H522" s="49"/>
      <c r="I522" s="49"/>
      <c r="J522" s="49"/>
    </row>
    <row r="523">
      <c r="A523" s="49"/>
      <c r="B523" s="49"/>
      <c r="C523" s="49"/>
      <c r="D523" s="49"/>
      <c r="E523" s="49"/>
      <c r="F523" s="49"/>
      <c r="G523" s="49"/>
      <c r="H523" s="49"/>
      <c r="I523" s="49"/>
      <c r="J523" s="49"/>
    </row>
    <row r="524">
      <c r="A524" s="49"/>
      <c r="B524" s="49"/>
      <c r="C524" s="49"/>
      <c r="D524" s="49"/>
      <c r="E524" s="49"/>
      <c r="F524" s="49"/>
      <c r="G524" s="49"/>
      <c r="H524" s="49"/>
      <c r="I524" s="49"/>
      <c r="J524" s="49"/>
    </row>
    <row r="525">
      <c r="A525" s="49"/>
      <c r="B525" s="49"/>
      <c r="C525" s="49"/>
      <c r="D525" s="49"/>
      <c r="E525" s="49"/>
      <c r="F525" s="49"/>
      <c r="G525" s="49"/>
      <c r="H525" s="49"/>
      <c r="I525" s="49"/>
      <c r="J525" s="49"/>
    </row>
    <row r="526">
      <c r="A526" s="49"/>
      <c r="B526" s="49"/>
      <c r="C526" s="49"/>
      <c r="D526" s="49"/>
      <c r="E526" s="49"/>
      <c r="F526" s="49"/>
      <c r="G526" s="49"/>
      <c r="H526" s="49"/>
      <c r="I526" s="49"/>
      <c r="J526" s="49"/>
    </row>
    <row r="527">
      <c r="A527" s="49"/>
      <c r="B527" s="49"/>
      <c r="C527" s="49"/>
      <c r="D527" s="49"/>
      <c r="E527" s="49"/>
      <c r="F527" s="49"/>
      <c r="G527" s="49"/>
      <c r="H527" s="49"/>
      <c r="I527" s="49"/>
      <c r="J527" s="49"/>
    </row>
    <row r="528">
      <c r="A528" s="49"/>
      <c r="B528" s="49"/>
      <c r="C528" s="49"/>
      <c r="D528" s="49"/>
      <c r="E528" s="49"/>
      <c r="F528" s="49"/>
      <c r="G528" s="49"/>
      <c r="H528" s="49"/>
      <c r="I528" s="49"/>
      <c r="J528" s="49"/>
    </row>
    <row r="529">
      <c r="A529" s="49"/>
      <c r="B529" s="49"/>
      <c r="C529" s="49"/>
      <c r="D529" s="49"/>
      <c r="E529" s="49"/>
      <c r="F529" s="49"/>
      <c r="G529" s="49"/>
      <c r="H529" s="49"/>
      <c r="I529" s="49"/>
      <c r="J529" s="49"/>
    </row>
    <row r="530">
      <c r="A530" s="49"/>
      <c r="B530" s="49"/>
      <c r="C530" s="49"/>
      <c r="D530" s="49"/>
      <c r="E530" s="49"/>
      <c r="F530" s="49"/>
      <c r="G530" s="49"/>
      <c r="H530" s="49"/>
      <c r="I530" s="49"/>
      <c r="J530" s="49"/>
    </row>
    <row r="531">
      <c r="A531" s="49"/>
      <c r="B531" s="49"/>
      <c r="C531" s="49"/>
      <c r="D531" s="49"/>
      <c r="E531" s="49"/>
      <c r="F531" s="49"/>
      <c r="G531" s="49"/>
      <c r="H531" s="49"/>
      <c r="I531" s="49"/>
      <c r="J531" s="49"/>
    </row>
    <row r="532">
      <c r="A532" s="49"/>
      <c r="B532" s="49"/>
      <c r="C532" s="49"/>
      <c r="D532" s="49"/>
      <c r="E532" s="49"/>
      <c r="F532" s="49"/>
      <c r="G532" s="49"/>
      <c r="H532" s="49"/>
      <c r="I532" s="49"/>
      <c r="J532" s="49"/>
    </row>
    <row r="533">
      <c r="A533" s="49"/>
      <c r="B533" s="49"/>
      <c r="C533" s="49"/>
      <c r="D533" s="49"/>
      <c r="E533" s="49"/>
      <c r="F533" s="49"/>
      <c r="G533" s="49"/>
      <c r="H533" s="49"/>
      <c r="I533" s="49"/>
      <c r="J533" s="49"/>
    </row>
    <row r="534">
      <c r="A534" s="49"/>
      <c r="B534" s="49"/>
      <c r="C534" s="49"/>
      <c r="D534" s="49"/>
      <c r="E534" s="49"/>
      <c r="F534" s="49"/>
      <c r="G534" s="49"/>
      <c r="H534" s="49"/>
      <c r="I534" s="49"/>
      <c r="J534" s="49"/>
    </row>
    <row r="535">
      <c r="A535" s="49"/>
      <c r="B535" s="49"/>
      <c r="C535" s="49"/>
      <c r="D535" s="49"/>
      <c r="E535" s="49"/>
      <c r="F535" s="49"/>
      <c r="G535" s="49"/>
      <c r="H535" s="49"/>
      <c r="I535" s="49"/>
      <c r="J535" s="49"/>
    </row>
    <row r="536">
      <c r="A536" s="49"/>
      <c r="B536" s="49"/>
      <c r="C536" s="49"/>
      <c r="D536" s="49"/>
      <c r="E536" s="49"/>
      <c r="F536" s="49"/>
      <c r="G536" s="49"/>
      <c r="H536" s="49"/>
      <c r="I536" s="49"/>
      <c r="J536" s="49"/>
    </row>
    <row r="537">
      <c r="A537" s="49"/>
      <c r="B537" s="49"/>
      <c r="C537" s="49"/>
      <c r="D537" s="49"/>
      <c r="E537" s="49"/>
      <c r="F537" s="49"/>
      <c r="G537" s="49"/>
      <c r="H537" s="49"/>
      <c r="I537" s="49"/>
      <c r="J537" s="49"/>
    </row>
    <row r="538">
      <c r="A538" s="49"/>
      <c r="B538" s="49"/>
      <c r="C538" s="49"/>
      <c r="D538" s="49"/>
      <c r="E538" s="49"/>
      <c r="F538" s="49"/>
      <c r="G538" s="49"/>
      <c r="H538" s="49"/>
      <c r="I538" s="49"/>
      <c r="J538" s="49"/>
    </row>
    <row r="539">
      <c r="A539" s="49"/>
      <c r="B539" s="49"/>
      <c r="C539" s="49"/>
      <c r="D539" s="49"/>
      <c r="E539" s="49"/>
      <c r="F539" s="49"/>
      <c r="G539" s="49"/>
      <c r="H539" s="49"/>
      <c r="I539" s="49"/>
      <c r="J539" s="49"/>
    </row>
    <row r="540">
      <c r="A540" s="49"/>
      <c r="B540" s="49"/>
      <c r="C540" s="49"/>
      <c r="D540" s="49"/>
      <c r="E540" s="49"/>
      <c r="F540" s="49"/>
      <c r="G540" s="49"/>
      <c r="H540" s="49"/>
      <c r="I540" s="49"/>
      <c r="J540" s="49"/>
    </row>
    <row r="541">
      <c r="A541" s="49"/>
      <c r="B541" s="49"/>
      <c r="C541" s="49"/>
      <c r="D541" s="49"/>
      <c r="E541" s="49"/>
      <c r="F541" s="49"/>
      <c r="G541" s="49"/>
      <c r="H541" s="49"/>
      <c r="I541" s="49"/>
      <c r="J541" s="49"/>
    </row>
    <row r="542">
      <c r="A542" s="49"/>
      <c r="B542" s="49"/>
      <c r="C542" s="49"/>
      <c r="D542" s="49"/>
      <c r="E542" s="49"/>
      <c r="F542" s="49"/>
      <c r="G542" s="49"/>
      <c r="H542" s="49"/>
      <c r="I542" s="49"/>
      <c r="J542" s="49"/>
    </row>
    <row r="543">
      <c r="A543" s="49"/>
      <c r="B543" s="49"/>
      <c r="C543" s="49"/>
      <c r="D543" s="49"/>
      <c r="E543" s="49"/>
      <c r="F543" s="49"/>
      <c r="G543" s="49"/>
      <c r="H543" s="49"/>
      <c r="I543" s="49"/>
      <c r="J543" s="49"/>
    </row>
    <row r="544">
      <c r="A544" s="49"/>
      <c r="B544" s="49"/>
      <c r="C544" s="49"/>
      <c r="D544" s="49"/>
      <c r="E544" s="49"/>
      <c r="F544" s="49"/>
      <c r="G544" s="49"/>
      <c r="H544" s="49"/>
      <c r="I544" s="49"/>
      <c r="J544" s="49"/>
    </row>
    <row r="545">
      <c r="A545" s="49"/>
      <c r="B545" s="49"/>
      <c r="C545" s="49"/>
      <c r="D545" s="49"/>
      <c r="E545" s="49"/>
      <c r="F545" s="49"/>
      <c r="G545" s="49"/>
      <c r="H545" s="49"/>
      <c r="I545" s="49"/>
      <c r="J545" s="49"/>
    </row>
    <row r="546">
      <c r="A546" s="49"/>
      <c r="B546" s="49"/>
      <c r="C546" s="49"/>
      <c r="D546" s="49"/>
      <c r="E546" s="49"/>
      <c r="F546" s="49"/>
      <c r="G546" s="49"/>
      <c r="H546" s="49"/>
      <c r="I546" s="49"/>
      <c r="J546" s="49"/>
    </row>
    <row r="547">
      <c r="A547" s="49"/>
      <c r="B547" s="49"/>
      <c r="C547" s="49"/>
      <c r="D547" s="49"/>
      <c r="E547" s="49"/>
      <c r="F547" s="49"/>
      <c r="G547" s="49"/>
      <c r="H547" s="49"/>
      <c r="I547" s="49"/>
      <c r="J547" s="49"/>
    </row>
    <row r="548">
      <c r="A548" s="49"/>
      <c r="B548" s="49"/>
      <c r="C548" s="49"/>
      <c r="D548" s="49"/>
      <c r="E548" s="49"/>
      <c r="F548" s="49"/>
      <c r="G548" s="49"/>
      <c r="H548" s="49"/>
      <c r="I548" s="49"/>
      <c r="J548" s="49"/>
    </row>
    <row r="549">
      <c r="A549" s="49"/>
      <c r="B549" s="49"/>
      <c r="C549" s="49"/>
      <c r="D549" s="49"/>
      <c r="E549" s="49"/>
      <c r="F549" s="49"/>
      <c r="G549" s="49"/>
      <c r="H549" s="49"/>
      <c r="I549" s="49"/>
      <c r="J549" s="49"/>
    </row>
    <row r="550">
      <c r="A550" s="49"/>
      <c r="B550" s="49"/>
      <c r="C550" s="49"/>
      <c r="D550" s="49"/>
      <c r="E550" s="49"/>
      <c r="F550" s="49"/>
      <c r="G550" s="49"/>
      <c r="H550" s="49"/>
      <c r="I550" s="49"/>
      <c r="J550" s="49"/>
    </row>
    <row r="551">
      <c r="A551" s="49"/>
      <c r="B551" s="49"/>
      <c r="C551" s="49"/>
      <c r="D551" s="49"/>
      <c r="E551" s="49"/>
      <c r="F551" s="49"/>
      <c r="G551" s="49"/>
      <c r="H551" s="49"/>
      <c r="I551" s="49"/>
      <c r="J551" s="49"/>
    </row>
    <row r="552">
      <c r="A552" s="49"/>
      <c r="B552" s="49"/>
      <c r="C552" s="49"/>
      <c r="D552" s="49"/>
      <c r="E552" s="49"/>
      <c r="F552" s="49"/>
      <c r="G552" s="49"/>
      <c r="H552" s="49"/>
      <c r="I552" s="49"/>
      <c r="J552" s="49"/>
    </row>
    <row r="553">
      <c r="A553" s="49"/>
      <c r="B553" s="49"/>
      <c r="C553" s="49"/>
      <c r="D553" s="49"/>
      <c r="E553" s="49"/>
      <c r="F553" s="49"/>
      <c r="G553" s="49"/>
      <c r="H553" s="49"/>
      <c r="I553" s="49"/>
      <c r="J553" s="49"/>
    </row>
    <row r="554">
      <c r="A554" s="49"/>
      <c r="B554" s="49"/>
      <c r="C554" s="49"/>
      <c r="D554" s="49"/>
      <c r="E554" s="49"/>
      <c r="F554" s="49"/>
      <c r="G554" s="49"/>
      <c r="H554" s="49"/>
      <c r="I554" s="49"/>
      <c r="J554" s="49"/>
    </row>
    <row r="555">
      <c r="A555" s="49"/>
      <c r="B555" s="49"/>
      <c r="C555" s="49"/>
      <c r="D555" s="49"/>
      <c r="E555" s="49"/>
      <c r="F555" s="49"/>
      <c r="G555" s="49"/>
      <c r="H555" s="49"/>
      <c r="I555" s="49"/>
      <c r="J555" s="49"/>
    </row>
    <row r="556">
      <c r="A556" s="49"/>
      <c r="B556" s="49"/>
      <c r="C556" s="49"/>
      <c r="D556" s="49"/>
      <c r="E556" s="49"/>
      <c r="F556" s="49"/>
      <c r="G556" s="49"/>
      <c r="H556" s="49"/>
      <c r="I556" s="49"/>
      <c r="J556" s="49"/>
    </row>
    <row r="557">
      <c r="A557" s="49"/>
      <c r="B557" s="49"/>
      <c r="C557" s="49"/>
      <c r="D557" s="49"/>
      <c r="E557" s="49"/>
      <c r="F557" s="49"/>
      <c r="G557" s="49"/>
      <c r="H557" s="49"/>
      <c r="I557" s="49"/>
      <c r="J557" s="49"/>
    </row>
    <row r="558">
      <c r="A558" s="49"/>
      <c r="B558" s="49"/>
      <c r="C558" s="49"/>
      <c r="D558" s="49"/>
      <c r="E558" s="49"/>
      <c r="F558" s="49"/>
      <c r="G558" s="49"/>
      <c r="H558" s="49"/>
      <c r="I558" s="49"/>
      <c r="J558" s="49"/>
    </row>
    <row r="559">
      <c r="A559" s="49"/>
      <c r="B559" s="49"/>
      <c r="C559" s="49"/>
      <c r="D559" s="49"/>
      <c r="E559" s="49"/>
      <c r="F559" s="49"/>
      <c r="G559" s="49"/>
      <c r="H559" s="49"/>
      <c r="I559" s="49"/>
      <c r="J559" s="49"/>
    </row>
    <row r="560">
      <c r="A560" s="49"/>
      <c r="B560" s="49"/>
      <c r="C560" s="49"/>
      <c r="D560" s="49"/>
      <c r="E560" s="49"/>
      <c r="F560" s="49"/>
      <c r="G560" s="49"/>
      <c r="H560" s="49"/>
      <c r="I560" s="49"/>
      <c r="J560" s="49"/>
    </row>
    <row r="561">
      <c r="A561" s="49"/>
      <c r="B561" s="49"/>
      <c r="C561" s="49"/>
      <c r="D561" s="49"/>
      <c r="E561" s="49"/>
      <c r="F561" s="49"/>
      <c r="G561" s="49"/>
      <c r="H561" s="49"/>
      <c r="I561" s="49"/>
      <c r="J561" s="49"/>
    </row>
    <row r="562">
      <c r="A562" s="49"/>
      <c r="B562" s="49"/>
      <c r="C562" s="49"/>
      <c r="D562" s="49"/>
      <c r="E562" s="49"/>
      <c r="F562" s="49"/>
      <c r="G562" s="49"/>
      <c r="H562" s="49"/>
      <c r="I562" s="49"/>
      <c r="J562" s="49"/>
    </row>
    <row r="563">
      <c r="A563" s="49"/>
      <c r="B563" s="49"/>
      <c r="C563" s="49"/>
      <c r="D563" s="49"/>
      <c r="E563" s="49"/>
      <c r="F563" s="49"/>
      <c r="G563" s="49"/>
      <c r="H563" s="49"/>
      <c r="I563" s="49"/>
      <c r="J563" s="49"/>
    </row>
    <row r="564">
      <c r="A564" s="49"/>
      <c r="B564" s="49"/>
      <c r="C564" s="49"/>
      <c r="D564" s="49"/>
      <c r="E564" s="49"/>
      <c r="F564" s="49"/>
      <c r="G564" s="49"/>
      <c r="H564" s="49"/>
      <c r="I564" s="49"/>
      <c r="J564" s="49"/>
    </row>
    <row r="565">
      <c r="A565" s="49"/>
      <c r="B565" s="49"/>
      <c r="C565" s="49"/>
      <c r="D565" s="49"/>
      <c r="E565" s="49"/>
      <c r="F565" s="49"/>
      <c r="G565" s="49"/>
      <c r="H565" s="49"/>
      <c r="I565" s="49"/>
      <c r="J565" s="49"/>
    </row>
    <row r="566">
      <c r="A566" s="49"/>
      <c r="B566" s="49"/>
      <c r="C566" s="49"/>
      <c r="D566" s="49"/>
      <c r="E566" s="49"/>
      <c r="F566" s="49"/>
      <c r="G566" s="49"/>
      <c r="H566" s="49"/>
      <c r="I566" s="49"/>
      <c r="J566" s="49"/>
    </row>
    <row r="567">
      <c r="A567" s="49"/>
      <c r="B567" s="49"/>
      <c r="C567" s="49"/>
      <c r="D567" s="49"/>
      <c r="E567" s="49"/>
      <c r="F567" s="49"/>
      <c r="G567" s="49"/>
      <c r="H567" s="49"/>
      <c r="I567" s="49"/>
      <c r="J567" s="49"/>
    </row>
    <row r="568">
      <c r="A568" s="49"/>
      <c r="B568" s="49"/>
      <c r="C568" s="49"/>
      <c r="D568" s="49"/>
      <c r="E568" s="49"/>
      <c r="F568" s="49"/>
      <c r="G568" s="49"/>
      <c r="H568" s="49"/>
      <c r="I568" s="49"/>
      <c r="J568" s="49"/>
    </row>
    <row r="569">
      <c r="A569" s="49"/>
      <c r="B569" s="49"/>
      <c r="C569" s="49"/>
      <c r="D569" s="49"/>
      <c r="E569" s="49"/>
      <c r="F569" s="49"/>
      <c r="G569" s="49"/>
      <c r="H569" s="49"/>
      <c r="I569" s="49"/>
      <c r="J569" s="49"/>
    </row>
    <row r="570">
      <c r="A570" s="49"/>
      <c r="B570" s="49"/>
      <c r="C570" s="49"/>
      <c r="D570" s="49"/>
      <c r="E570" s="49"/>
      <c r="F570" s="49"/>
      <c r="G570" s="49"/>
      <c r="H570" s="49"/>
      <c r="I570" s="49"/>
      <c r="J570" s="49"/>
    </row>
    <row r="571">
      <c r="A571" s="49"/>
      <c r="B571" s="49"/>
      <c r="C571" s="49"/>
      <c r="D571" s="49"/>
      <c r="E571" s="49"/>
      <c r="F571" s="49"/>
      <c r="G571" s="49"/>
      <c r="H571" s="49"/>
      <c r="I571" s="49"/>
      <c r="J571" s="49"/>
    </row>
    <row r="572">
      <c r="A572" s="49"/>
      <c r="B572" s="49"/>
      <c r="C572" s="49"/>
      <c r="D572" s="49"/>
      <c r="E572" s="49"/>
      <c r="F572" s="49"/>
      <c r="G572" s="49"/>
      <c r="H572" s="49"/>
      <c r="I572" s="49"/>
      <c r="J572" s="49"/>
    </row>
    <row r="573">
      <c r="A573" s="49"/>
      <c r="B573" s="49"/>
      <c r="C573" s="49"/>
      <c r="D573" s="49"/>
      <c r="E573" s="49"/>
      <c r="F573" s="49"/>
      <c r="G573" s="49"/>
      <c r="H573" s="49"/>
      <c r="I573" s="49"/>
      <c r="J573" s="49"/>
    </row>
    <row r="574">
      <c r="A574" s="49"/>
      <c r="B574" s="49"/>
      <c r="C574" s="49"/>
      <c r="D574" s="49"/>
      <c r="E574" s="49"/>
      <c r="F574" s="49"/>
      <c r="G574" s="49"/>
      <c r="H574" s="49"/>
      <c r="I574" s="49"/>
      <c r="J574" s="49"/>
    </row>
    <row r="575">
      <c r="A575" s="49"/>
      <c r="B575" s="49"/>
      <c r="C575" s="49"/>
      <c r="D575" s="49"/>
      <c r="E575" s="49"/>
      <c r="F575" s="49"/>
      <c r="G575" s="49"/>
      <c r="H575" s="49"/>
      <c r="I575" s="49"/>
      <c r="J575" s="49"/>
    </row>
    <row r="576">
      <c r="A576" s="49"/>
      <c r="B576" s="49"/>
      <c r="C576" s="49"/>
      <c r="D576" s="49"/>
      <c r="E576" s="49"/>
      <c r="F576" s="49"/>
      <c r="G576" s="49"/>
      <c r="H576" s="49"/>
      <c r="I576" s="49"/>
      <c r="J576" s="49"/>
    </row>
    <row r="577">
      <c r="A577" s="49"/>
      <c r="B577" s="49"/>
      <c r="C577" s="49"/>
      <c r="D577" s="49"/>
      <c r="E577" s="49"/>
      <c r="F577" s="49"/>
      <c r="G577" s="49"/>
      <c r="H577" s="49"/>
      <c r="I577" s="49"/>
      <c r="J577" s="49"/>
    </row>
    <row r="578">
      <c r="A578" s="49"/>
      <c r="B578" s="49"/>
      <c r="C578" s="49"/>
      <c r="D578" s="49"/>
      <c r="E578" s="49"/>
      <c r="F578" s="49"/>
      <c r="G578" s="49"/>
      <c r="H578" s="49"/>
      <c r="I578" s="49"/>
      <c r="J578" s="49"/>
    </row>
    <row r="579">
      <c r="A579" s="49"/>
      <c r="B579" s="49"/>
      <c r="C579" s="49"/>
      <c r="D579" s="49"/>
      <c r="E579" s="49"/>
      <c r="F579" s="49"/>
      <c r="G579" s="49"/>
      <c r="H579" s="49"/>
      <c r="I579" s="49"/>
      <c r="J579" s="49"/>
    </row>
    <row r="580">
      <c r="A580" s="49"/>
      <c r="B580" s="49"/>
      <c r="C580" s="49"/>
      <c r="D580" s="49"/>
      <c r="E580" s="49"/>
      <c r="F580" s="49"/>
      <c r="G580" s="49"/>
      <c r="H580" s="49"/>
      <c r="I580" s="49"/>
      <c r="J580" s="49"/>
    </row>
    <row r="581">
      <c r="A581" s="49"/>
      <c r="B581" s="49"/>
      <c r="C581" s="49"/>
      <c r="D581" s="49"/>
      <c r="E581" s="49"/>
      <c r="F581" s="49"/>
      <c r="G581" s="49"/>
      <c r="H581" s="49"/>
      <c r="I581" s="49"/>
      <c r="J581" s="49"/>
    </row>
    <row r="582">
      <c r="A582" s="49"/>
      <c r="B582" s="49"/>
      <c r="C582" s="49"/>
      <c r="D582" s="49"/>
      <c r="E582" s="49"/>
      <c r="F582" s="49"/>
      <c r="G582" s="49"/>
      <c r="H582" s="49"/>
      <c r="I582" s="49"/>
      <c r="J582" s="49"/>
    </row>
    <row r="583">
      <c r="A583" s="49"/>
      <c r="B583" s="49"/>
      <c r="C583" s="49"/>
      <c r="D583" s="49"/>
      <c r="E583" s="49"/>
      <c r="F583" s="49"/>
      <c r="G583" s="49"/>
      <c r="H583" s="49"/>
      <c r="I583" s="49"/>
      <c r="J583" s="49"/>
    </row>
    <row r="584">
      <c r="A584" s="49"/>
      <c r="B584" s="49"/>
      <c r="C584" s="49"/>
      <c r="D584" s="49"/>
      <c r="E584" s="49"/>
      <c r="F584" s="49"/>
      <c r="G584" s="49"/>
      <c r="H584" s="49"/>
      <c r="I584" s="49"/>
      <c r="J584" s="49"/>
    </row>
    <row r="585">
      <c r="A585" s="49"/>
      <c r="B585" s="49"/>
      <c r="C585" s="49"/>
      <c r="D585" s="49"/>
      <c r="E585" s="49"/>
      <c r="F585" s="49"/>
      <c r="G585" s="49"/>
      <c r="H585" s="49"/>
      <c r="I585" s="49"/>
      <c r="J585" s="49"/>
    </row>
    <row r="586">
      <c r="A586" s="49"/>
      <c r="B586" s="49"/>
      <c r="C586" s="49"/>
      <c r="D586" s="49"/>
      <c r="E586" s="49"/>
      <c r="F586" s="49"/>
      <c r="G586" s="49"/>
      <c r="H586" s="49"/>
      <c r="I586" s="49"/>
      <c r="J586" s="49"/>
    </row>
    <row r="587">
      <c r="A587" s="49"/>
      <c r="B587" s="49"/>
      <c r="C587" s="49"/>
      <c r="D587" s="49"/>
      <c r="E587" s="49"/>
      <c r="F587" s="49"/>
      <c r="G587" s="49"/>
      <c r="H587" s="49"/>
      <c r="I587" s="49"/>
      <c r="J587" s="49"/>
    </row>
    <row r="588">
      <c r="A588" s="49"/>
      <c r="B588" s="49"/>
      <c r="C588" s="49"/>
      <c r="D588" s="49"/>
      <c r="E588" s="49"/>
      <c r="F588" s="49"/>
      <c r="G588" s="49"/>
      <c r="H588" s="49"/>
      <c r="I588" s="49"/>
      <c r="J588" s="49"/>
    </row>
    <row r="589">
      <c r="A589" s="49"/>
      <c r="B589" s="49"/>
      <c r="C589" s="49"/>
      <c r="D589" s="49"/>
      <c r="E589" s="49"/>
      <c r="F589" s="49"/>
      <c r="G589" s="49"/>
      <c r="H589" s="49"/>
      <c r="I589" s="49"/>
      <c r="J589" s="49"/>
    </row>
    <row r="590">
      <c r="A590" s="49"/>
      <c r="B590" s="49"/>
      <c r="C590" s="49"/>
      <c r="D590" s="49"/>
      <c r="E590" s="49"/>
      <c r="F590" s="49"/>
      <c r="G590" s="49"/>
      <c r="H590" s="49"/>
      <c r="I590" s="49"/>
      <c r="J590" s="49"/>
    </row>
    <row r="591">
      <c r="A591" s="49"/>
      <c r="B591" s="49"/>
      <c r="C591" s="49"/>
      <c r="D591" s="49"/>
      <c r="E591" s="49"/>
      <c r="F591" s="49"/>
      <c r="G591" s="49"/>
      <c r="H591" s="49"/>
      <c r="I591" s="49"/>
      <c r="J591" s="49"/>
    </row>
    <row r="592">
      <c r="A592" s="49"/>
      <c r="B592" s="49"/>
      <c r="C592" s="49"/>
      <c r="D592" s="49"/>
      <c r="E592" s="49"/>
      <c r="F592" s="49"/>
      <c r="G592" s="49"/>
      <c r="H592" s="49"/>
      <c r="I592" s="49"/>
      <c r="J592" s="49"/>
    </row>
    <row r="593">
      <c r="A593" s="49"/>
      <c r="B593" s="49"/>
      <c r="C593" s="49"/>
      <c r="D593" s="49"/>
      <c r="E593" s="49"/>
      <c r="F593" s="49"/>
      <c r="G593" s="49"/>
      <c r="H593" s="49"/>
      <c r="I593" s="49"/>
      <c r="J593" s="49"/>
    </row>
    <row r="594">
      <c r="A594" s="49"/>
      <c r="B594" s="49"/>
      <c r="C594" s="49"/>
      <c r="D594" s="49"/>
      <c r="E594" s="49"/>
      <c r="F594" s="49"/>
      <c r="G594" s="49"/>
      <c r="H594" s="49"/>
      <c r="I594" s="49"/>
      <c r="J594" s="49"/>
    </row>
    <row r="595">
      <c r="A595" s="49"/>
      <c r="B595" s="49"/>
      <c r="C595" s="49"/>
      <c r="D595" s="49"/>
      <c r="E595" s="49"/>
      <c r="F595" s="49"/>
      <c r="G595" s="49"/>
      <c r="H595" s="49"/>
      <c r="I595" s="49"/>
      <c r="J595" s="49"/>
    </row>
    <row r="596">
      <c r="A596" s="49"/>
      <c r="B596" s="49"/>
      <c r="C596" s="49"/>
      <c r="D596" s="49"/>
      <c r="E596" s="49"/>
      <c r="F596" s="49"/>
      <c r="G596" s="49"/>
      <c r="H596" s="49"/>
      <c r="I596" s="49"/>
      <c r="J596" s="49"/>
    </row>
    <row r="597">
      <c r="A597" s="49"/>
      <c r="B597" s="49"/>
      <c r="C597" s="49"/>
      <c r="D597" s="49"/>
      <c r="E597" s="49"/>
      <c r="F597" s="49"/>
      <c r="G597" s="49"/>
      <c r="H597" s="49"/>
      <c r="I597" s="49"/>
      <c r="J597" s="49"/>
    </row>
    <row r="598">
      <c r="A598" s="49"/>
      <c r="B598" s="49"/>
      <c r="C598" s="49"/>
      <c r="D598" s="49"/>
      <c r="E598" s="49"/>
      <c r="F598" s="49"/>
      <c r="G598" s="49"/>
      <c r="H598" s="49"/>
      <c r="I598" s="49"/>
      <c r="J598" s="49"/>
    </row>
    <row r="599">
      <c r="A599" s="49"/>
      <c r="B599" s="49"/>
      <c r="C599" s="49"/>
      <c r="D599" s="49"/>
      <c r="E599" s="49"/>
      <c r="F599" s="49"/>
      <c r="G599" s="49"/>
      <c r="H599" s="49"/>
      <c r="I599" s="49"/>
      <c r="J599" s="49"/>
    </row>
    <row r="600">
      <c r="A600" s="49"/>
      <c r="B600" s="49"/>
      <c r="C600" s="49"/>
      <c r="D600" s="49"/>
      <c r="E600" s="49"/>
      <c r="F600" s="49"/>
      <c r="G600" s="49"/>
      <c r="H600" s="49"/>
      <c r="I600" s="49"/>
      <c r="J600" s="49"/>
    </row>
    <row r="601">
      <c r="A601" s="49"/>
      <c r="B601" s="49"/>
      <c r="C601" s="49"/>
      <c r="D601" s="49"/>
      <c r="E601" s="49"/>
      <c r="F601" s="49"/>
      <c r="G601" s="49"/>
      <c r="H601" s="49"/>
      <c r="I601" s="49"/>
      <c r="J601" s="49"/>
    </row>
    <row r="602">
      <c r="A602" s="49"/>
      <c r="B602" s="49"/>
      <c r="C602" s="49"/>
      <c r="D602" s="49"/>
      <c r="E602" s="49"/>
      <c r="F602" s="49"/>
      <c r="G602" s="49"/>
      <c r="H602" s="49"/>
      <c r="I602" s="49"/>
      <c r="J602" s="49"/>
    </row>
    <row r="603">
      <c r="A603" s="49"/>
      <c r="B603" s="49"/>
      <c r="C603" s="49"/>
      <c r="D603" s="49"/>
      <c r="E603" s="49"/>
      <c r="F603" s="49"/>
      <c r="G603" s="49"/>
      <c r="H603" s="49"/>
      <c r="I603" s="49"/>
      <c r="J603" s="49"/>
    </row>
    <row r="604">
      <c r="A604" s="49"/>
      <c r="B604" s="49"/>
      <c r="C604" s="49"/>
      <c r="D604" s="49"/>
      <c r="E604" s="49"/>
      <c r="F604" s="49"/>
      <c r="G604" s="49"/>
      <c r="H604" s="49"/>
      <c r="I604" s="49"/>
      <c r="J604" s="49"/>
    </row>
    <row r="605">
      <c r="A605" s="49"/>
      <c r="B605" s="49"/>
      <c r="C605" s="49"/>
      <c r="D605" s="49"/>
      <c r="E605" s="49"/>
      <c r="F605" s="49"/>
      <c r="G605" s="49"/>
      <c r="H605" s="49"/>
      <c r="I605" s="49"/>
      <c r="J605" s="49"/>
    </row>
    <row r="606">
      <c r="A606" s="49"/>
      <c r="B606" s="49"/>
      <c r="C606" s="49"/>
      <c r="D606" s="49"/>
      <c r="E606" s="49"/>
      <c r="F606" s="49"/>
      <c r="G606" s="49"/>
      <c r="H606" s="49"/>
      <c r="I606" s="49"/>
      <c r="J606" s="49"/>
    </row>
    <row r="607">
      <c r="A607" s="49"/>
      <c r="B607" s="49"/>
      <c r="C607" s="49"/>
      <c r="D607" s="49"/>
      <c r="E607" s="49"/>
      <c r="F607" s="49"/>
      <c r="G607" s="49"/>
      <c r="H607" s="49"/>
      <c r="I607" s="49"/>
      <c r="J607" s="49"/>
    </row>
    <row r="608">
      <c r="A608" s="49"/>
      <c r="B608" s="49"/>
      <c r="C608" s="49"/>
      <c r="D608" s="49"/>
      <c r="E608" s="49"/>
      <c r="F608" s="49"/>
      <c r="G608" s="49"/>
      <c r="H608" s="49"/>
      <c r="I608" s="49"/>
      <c r="J608" s="49"/>
    </row>
    <row r="609">
      <c r="A609" s="49"/>
      <c r="B609" s="49"/>
      <c r="C609" s="49"/>
      <c r="D609" s="49"/>
      <c r="E609" s="49"/>
      <c r="F609" s="49"/>
      <c r="G609" s="49"/>
      <c r="H609" s="49"/>
      <c r="I609" s="49"/>
      <c r="J609" s="49"/>
    </row>
    <row r="610">
      <c r="A610" s="49"/>
      <c r="B610" s="49"/>
      <c r="C610" s="49"/>
      <c r="D610" s="49"/>
      <c r="E610" s="49"/>
      <c r="F610" s="49"/>
      <c r="G610" s="49"/>
      <c r="H610" s="49"/>
      <c r="I610" s="49"/>
      <c r="J610" s="49"/>
    </row>
    <row r="611">
      <c r="A611" s="49"/>
      <c r="B611" s="49"/>
      <c r="C611" s="49"/>
      <c r="D611" s="49"/>
      <c r="E611" s="49"/>
      <c r="F611" s="49"/>
      <c r="G611" s="49"/>
      <c r="H611" s="49"/>
      <c r="I611" s="49"/>
      <c r="J611" s="49"/>
    </row>
    <row r="612">
      <c r="A612" s="49"/>
      <c r="B612" s="49"/>
      <c r="C612" s="49"/>
      <c r="D612" s="49"/>
      <c r="E612" s="49"/>
      <c r="F612" s="49"/>
      <c r="G612" s="49"/>
      <c r="H612" s="49"/>
      <c r="I612" s="49"/>
      <c r="J612" s="49"/>
    </row>
    <row r="613">
      <c r="A613" s="49"/>
      <c r="B613" s="49"/>
      <c r="C613" s="49"/>
      <c r="D613" s="49"/>
      <c r="E613" s="49"/>
      <c r="F613" s="49"/>
      <c r="G613" s="49"/>
      <c r="H613" s="49"/>
      <c r="I613" s="49"/>
      <c r="J613" s="49"/>
    </row>
    <row r="614">
      <c r="A614" s="49"/>
      <c r="B614" s="49"/>
      <c r="C614" s="49"/>
      <c r="D614" s="49"/>
      <c r="E614" s="49"/>
      <c r="F614" s="49"/>
      <c r="G614" s="49"/>
      <c r="H614" s="49"/>
      <c r="I614" s="49"/>
      <c r="J614" s="49"/>
    </row>
    <row r="615">
      <c r="A615" s="49"/>
      <c r="B615" s="49"/>
      <c r="C615" s="49"/>
      <c r="D615" s="49"/>
      <c r="E615" s="49"/>
      <c r="F615" s="49"/>
      <c r="G615" s="49"/>
      <c r="H615" s="49"/>
      <c r="I615" s="49"/>
      <c r="J615" s="49"/>
    </row>
    <row r="616">
      <c r="A616" s="49"/>
      <c r="B616" s="49"/>
      <c r="C616" s="49"/>
      <c r="D616" s="49"/>
      <c r="E616" s="49"/>
      <c r="F616" s="49"/>
      <c r="G616" s="49"/>
      <c r="H616" s="49"/>
      <c r="I616" s="49"/>
      <c r="J616" s="49"/>
    </row>
    <row r="617">
      <c r="A617" s="49"/>
      <c r="B617" s="49"/>
      <c r="C617" s="49"/>
      <c r="D617" s="49"/>
      <c r="E617" s="49"/>
      <c r="F617" s="49"/>
      <c r="G617" s="49"/>
      <c r="H617" s="49"/>
      <c r="I617" s="49"/>
      <c r="J617" s="49"/>
    </row>
    <row r="618">
      <c r="A618" s="49"/>
      <c r="B618" s="49"/>
      <c r="C618" s="49"/>
      <c r="D618" s="49"/>
      <c r="E618" s="49"/>
      <c r="F618" s="49"/>
      <c r="G618" s="49"/>
      <c r="H618" s="49"/>
      <c r="I618" s="49"/>
      <c r="J618" s="49"/>
    </row>
    <row r="619">
      <c r="A619" s="49"/>
      <c r="B619" s="49"/>
      <c r="C619" s="49"/>
      <c r="D619" s="49"/>
      <c r="E619" s="49"/>
      <c r="F619" s="49"/>
      <c r="G619" s="49"/>
      <c r="H619" s="49"/>
      <c r="I619" s="49"/>
      <c r="J619" s="49"/>
    </row>
    <row r="620">
      <c r="A620" s="49"/>
      <c r="B620" s="49"/>
      <c r="C620" s="49"/>
      <c r="D620" s="49"/>
      <c r="E620" s="49"/>
      <c r="F620" s="49"/>
      <c r="G620" s="49"/>
      <c r="H620" s="49"/>
      <c r="I620" s="49"/>
      <c r="J620" s="49"/>
    </row>
    <row r="621">
      <c r="A621" s="49"/>
      <c r="B621" s="49"/>
      <c r="C621" s="49"/>
      <c r="D621" s="49"/>
      <c r="E621" s="49"/>
      <c r="F621" s="49"/>
      <c r="G621" s="49"/>
      <c r="H621" s="49"/>
      <c r="I621" s="49"/>
      <c r="J621" s="49"/>
    </row>
    <row r="622">
      <c r="A622" s="49"/>
      <c r="B622" s="49"/>
      <c r="C622" s="49"/>
      <c r="D622" s="49"/>
      <c r="E622" s="49"/>
      <c r="F622" s="49"/>
      <c r="G622" s="49"/>
      <c r="H622" s="49"/>
      <c r="I622" s="49"/>
      <c r="J622" s="49"/>
    </row>
    <row r="623">
      <c r="A623" s="49"/>
      <c r="B623" s="49"/>
      <c r="C623" s="49"/>
      <c r="D623" s="49"/>
      <c r="E623" s="49"/>
      <c r="F623" s="49"/>
      <c r="G623" s="49"/>
      <c r="H623" s="49"/>
      <c r="I623" s="49"/>
      <c r="J623" s="49"/>
    </row>
    <row r="624">
      <c r="A624" s="49"/>
      <c r="B624" s="49"/>
      <c r="C624" s="49"/>
      <c r="D624" s="49"/>
      <c r="E624" s="49"/>
      <c r="F624" s="49"/>
      <c r="G624" s="49"/>
      <c r="H624" s="49"/>
      <c r="I624" s="49"/>
      <c r="J624" s="49"/>
    </row>
    <row r="625">
      <c r="A625" s="49"/>
      <c r="B625" s="49"/>
      <c r="C625" s="49"/>
      <c r="D625" s="49"/>
      <c r="E625" s="49"/>
      <c r="F625" s="49"/>
      <c r="G625" s="49"/>
      <c r="H625" s="49"/>
      <c r="I625" s="49"/>
      <c r="J625" s="49"/>
    </row>
    <row r="626">
      <c r="A626" s="49"/>
      <c r="B626" s="49"/>
      <c r="C626" s="49"/>
      <c r="D626" s="49"/>
      <c r="E626" s="49"/>
      <c r="F626" s="49"/>
      <c r="G626" s="49"/>
      <c r="H626" s="49"/>
      <c r="I626" s="49"/>
      <c r="J626" s="49"/>
    </row>
    <row r="627">
      <c r="A627" s="49"/>
      <c r="B627" s="49"/>
      <c r="C627" s="49"/>
      <c r="D627" s="49"/>
      <c r="E627" s="49"/>
      <c r="F627" s="49"/>
      <c r="G627" s="49"/>
      <c r="H627" s="49"/>
      <c r="I627" s="49"/>
      <c r="J627" s="49"/>
    </row>
    <row r="628">
      <c r="A628" s="49"/>
      <c r="B628" s="49"/>
      <c r="C628" s="49"/>
      <c r="D628" s="49"/>
      <c r="E628" s="49"/>
      <c r="F628" s="49"/>
      <c r="G628" s="49"/>
      <c r="H628" s="49"/>
      <c r="I628" s="49"/>
      <c r="J628" s="49"/>
    </row>
    <row r="629">
      <c r="A629" s="49"/>
      <c r="B629" s="49"/>
      <c r="C629" s="49"/>
      <c r="D629" s="49"/>
      <c r="E629" s="49"/>
      <c r="F629" s="49"/>
      <c r="G629" s="49"/>
      <c r="H629" s="49"/>
      <c r="I629" s="49"/>
      <c r="J629" s="49"/>
    </row>
    <row r="630">
      <c r="A630" s="49"/>
      <c r="B630" s="49"/>
      <c r="C630" s="49"/>
      <c r="D630" s="49"/>
      <c r="E630" s="49"/>
      <c r="F630" s="49"/>
      <c r="G630" s="49"/>
      <c r="H630" s="49"/>
      <c r="I630" s="49"/>
      <c r="J630" s="49"/>
    </row>
    <row r="631">
      <c r="A631" s="49"/>
      <c r="B631" s="49"/>
      <c r="C631" s="49"/>
      <c r="D631" s="49"/>
      <c r="E631" s="49"/>
      <c r="F631" s="49"/>
      <c r="G631" s="49"/>
      <c r="H631" s="49"/>
      <c r="I631" s="49"/>
      <c r="J631" s="49"/>
    </row>
    <row r="632">
      <c r="A632" s="49"/>
      <c r="B632" s="49"/>
      <c r="C632" s="49"/>
      <c r="D632" s="49"/>
      <c r="E632" s="49"/>
      <c r="F632" s="49"/>
      <c r="G632" s="49"/>
      <c r="H632" s="49"/>
      <c r="I632" s="49"/>
      <c r="J632" s="49"/>
    </row>
    <row r="633">
      <c r="A633" s="49"/>
      <c r="B633" s="49"/>
      <c r="C633" s="49"/>
      <c r="D633" s="49"/>
      <c r="E633" s="49"/>
      <c r="F633" s="49"/>
      <c r="G633" s="49"/>
      <c r="H633" s="49"/>
      <c r="I633" s="49"/>
      <c r="J633" s="49"/>
    </row>
    <row r="634">
      <c r="A634" s="49"/>
      <c r="B634" s="49"/>
      <c r="C634" s="49"/>
      <c r="D634" s="49"/>
      <c r="E634" s="49"/>
      <c r="F634" s="49"/>
      <c r="G634" s="49"/>
      <c r="H634" s="49"/>
      <c r="I634" s="49"/>
      <c r="J634" s="49"/>
    </row>
    <row r="635">
      <c r="A635" s="49"/>
      <c r="B635" s="49"/>
      <c r="C635" s="49"/>
      <c r="D635" s="49"/>
      <c r="E635" s="49"/>
      <c r="F635" s="49"/>
      <c r="G635" s="49"/>
      <c r="H635" s="49"/>
      <c r="I635" s="49"/>
      <c r="J635" s="49"/>
    </row>
    <row r="636">
      <c r="A636" s="49"/>
      <c r="B636" s="49"/>
      <c r="C636" s="49"/>
      <c r="D636" s="49"/>
      <c r="E636" s="49"/>
      <c r="F636" s="49"/>
      <c r="G636" s="49"/>
      <c r="H636" s="49"/>
      <c r="I636" s="49"/>
      <c r="J636" s="49"/>
    </row>
    <row r="637">
      <c r="A637" s="49"/>
      <c r="B637" s="49"/>
      <c r="C637" s="49"/>
      <c r="D637" s="49"/>
      <c r="E637" s="49"/>
      <c r="F637" s="49"/>
      <c r="G637" s="49"/>
      <c r="H637" s="49"/>
      <c r="I637" s="49"/>
      <c r="J637" s="49"/>
    </row>
    <row r="638">
      <c r="A638" s="49"/>
      <c r="B638" s="49"/>
      <c r="C638" s="49"/>
      <c r="D638" s="49"/>
      <c r="E638" s="49"/>
      <c r="F638" s="49"/>
      <c r="G638" s="49"/>
      <c r="H638" s="49"/>
      <c r="I638" s="49"/>
      <c r="J638" s="49"/>
    </row>
    <row r="639">
      <c r="A639" s="49"/>
      <c r="B639" s="49"/>
      <c r="C639" s="49"/>
      <c r="D639" s="49"/>
      <c r="E639" s="49"/>
      <c r="F639" s="49"/>
      <c r="G639" s="49"/>
      <c r="H639" s="49"/>
      <c r="I639" s="49"/>
      <c r="J639" s="49"/>
    </row>
    <row r="640">
      <c r="A640" s="49"/>
      <c r="B640" s="49"/>
      <c r="C640" s="49"/>
      <c r="D640" s="49"/>
      <c r="E640" s="49"/>
      <c r="F640" s="49"/>
      <c r="G640" s="49"/>
      <c r="H640" s="49"/>
      <c r="I640" s="49"/>
      <c r="J640" s="49"/>
    </row>
    <row r="641">
      <c r="A641" s="49"/>
      <c r="B641" s="49"/>
      <c r="C641" s="49"/>
      <c r="D641" s="49"/>
      <c r="E641" s="49"/>
      <c r="F641" s="49"/>
      <c r="G641" s="49"/>
      <c r="H641" s="49"/>
      <c r="I641" s="49"/>
      <c r="J641" s="49"/>
    </row>
    <row r="642">
      <c r="A642" s="49"/>
      <c r="B642" s="49"/>
      <c r="C642" s="49"/>
      <c r="D642" s="49"/>
      <c r="E642" s="49"/>
      <c r="F642" s="49"/>
      <c r="G642" s="49"/>
      <c r="H642" s="49"/>
      <c r="I642" s="49"/>
      <c r="J642" s="49"/>
    </row>
    <row r="643">
      <c r="A643" s="49"/>
      <c r="B643" s="49"/>
      <c r="C643" s="49"/>
      <c r="D643" s="49"/>
      <c r="E643" s="49"/>
      <c r="F643" s="49"/>
      <c r="G643" s="49"/>
      <c r="H643" s="49"/>
      <c r="I643" s="49"/>
      <c r="J643" s="49"/>
    </row>
    <row r="644">
      <c r="A644" s="49"/>
      <c r="B644" s="49"/>
      <c r="C644" s="49"/>
      <c r="D644" s="49"/>
      <c r="E644" s="49"/>
      <c r="F644" s="49"/>
      <c r="G644" s="49"/>
      <c r="H644" s="49"/>
      <c r="I644" s="49"/>
      <c r="J644" s="49"/>
    </row>
    <row r="645">
      <c r="A645" s="49"/>
      <c r="B645" s="49"/>
      <c r="C645" s="49"/>
      <c r="D645" s="49"/>
      <c r="E645" s="49"/>
      <c r="F645" s="49"/>
      <c r="G645" s="49"/>
      <c r="H645" s="49"/>
      <c r="I645" s="49"/>
      <c r="J645" s="49"/>
    </row>
    <row r="646">
      <c r="A646" s="49"/>
      <c r="B646" s="49"/>
      <c r="C646" s="49"/>
      <c r="D646" s="49"/>
      <c r="E646" s="49"/>
      <c r="F646" s="49"/>
      <c r="G646" s="49"/>
      <c r="H646" s="49"/>
      <c r="I646" s="49"/>
      <c r="J646" s="49"/>
    </row>
    <row r="647">
      <c r="A647" s="49"/>
      <c r="B647" s="49"/>
      <c r="C647" s="49"/>
      <c r="D647" s="49"/>
      <c r="E647" s="49"/>
      <c r="F647" s="49"/>
      <c r="G647" s="49"/>
      <c r="H647" s="49"/>
      <c r="I647" s="49"/>
      <c r="J647" s="49"/>
    </row>
    <row r="648">
      <c r="A648" s="49"/>
      <c r="B648" s="49"/>
      <c r="C648" s="49"/>
      <c r="D648" s="49"/>
      <c r="E648" s="49"/>
      <c r="F648" s="49"/>
      <c r="G648" s="49"/>
      <c r="H648" s="49"/>
      <c r="I648" s="49"/>
      <c r="J648" s="49"/>
    </row>
    <row r="649">
      <c r="A649" s="49"/>
      <c r="B649" s="49"/>
      <c r="C649" s="49"/>
      <c r="D649" s="49"/>
      <c r="E649" s="49"/>
      <c r="F649" s="49"/>
      <c r="G649" s="49"/>
      <c r="H649" s="49"/>
      <c r="I649" s="49"/>
      <c r="J649" s="49"/>
    </row>
    <row r="650">
      <c r="A650" s="49"/>
      <c r="B650" s="49"/>
      <c r="C650" s="49"/>
      <c r="D650" s="49"/>
      <c r="E650" s="49"/>
      <c r="F650" s="49"/>
      <c r="G650" s="49"/>
      <c r="H650" s="49"/>
      <c r="I650" s="49"/>
      <c r="J650" s="49"/>
    </row>
    <row r="651">
      <c r="A651" s="49"/>
      <c r="B651" s="49"/>
      <c r="C651" s="49"/>
      <c r="D651" s="49"/>
      <c r="E651" s="49"/>
      <c r="F651" s="49"/>
      <c r="G651" s="49"/>
      <c r="H651" s="49"/>
      <c r="I651" s="49"/>
      <c r="J651" s="49"/>
    </row>
    <row r="652">
      <c r="A652" s="49"/>
      <c r="B652" s="49"/>
      <c r="C652" s="49"/>
      <c r="D652" s="49"/>
      <c r="E652" s="49"/>
      <c r="F652" s="49"/>
      <c r="G652" s="49"/>
      <c r="H652" s="49"/>
      <c r="I652" s="49"/>
      <c r="J652" s="49"/>
    </row>
    <row r="653">
      <c r="A653" s="49"/>
      <c r="B653" s="49"/>
      <c r="C653" s="49"/>
      <c r="D653" s="49"/>
      <c r="E653" s="49"/>
      <c r="F653" s="49"/>
      <c r="G653" s="49"/>
      <c r="H653" s="49"/>
      <c r="I653" s="49"/>
      <c r="J653" s="49"/>
    </row>
    <row r="654">
      <c r="A654" s="49"/>
      <c r="B654" s="49"/>
      <c r="C654" s="49"/>
      <c r="D654" s="49"/>
      <c r="E654" s="49"/>
      <c r="F654" s="49"/>
      <c r="G654" s="49"/>
      <c r="H654" s="49"/>
      <c r="I654" s="49"/>
      <c r="J654" s="49"/>
    </row>
    <row r="655">
      <c r="A655" s="49"/>
      <c r="B655" s="49"/>
      <c r="C655" s="49"/>
      <c r="D655" s="49"/>
      <c r="E655" s="49"/>
      <c r="F655" s="49"/>
      <c r="G655" s="49"/>
      <c r="H655" s="49"/>
      <c r="I655" s="49"/>
      <c r="J655" s="49"/>
    </row>
    <row r="656">
      <c r="A656" s="49"/>
      <c r="B656" s="49"/>
      <c r="C656" s="49"/>
      <c r="D656" s="49"/>
      <c r="E656" s="49"/>
      <c r="F656" s="49"/>
      <c r="G656" s="49"/>
      <c r="H656" s="49"/>
      <c r="I656" s="49"/>
      <c r="J656" s="49"/>
    </row>
    <row r="657">
      <c r="A657" s="49"/>
      <c r="B657" s="49"/>
      <c r="C657" s="49"/>
      <c r="D657" s="49"/>
      <c r="E657" s="49"/>
      <c r="F657" s="49"/>
      <c r="G657" s="49"/>
      <c r="H657" s="49"/>
      <c r="I657" s="49"/>
      <c r="J657" s="49"/>
    </row>
    <row r="658">
      <c r="A658" s="49"/>
      <c r="B658" s="49"/>
      <c r="C658" s="49"/>
      <c r="D658" s="49"/>
      <c r="E658" s="49"/>
      <c r="F658" s="49"/>
      <c r="G658" s="49"/>
      <c r="H658" s="49"/>
      <c r="I658" s="49"/>
      <c r="J658" s="49"/>
    </row>
    <row r="659">
      <c r="A659" s="49"/>
      <c r="B659" s="49"/>
      <c r="C659" s="49"/>
      <c r="D659" s="49"/>
      <c r="E659" s="49"/>
      <c r="F659" s="49"/>
      <c r="G659" s="49"/>
      <c r="H659" s="49"/>
      <c r="I659" s="49"/>
      <c r="J659" s="49"/>
    </row>
    <row r="660">
      <c r="A660" s="49"/>
      <c r="B660" s="49"/>
      <c r="C660" s="49"/>
      <c r="D660" s="49"/>
      <c r="E660" s="49"/>
      <c r="F660" s="49"/>
      <c r="G660" s="49"/>
      <c r="H660" s="49"/>
      <c r="I660" s="49"/>
      <c r="J660" s="49"/>
    </row>
    <row r="661">
      <c r="A661" s="49"/>
      <c r="B661" s="49"/>
      <c r="C661" s="49"/>
      <c r="D661" s="49"/>
      <c r="E661" s="49"/>
      <c r="F661" s="49"/>
      <c r="G661" s="49"/>
      <c r="H661" s="49"/>
      <c r="I661" s="49"/>
      <c r="J661" s="49"/>
    </row>
    <row r="662">
      <c r="A662" s="49"/>
      <c r="B662" s="49"/>
      <c r="C662" s="49"/>
      <c r="D662" s="49"/>
      <c r="E662" s="49"/>
      <c r="F662" s="49"/>
      <c r="G662" s="49"/>
      <c r="H662" s="49"/>
      <c r="I662" s="49"/>
      <c r="J662" s="49"/>
    </row>
    <row r="663">
      <c r="A663" s="49"/>
      <c r="B663" s="49"/>
      <c r="C663" s="49"/>
      <c r="D663" s="49"/>
      <c r="E663" s="49"/>
      <c r="F663" s="49"/>
      <c r="G663" s="49"/>
      <c r="H663" s="49"/>
      <c r="I663" s="49"/>
      <c r="J663" s="49"/>
    </row>
    <row r="664">
      <c r="A664" s="49"/>
      <c r="B664" s="49"/>
      <c r="C664" s="49"/>
      <c r="D664" s="49"/>
      <c r="E664" s="49"/>
      <c r="F664" s="49"/>
      <c r="G664" s="49"/>
      <c r="H664" s="49"/>
      <c r="I664" s="49"/>
      <c r="J664" s="49"/>
    </row>
    <row r="665">
      <c r="A665" s="49"/>
      <c r="B665" s="49"/>
      <c r="C665" s="49"/>
      <c r="D665" s="49"/>
      <c r="E665" s="49"/>
      <c r="F665" s="49"/>
      <c r="G665" s="49"/>
      <c r="H665" s="49"/>
      <c r="I665" s="49"/>
      <c r="J665" s="49"/>
    </row>
    <row r="666">
      <c r="A666" s="49"/>
      <c r="B666" s="49"/>
      <c r="C666" s="49"/>
      <c r="D666" s="49"/>
      <c r="E666" s="49"/>
      <c r="F666" s="49"/>
      <c r="G666" s="49"/>
      <c r="H666" s="49"/>
      <c r="I666" s="49"/>
      <c r="J666" s="49"/>
    </row>
    <row r="667">
      <c r="A667" s="49"/>
      <c r="B667" s="49"/>
      <c r="C667" s="49"/>
      <c r="D667" s="49"/>
      <c r="E667" s="49"/>
      <c r="F667" s="49"/>
      <c r="G667" s="49"/>
      <c r="H667" s="49"/>
      <c r="I667" s="49"/>
      <c r="J667" s="49"/>
    </row>
    <row r="668">
      <c r="A668" s="49"/>
      <c r="B668" s="49"/>
      <c r="C668" s="49"/>
      <c r="D668" s="49"/>
      <c r="E668" s="49"/>
      <c r="F668" s="49"/>
      <c r="G668" s="49"/>
      <c r="H668" s="49"/>
      <c r="I668" s="49"/>
      <c r="J668" s="49"/>
    </row>
    <row r="669">
      <c r="A669" s="49"/>
      <c r="B669" s="49"/>
      <c r="C669" s="49"/>
      <c r="D669" s="49"/>
      <c r="E669" s="49"/>
      <c r="F669" s="49"/>
      <c r="G669" s="49"/>
      <c r="H669" s="49"/>
      <c r="I669" s="49"/>
      <c r="J669" s="49"/>
    </row>
    <row r="670">
      <c r="A670" s="49"/>
      <c r="B670" s="49"/>
      <c r="C670" s="49"/>
      <c r="D670" s="49"/>
      <c r="E670" s="49"/>
      <c r="F670" s="49"/>
      <c r="G670" s="49"/>
      <c r="H670" s="49"/>
      <c r="I670" s="49"/>
      <c r="J670" s="49"/>
    </row>
    <row r="671">
      <c r="A671" s="49"/>
      <c r="B671" s="49"/>
      <c r="C671" s="49"/>
      <c r="D671" s="49"/>
      <c r="E671" s="49"/>
      <c r="F671" s="49"/>
      <c r="G671" s="49"/>
      <c r="H671" s="49"/>
      <c r="I671" s="49"/>
      <c r="J671" s="49"/>
    </row>
    <row r="672">
      <c r="A672" s="49"/>
      <c r="B672" s="49"/>
      <c r="C672" s="49"/>
      <c r="D672" s="49"/>
      <c r="E672" s="49"/>
      <c r="F672" s="49"/>
      <c r="G672" s="49"/>
      <c r="H672" s="49"/>
      <c r="I672" s="49"/>
      <c r="J672" s="49"/>
    </row>
    <row r="673">
      <c r="A673" s="49"/>
      <c r="B673" s="49"/>
      <c r="C673" s="49"/>
      <c r="D673" s="49"/>
      <c r="E673" s="49"/>
      <c r="F673" s="49"/>
      <c r="G673" s="49"/>
      <c r="H673" s="49"/>
      <c r="I673" s="49"/>
      <c r="J673" s="49"/>
    </row>
    <row r="674">
      <c r="A674" s="49"/>
      <c r="B674" s="49"/>
      <c r="C674" s="49"/>
      <c r="D674" s="49"/>
      <c r="E674" s="49"/>
      <c r="F674" s="49"/>
      <c r="G674" s="49"/>
      <c r="H674" s="49"/>
      <c r="I674" s="49"/>
      <c r="J674" s="49"/>
    </row>
    <row r="675">
      <c r="A675" s="49"/>
      <c r="B675" s="49"/>
      <c r="C675" s="49"/>
      <c r="D675" s="49"/>
      <c r="E675" s="49"/>
      <c r="F675" s="49"/>
      <c r="G675" s="49"/>
      <c r="H675" s="49"/>
      <c r="I675" s="49"/>
      <c r="J675" s="49"/>
    </row>
    <row r="676">
      <c r="A676" s="49"/>
      <c r="B676" s="49"/>
      <c r="C676" s="49"/>
      <c r="D676" s="49"/>
      <c r="E676" s="49"/>
      <c r="F676" s="49"/>
      <c r="G676" s="49"/>
      <c r="H676" s="49"/>
      <c r="I676" s="49"/>
      <c r="J676" s="49"/>
    </row>
    <row r="677">
      <c r="A677" s="49"/>
      <c r="B677" s="49"/>
      <c r="C677" s="49"/>
      <c r="D677" s="49"/>
      <c r="E677" s="49"/>
      <c r="F677" s="49"/>
      <c r="G677" s="49"/>
      <c r="H677" s="49"/>
      <c r="I677" s="49"/>
      <c r="J677" s="49"/>
    </row>
    <row r="678">
      <c r="A678" s="49"/>
      <c r="B678" s="49"/>
      <c r="C678" s="49"/>
      <c r="D678" s="49"/>
      <c r="E678" s="49"/>
      <c r="F678" s="49"/>
      <c r="G678" s="49"/>
      <c r="H678" s="49"/>
      <c r="I678" s="49"/>
      <c r="J678" s="49"/>
    </row>
    <row r="679">
      <c r="A679" s="49"/>
      <c r="B679" s="49"/>
      <c r="C679" s="49"/>
      <c r="D679" s="49"/>
      <c r="E679" s="49"/>
      <c r="F679" s="49"/>
      <c r="G679" s="49"/>
      <c r="H679" s="49"/>
      <c r="I679" s="49"/>
      <c r="J679" s="49"/>
    </row>
    <row r="680">
      <c r="A680" s="49"/>
      <c r="B680" s="49"/>
      <c r="C680" s="49"/>
      <c r="D680" s="49"/>
      <c r="E680" s="49"/>
      <c r="F680" s="49"/>
      <c r="G680" s="49"/>
      <c r="H680" s="49"/>
      <c r="I680" s="49"/>
      <c r="J680" s="49"/>
    </row>
    <row r="681">
      <c r="A681" s="49"/>
      <c r="B681" s="49"/>
      <c r="C681" s="49"/>
      <c r="D681" s="49"/>
      <c r="E681" s="49"/>
      <c r="F681" s="49"/>
      <c r="G681" s="49"/>
      <c r="H681" s="49"/>
      <c r="I681" s="49"/>
      <c r="J681" s="49"/>
    </row>
    <row r="682">
      <c r="A682" s="49"/>
      <c r="B682" s="49"/>
      <c r="C682" s="49"/>
      <c r="D682" s="49"/>
      <c r="E682" s="49"/>
      <c r="F682" s="49"/>
      <c r="G682" s="49"/>
      <c r="H682" s="49"/>
      <c r="I682" s="49"/>
      <c r="J682" s="49"/>
    </row>
    <row r="683">
      <c r="A683" s="49"/>
      <c r="B683" s="49"/>
      <c r="C683" s="49"/>
      <c r="D683" s="49"/>
      <c r="E683" s="49"/>
      <c r="F683" s="49"/>
      <c r="G683" s="49"/>
      <c r="H683" s="49"/>
      <c r="I683" s="49"/>
      <c r="J683" s="49"/>
    </row>
    <row r="684">
      <c r="A684" s="49"/>
      <c r="B684" s="49"/>
      <c r="C684" s="49"/>
      <c r="D684" s="49"/>
      <c r="E684" s="49"/>
      <c r="F684" s="49"/>
      <c r="G684" s="49"/>
      <c r="H684" s="49"/>
      <c r="I684" s="49"/>
      <c r="J684" s="49"/>
    </row>
    <row r="685">
      <c r="A685" s="49"/>
      <c r="B685" s="49"/>
      <c r="C685" s="49"/>
      <c r="D685" s="49"/>
      <c r="E685" s="49"/>
      <c r="F685" s="49"/>
      <c r="G685" s="49"/>
      <c r="H685" s="49"/>
      <c r="I685" s="49"/>
      <c r="J685" s="49"/>
    </row>
    <row r="686">
      <c r="A686" s="49"/>
      <c r="B686" s="49"/>
      <c r="C686" s="49"/>
      <c r="D686" s="49"/>
      <c r="E686" s="49"/>
      <c r="F686" s="49"/>
      <c r="G686" s="49"/>
      <c r="H686" s="49"/>
      <c r="I686" s="49"/>
      <c r="J686" s="49"/>
    </row>
    <row r="687">
      <c r="A687" s="49"/>
      <c r="B687" s="49"/>
      <c r="C687" s="49"/>
      <c r="D687" s="49"/>
      <c r="E687" s="49"/>
      <c r="F687" s="49"/>
      <c r="G687" s="49"/>
      <c r="H687" s="49"/>
      <c r="I687" s="49"/>
      <c r="J687" s="49"/>
    </row>
    <row r="688">
      <c r="A688" s="49"/>
      <c r="B688" s="49"/>
      <c r="C688" s="49"/>
      <c r="D688" s="49"/>
      <c r="E688" s="49"/>
      <c r="F688" s="49"/>
      <c r="G688" s="49"/>
      <c r="H688" s="49"/>
      <c r="I688" s="49"/>
      <c r="J688" s="49"/>
    </row>
    <row r="689">
      <c r="A689" s="49"/>
      <c r="B689" s="49"/>
      <c r="C689" s="49"/>
      <c r="D689" s="49"/>
      <c r="E689" s="49"/>
      <c r="F689" s="49"/>
      <c r="G689" s="49"/>
      <c r="H689" s="49"/>
      <c r="I689" s="49"/>
      <c r="J689" s="49"/>
    </row>
    <row r="690">
      <c r="A690" s="49"/>
      <c r="B690" s="49"/>
      <c r="C690" s="49"/>
      <c r="D690" s="49"/>
      <c r="E690" s="49"/>
      <c r="F690" s="49"/>
      <c r="G690" s="49"/>
      <c r="H690" s="49"/>
      <c r="I690" s="49"/>
      <c r="J690" s="49"/>
    </row>
    <row r="691">
      <c r="A691" s="49"/>
      <c r="B691" s="49"/>
      <c r="C691" s="49"/>
      <c r="D691" s="49"/>
      <c r="E691" s="49"/>
      <c r="F691" s="49"/>
      <c r="G691" s="49"/>
      <c r="H691" s="49"/>
      <c r="I691" s="49"/>
      <c r="J691" s="49"/>
    </row>
    <row r="692">
      <c r="A692" s="49"/>
      <c r="B692" s="49"/>
      <c r="C692" s="49"/>
      <c r="D692" s="49"/>
      <c r="E692" s="49"/>
      <c r="F692" s="49"/>
      <c r="G692" s="49"/>
      <c r="H692" s="49"/>
      <c r="I692" s="49"/>
      <c r="J692" s="49"/>
    </row>
    <row r="693">
      <c r="A693" s="49"/>
      <c r="B693" s="49"/>
      <c r="C693" s="49"/>
      <c r="D693" s="49"/>
      <c r="E693" s="49"/>
      <c r="F693" s="49"/>
      <c r="G693" s="49"/>
      <c r="H693" s="49"/>
      <c r="I693" s="49"/>
      <c r="J693" s="49"/>
    </row>
    <row r="694">
      <c r="A694" s="49"/>
      <c r="B694" s="49"/>
      <c r="C694" s="49"/>
      <c r="D694" s="49"/>
      <c r="E694" s="49"/>
      <c r="F694" s="49"/>
      <c r="G694" s="49"/>
      <c r="H694" s="49"/>
      <c r="I694" s="49"/>
      <c r="J694" s="49"/>
    </row>
    <row r="695">
      <c r="A695" s="49"/>
      <c r="B695" s="49"/>
      <c r="C695" s="49"/>
      <c r="D695" s="49"/>
      <c r="E695" s="49"/>
      <c r="F695" s="49"/>
      <c r="G695" s="49"/>
      <c r="H695" s="49"/>
      <c r="I695" s="49"/>
      <c r="J695" s="49"/>
    </row>
    <row r="696">
      <c r="A696" s="49"/>
      <c r="B696" s="49"/>
      <c r="C696" s="49"/>
      <c r="D696" s="49"/>
      <c r="E696" s="49"/>
      <c r="F696" s="49"/>
      <c r="G696" s="49"/>
      <c r="H696" s="49"/>
      <c r="I696" s="49"/>
      <c r="J696" s="49"/>
    </row>
    <row r="697">
      <c r="A697" s="49"/>
      <c r="B697" s="49"/>
      <c r="C697" s="49"/>
      <c r="D697" s="49"/>
      <c r="E697" s="49"/>
      <c r="F697" s="49"/>
      <c r="G697" s="49"/>
      <c r="H697" s="49"/>
      <c r="I697" s="49"/>
      <c r="J697" s="49"/>
    </row>
    <row r="698">
      <c r="A698" s="49"/>
      <c r="B698" s="49"/>
      <c r="C698" s="49"/>
      <c r="D698" s="49"/>
      <c r="E698" s="49"/>
      <c r="F698" s="49"/>
      <c r="G698" s="49"/>
      <c r="H698" s="49"/>
      <c r="I698" s="49"/>
      <c r="J698" s="49"/>
    </row>
    <row r="699">
      <c r="A699" s="49"/>
      <c r="B699" s="49"/>
      <c r="C699" s="49"/>
      <c r="D699" s="49"/>
      <c r="E699" s="49"/>
      <c r="F699" s="49"/>
      <c r="G699" s="49"/>
      <c r="H699" s="49"/>
      <c r="I699" s="49"/>
      <c r="J699" s="49"/>
    </row>
    <row r="700">
      <c r="A700" s="49"/>
      <c r="B700" s="49"/>
      <c r="C700" s="49"/>
      <c r="D700" s="49"/>
      <c r="E700" s="49"/>
      <c r="F700" s="49"/>
      <c r="G700" s="49"/>
      <c r="H700" s="49"/>
      <c r="I700" s="49"/>
      <c r="J700" s="49"/>
    </row>
    <row r="701">
      <c r="A701" s="49"/>
      <c r="B701" s="49"/>
      <c r="C701" s="49"/>
      <c r="D701" s="49"/>
      <c r="E701" s="49"/>
      <c r="F701" s="49"/>
      <c r="G701" s="49"/>
      <c r="H701" s="49"/>
      <c r="I701" s="49"/>
      <c r="J701" s="49"/>
    </row>
    <row r="702">
      <c r="A702" s="49"/>
      <c r="B702" s="49"/>
      <c r="C702" s="49"/>
      <c r="D702" s="49"/>
      <c r="E702" s="49"/>
      <c r="F702" s="49"/>
      <c r="G702" s="49"/>
      <c r="H702" s="49"/>
      <c r="I702" s="49"/>
      <c r="J702" s="49"/>
    </row>
    <row r="703">
      <c r="A703" s="49"/>
      <c r="B703" s="49"/>
      <c r="C703" s="49"/>
      <c r="D703" s="49"/>
      <c r="E703" s="49"/>
      <c r="F703" s="49"/>
      <c r="G703" s="49"/>
      <c r="H703" s="49"/>
      <c r="I703" s="49"/>
      <c r="J703" s="49"/>
    </row>
    <row r="704">
      <c r="A704" s="49"/>
      <c r="B704" s="49"/>
      <c r="C704" s="49"/>
      <c r="D704" s="49"/>
      <c r="E704" s="49"/>
      <c r="F704" s="49"/>
      <c r="G704" s="49"/>
      <c r="H704" s="49"/>
      <c r="I704" s="49"/>
      <c r="J704" s="49"/>
    </row>
    <row r="705">
      <c r="A705" s="49"/>
      <c r="B705" s="49"/>
      <c r="C705" s="49"/>
      <c r="D705" s="49"/>
      <c r="E705" s="49"/>
      <c r="F705" s="49"/>
      <c r="G705" s="49"/>
      <c r="H705" s="49"/>
      <c r="I705" s="49"/>
      <c r="J705" s="49"/>
    </row>
    <row r="706">
      <c r="A706" s="49"/>
      <c r="B706" s="49"/>
      <c r="C706" s="49"/>
      <c r="D706" s="49"/>
      <c r="E706" s="49"/>
      <c r="F706" s="49"/>
      <c r="G706" s="49"/>
      <c r="H706" s="49"/>
      <c r="I706" s="49"/>
      <c r="J706" s="49"/>
    </row>
    <row r="707">
      <c r="A707" s="49"/>
      <c r="B707" s="49"/>
      <c r="C707" s="49"/>
      <c r="D707" s="49"/>
      <c r="E707" s="49"/>
      <c r="F707" s="49"/>
      <c r="G707" s="49"/>
      <c r="H707" s="49"/>
      <c r="I707" s="49"/>
      <c r="J707" s="49"/>
    </row>
    <row r="708">
      <c r="A708" s="49"/>
      <c r="B708" s="49"/>
      <c r="C708" s="49"/>
      <c r="D708" s="49"/>
      <c r="E708" s="49"/>
      <c r="F708" s="49"/>
      <c r="G708" s="49"/>
      <c r="H708" s="49"/>
      <c r="I708" s="49"/>
      <c r="J708" s="49"/>
    </row>
    <row r="709">
      <c r="A709" s="49"/>
      <c r="B709" s="49"/>
      <c r="C709" s="49"/>
      <c r="D709" s="49"/>
      <c r="E709" s="49"/>
      <c r="F709" s="49"/>
      <c r="G709" s="49"/>
      <c r="H709" s="49"/>
      <c r="I709" s="49"/>
      <c r="J709" s="49"/>
    </row>
    <row r="710">
      <c r="A710" s="49"/>
      <c r="B710" s="49"/>
      <c r="C710" s="49"/>
      <c r="D710" s="49"/>
      <c r="E710" s="49"/>
      <c r="F710" s="49"/>
      <c r="G710" s="49"/>
      <c r="H710" s="49"/>
      <c r="I710" s="49"/>
      <c r="J710" s="49"/>
    </row>
    <row r="711">
      <c r="A711" s="49"/>
      <c r="B711" s="49"/>
      <c r="C711" s="49"/>
      <c r="D711" s="49"/>
      <c r="E711" s="49"/>
      <c r="F711" s="49"/>
      <c r="G711" s="49"/>
      <c r="H711" s="49"/>
      <c r="I711" s="49"/>
      <c r="J711" s="49"/>
    </row>
    <row r="712">
      <c r="A712" s="49"/>
      <c r="B712" s="49"/>
      <c r="C712" s="49"/>
      <c r="D712" s="49"/>
      <c r="E712" s="49"/>
      <c r="F712" s="49"/>
      <c r="G712" s="49"/>
      <c r="H712" s="49"/>
      <c r="I712" s="49"/>
      <c r="J712" s="49"/>
    </row>
    <row r="713">
      <c r="A713" s="49"/>
      <c r="B713" s="49"/>
      <c r="C713" s="49"/>
      <c r="D713" s="49"/>
      <c r="E713" s="49"/>
      <c r="F713" s="49"/>
      <c r="G713" s="49"/>
      <c r="H713" s="49"/>
      <c r="I713" s="49"/>
      <c r="J713" s="49"/>
    </row>
    <row r="714">
      <c r="A714" s="49"/>
      <c r="B714" s="49"/>
      <c r="C714" s="49"/>
      <c r="D714" s="49"/>
      <c r="E714" s="49"/>
      <c r="F714" s="49"/>
      <c r="G714" s="49"/>
      <c r="H714" s="49"/>
      <c r="I714" s="49"/>
      <c r="J714" s="49"/>
    </row>
    <row r="715">
      <c r="A715" s="49"/>
      <c r="B715" s="49"/>
      <c r="C715" s="49"/>
      <c r="D715" s="49"/>
      <c r="E715" s="49"/>
      <c r="F715" s="49"/>
      <c r="G715" s="49"/>
      <c r="H715" s="49"/>
      <c r="I715" s="49"/>
      <c r="J715" s="49"/>
    </row>
    <row r="716">
      <c r="A716" s="49"/>
      <c r="B716" s="49"/>
      <c r="C716" s="49"/>
      <c r="D716" s="49"/>
      <c r="E716" s="49"/>
      <c r="F716" s="49"/>
      <c r="G716" s="49"/>
      <c r="H716" s="49"/>
      <c r="I716" s="49"/>
      <c r="J716" s="49"/>
    </row>
    <row r="717">
      <c r="A717" s="49"/>
      <c r="B717" s="49"/>
      <c r="C717" s="49"/>
      <c r="D717" s="49"/>
      <c r="E717" s="49"/>
      <c r="F717" s="49"/>
      <c r="G717" s="49"/>
      <c r="H717" s="49"/>
      <c r="I717" s="49"/>
      <c r="J717" s="49"/>
    </row>
    <row r="718">
      <c r="A718" s="49"/>
      <c r="B718" s="49"/>
      <c r="C718" s="49"/>
      <c r="D718" s="49"/>
      <c r="E718" s="49"/>
      <c r="F718" s="49"/>
      <c r="G718" s="49"/>
      <c r="H718" s="49"/>
      <c r="I718" s="49"/>
      <c r="J718" s="49"/>
    </row>
    <row r="719">
      <c r="A719" s="49"/>
      <c r="B719" s="49"/>
      <c r="C719" s="49"/>
      <c r="D719" s="49"/>
      <c r="E719" s="49"/>
      <c r="F719" s="49"/>
      <c r="G719" s="49"/>
      <c r="H719" s="49"/>
      <c r="I719" s="49"/>
      <c r="J719" s="49"/>
    </row>
    <row r="720">
      <c r="A720" s="49"/>
      <c r="B720" s="49"/>
      <c r="C720" s="49"/>
      <c r="D720" s="49"/>
      <c r="E720" s="49"/>
      <c r="F720" s="49"/>
      <c r="G720" s="49"/>
      <c r="H720" s="49"/>
      <c r="I720" s="49"/>
      <c r="J720" s="49"/>
    </row>
    <row r="721">
      <c r="A721" s="49"/>
      <c r="B721" s="49"/>
      <c r="C721" s="49"/>
      <c r="D721" s="49"/>
      <c r="E721" s="49"/>
      <c r="F721" s="49"/>
      <c r="G721" s="49"/>
      <c r="H721" s="49"/>
      <c r="I721" s="49"/>
      <c r="J721" s="49"/>
    </row>
    <row r="722">
      <c r="A722" s="49"/>
      <c r="B722" s="49"/>
      <c r="C722" s="49"/>
      <c r="D722" s="49"/>
      <c r="E722" s="49"/>
      <c r="F722" s="49"/>
      <c r="G722" s="49"/>
      <c r="H722" s="49"/>
      <c r="I722" s="49"/>
      <c r="J722" s="49"/>
    </row>
    <row r="723">
      <c r="A723" s="49"/>
      <c r="B723" s="49"/>
      <c r="C723" s="49"/>
      <c r="D723" s="49"/>
      <c r="E723" s="49"/>
      <c r="F723" s="49"/>
      <c r="G723" s="49"/>
      <c r="H723" s="49"/>
      <c r="I723" s="49"/>
      <c r="J723" s="49"/>
    </row>
    <row r="724">
      <c r="A724" s="49"/>
      <c r="B724" s="49"/>
      <c r="C724" s="49"/>
      <c r="D724" s="49"/>
      <c r="E724" s="49"/>
      <c r="F724" s="49"/>
      <c r="G724" s="49"/>
      <c r="H724" s="49"/>
      <c r="I724" s="49"/>
      <c r="J724" s="49"/>
    </row>
    <row r="725">
      <c r="A725" s="49"/>
      <c r="B725" s="49"/>
      <c r="C725" s="49"/>
      <c r="D725" s="49"/>
      <c r="E725" s="49"/>
      <c r="F725" s="49"/>
      <c r="G725" s="49"/>
      <c r="H725" s="49"/>
      <c r="I725" s="49"/>
      <c r="J725" s="49"/>
    </row>
    <row r="726">
      <c r="A726" s="49"/>
      <c r="B726" s="49"/>
      <c r="C726" s="49"/>
      <c r="D726" s="49"/>
      <c r="E726" s="49"/>
      <c r="F726" s="49"/>
      <c r="G726" s="49"/>
      <c r="H726" s="49"/>
      <c r="I726" s="49"/>
      <c r="J726" s="49"/>
    </row>
    <row r="727">
      <c r="A727" s="49"/>
      <c r="B727" s="49"/>
      <c r="C727" s="49"/>
      <c r="D727" s="49"/>
      <c r="E727" s="49"/>
      <c r="F727" s="49"/>
      <c r="G727" s="49"/>
      <c r="H727" s="49"/>
      <c r="I727" s="49"/>
      <c r="J727" s="49"/>
    </row>
    <row r="728">
      <c r="A728" s="49"/>
      <c r="B728" s="49"/>
      <c r="C728" s="49"/>
      <c r="D728" s="49"/>
      <c r="E728" s="49"/>
      <c r="F728" s="49"/>
      <c r="G728" s="49"/>
      <c r="H728" s="49"/>
      <c r="I728" s="49"/>
      <c r="J728" s="49"/>
    </row>
    <row r="729">
      <c r="A729" s="49"/>
      <c r="B729" s="49"/>
      <c r="C729" s="49"/>
      <c r="D729" s="49"/>
      <c r="E729" s="49"/>
      <c r="F729" s="49"/>
      <c r="G729" s="49"/>
      <c r="H729" s="49"/>
      <c r="I729" s="49"/>
      <c r="J729" s="49"/>
    </row>
    <row r="730">
      <c r="A730" s="49"/>
      <c r="B730" s="49"/>
      <c r="C730" s="49"/>
      <c r="D730" s="49"/>
      <c r="E730" s="49"/>
      <c r="F730" s="49"/>
      <c r="G730" s="49"/>
      <c r="H730" s="49"/>
      <c r="I730" s="49"/>
      <c r="J730" s="49"/>
    </row>
    <row r="731">
      <c r="A731" s="49"/>
      <c r="B731" s="49"/>
      <c r="C731" s="49"/>
      <c r="D731" s="49"/>
      <c r="E731" s="49"/>
      <c r="F731" s="49"/>
      <c r="G731" s="49"/>
      <c r="H731" s="49"/>
      <c r="I731" s="49"/>
      <c r="J731" s="49"/>
    </row>
    <row r="732">
      <c r="A732" s="49"/>
      <c r="B732" s="49"/>
      <c r="C732" s="49"/>
      <c r="D732" s="49"/>
      <c r="E732" s="49"/>
      <c r="F732" s="49"/>
      <c r="G732" s="49"/>
      <c r="H732" s="49"/>
      <c r="I732" s="49"/>
      <c r="J732" s="49"/>
    </row>
    <row r="733">
      <c r="A733" s="49"/>
      <c r="B733" s="49"/>
      <c r="C733" s="49"/>
      <c r="D733" s="49"/>
      <c r="E733" s="49"/>
      <c r="F733" s="49"/>
      <c r="G733" s="49"/>
      <c r="H733" s="49"/>
      <c r="I733" s="49"/>
      <c r="J733" s="49"/>
    </row>
    <row r="734">
      <c r="A734" s="49"/>
      <c r="B734" s="49"/>
      <c r="C734" s="49"/>
      <c r="D734" s="49"/>
      <c r="E734" s="49"/>
      <c r="F734" s="49"/>
      <c r="G734" s="49"/>
      <c r="H734" s="49"/>
      <c r="I734" s="49"/>
      <c r="J734" s="49"/>
    </row>
    <row r="735">
      <c r="A735" s="49"/>
      <c r="B735" s="49"/>
      <c r="C735" s="49"/>
      <c r="D735" s="49"/>
      <c r="E735" s="49"/>
      <c r="F735" s="49"/>
      <c r="G735" s="49"/>
      <c r="H735" s="49"/>
      <c r="I735" s="49"/>
      <c r="J735" s="49"/>
    </row>
    <row r="736">
      <c r="A736" s="49"/>
      <c r="B736" s="49"/>
      <c r="C736" s="49"/>
      <c r="D736" s="49"/>
      <c r="E736" s="49"/>
      <c r="F736" s="49"/>
      <c r="G736" s="49"/>
      <c r="H736" s="49"/>
      <c r="I736" s="49"/>
      <c r="J736" s="49"/>
    </row>
    <row r="737">
      <c r="A737" s="49"/>
      <c r="B737" s="49"/>
      <c r="C737" s="49"/>
      <c r="D737" s="49"/>
      <c r="E737" s="49"/>
      <c r="F737" s="49"/>
      <c r="G737" s="49"/>
      <c r="H737" s="49"/>
      <c r="I737" s="49"/>
      <c r="J737" s="49"/>
    </row>
    <row r="738">
      <c r="A738" s="49"/>
      <c r="B738" s="49"/>
      <c r="C738" s="49"/>
      <c r="D738" s="49"/>
      <c r="E738" s="49"/>
      <c r="F738" s="49"/>
      <c r="G738" s="49"/>
      <c r="H738" s="49"/>
      <c r="I738" s="49"/>
      <c r="J738" s="49"/>
    </row>
    <row r="739">
      <c r="A739" s="49"/>
      <c r="B739" s="49"/>
      <c r="C739" s="49"/>
      <c r="D739" s="49"/>
      <c r="E739" s="49"/>
      <c r="F739" s="49"/>
      <c r="G739" s="49"/>
      <c r="H739" s="49"/>
      <c r="I739" s="49"/>
      <c r="J739" s="49"/>
    </row>
    <row r="740">
      <c r="A740" s="49"/>
      <c r="B740" s="49"/>
      <c r="C740" s="49"/>
      <c r="D740" s="49"/>
      <c r="E740" s="49"/>
      <c r="F740" s="49"/>
      <c r="G740" s="49"/>
      <c r="H740" s="49"/>
      <c r="I740" s="49"/>
      <c r="J740" s="49"/>
    </row>
    <row r="741">
      <c r="A741" s="49"/>
      <c r="B741" s="49"/>
      <c r="C741" s="49"/>
      <c r="D741" s="49"/>
      <c r="E741" s="49"/>
      <c r="F741" s="49"/>
      <c r="G741" s="49"/>
      <c r="H741" s="49"/>
      <c r="I741" s="49"/>
      <c r="J741" s="49"/>
    </row>
    <row r="742">
      <c r="A742" s="49"/>
      <c r="B742" s="49"/>
      <c r="C742" s="49"/>
      <c r="D742" s="49"/>
      <c r="E742" s="49"/>
      <c r="F742" s="49"/>
      <c r="G742" s="49"/>
      <c r="H742" s="49"/>
      <c r="I742" s="49"/>
      <c r="J742" s="49"/>
    </row>
    <row r="743">
      <c r="A743" s="49"/>
      <c r="B743" s="49"/>
      <c r="C743" s="49"/>
      <c r="D743" s="49"/>
      <c r="E743" s="49"/>
      <c r="F743" s="49"/>
      <c r="G743" s="49"/>
      <c r="H743" s="49"/>
      <c r="I743" s="49"/>
      <c r="J743" s="49"/>
    </row>
    <row r="744">
      <c r="A744" s="49"/>
      <c r="B744" s="49"/>
      <c r="C744" s="49"/>
      <c r="D744" s="49"/>
      <c r="E744" s="49"/>
      <c r="F744" s="49"/>
      <c r="G744" s="49"/>
      <c r="H744" s="49"/>
      <c r="I744" s="49"/>
      <c r="J744" s="49"/>
    </row>
    <row r="745">
      <c r="A745" s="49"/>
      <c r="B745" s="49"/>
      <c r="C745" s="49"/>
      <c r="D745" s="49"/>
      <c r="E745" s="49"/>
      <c r="F745" s="49"/>
      <c r="G745" s="49"/>
      <c r="H745" s="49"/>
      <c r="I745" s="49"/>
      <c r="J745" s="49"/>
    </row>
    <row r="746">
      <c r="A746" s="49"/>
      <c r="B746" s="49"/>
      <c r="C746" s="49"/>
      <c r="D746" s="49"/>
      <c r="E746" s="49"/>
      <c r="F746" s="49"/>
      <c r="G746" s="49"/>
      <c r="H746" s="49"/>
      <c r="I746" s="49"/>
      <c r="J746" s="49"/>
    </row>
    <row r="747">
      <c r="A747" s="49"/>
      <c r="B747" s="49"/>
      <c r="C747" s="49"/>
      <c r="D747" s="49"/>
      <c r="E747" s="49"/>
      <c r="F747" s="49"/>
      <c r="G747" s="49"/>
      <c r="H747" s="49"/>
      <c r="I747" s="49"/>
      <c r="J747" s="49"/>
    </row>
    <row r="748">
      <c r="A748" s="49"/>
      <c r="B748" s="49"/>
      <c r="C748" s="49"/>
      <c r="D748" s="49"/>
      <c r="E748" s="49"/>
      <c r="F748" s="49"/>
      <c r="G748" s="49"/>
      <c r="H748" s="49"/>
      <c r="I748" s="49"/>
      <c r="J748" s="49"/>
    </row>
    <row r="749">
      <c r="A749" s="49"/>
      <c r="B749" s="49"/>
      <c r="C749" s="49"/>
      <c r="D749" s="49"/>
      <c r="E749" s="49"/>
      <c r="F749" s="49"/>
      <c r="G749" s="49"/>
      <c r="H749" s="49"/>
      <c r="I749" s="49"/>
      <c r="J749" s="49"/>
    </row>
    <row r="750">
      <c r="A750" s="49"/>
      <c r="B750" s="49"/>
      <c r="C750" s="49"/>
      <c r="D750" s="49"/>
      <c r="E750" s="49"/>
      <c r="F750" s="49"/>
      <c r="G750" s="49"/>
      <c r="H750" s="49"/>
      <c r="I750" s="49"/>
      <c r="J750" s="49"/>
    </row>
    <row r="751">
      <c r="A751" s="49"/>
      <c r="B751" s="49"/>
      <c r="C751" s="49"/>
      <c r="D751" s="49"/>
      <c r="E751" s="49"/>
      <c r="F751" s="49"/>
      <c r="G751" s="49"/>
      <c r="H751" s="49"/>
      <c r="I751" s="49"/>
      <c r="J751" s="49"/>
    </row>
    <row r="752">
      <c r="A752" s="49"/>
      <c r="B752" s="49"/>
      <c r="C752" s="49"/>
      <c r="D752" s="49"/>
      <c r="E752" s="49"/>
      <c r="F752" s="49"/>
      <c r="G752" s="49"/>
      <c r="H752" s="49"/>
      <c r="I752" s="49"/>
      <c r="J752" s="49"/>
    </row>
    <row r="753">
      <c r="A753" s="49"/>
      <c r="B753" s="49"/>
      <c r="C753" s="49"/>
      <c r="D753" s="49"/>
      <c r="E753" s="49"/>
      <c r="F753" s="49"/>
      <c r="G753" s="49"/>
      <c r="H753" s="49"/>
      <c r="I753" s="49"/>
      <c r="J753" s="49"/>
    </row>
    <row r="754">
      <c r="A754" s="49"/>
      <c r="B754" s="49"/>
      <c r="C754" s="49"/>
      <c r="D754" s="49"/>
      <c r="E754" s="49"/>
      <c r="F754" s="49"/>
      <c r="G754" s="49"/>
      <c r="H754" s="49"/>
      <c r="I754" s="49"/>
      <c r="J754" s="49"/>
    </row>
    <row r="755">
      <c r="A755" s="49"/>
      <c r="B755" s="49"/>
      <c r="C755" s="49"/>
      <c r="D755" s="49"/>
      <c r="E755" s="49"/>
      <c r="F755" s="49"/>
      <c r="G755" s="49"/>
      <c r="H755" s="49"/>
      <c r="I755" s="49"/>
      <c r="J755" s="49"/>
    </row>
    <row r="756">
      <c r="A756" s="49"/>
      <c r="B756" s="49"/>
      <c r="C756" s="49"/>
      <c r="D756" s="49"/>
      <c r="E756" s="49"/>
      <c r="F756" s="49"/>
      <c r="G756" s="49"/>
      <c r="H756" s="49"/>
      <c r="I756" s="49"/>
      <c r="J756" s="49"/>
    </row>
    <row r="757">
      <c r="A757" s="49"/>
      <c r="B757" s="49"/>
      <c r="C757" s="49"/>
      <c r="D757" s="49"/>
      <c r="E757" s="49"/>
      <c r="F757" s="49"/>
      <c r="G757" s="49"/>
      <c r="H757" s="49"/>
      <c r="I757" s="49"/>
      <c r="J757" s="49"/>
    </row>
    <row r="758">
      <c r="A758" s="49"/>
      <c r="B758" s="49"/>
      <c r="C758" s="49"/>
      <c r="D758" s="49"/>
      <c r="E758" s="49"/>
      <c r="F758" s="49"/>
      <c r="G758" s="49"/>
      <c r="H758" s="49"/>
      <c r="I758" s="49"/>
      <c r="J758" s="49"/>
    </row>
    <row r="759">
      <c r="A759" s="49"/>
      <c r="B759" s="49"/>
      <c r="C759" s="49"/>
      <c r="D759" s="49"/>
      <c r="E759" s="49"/>
      <c r="F759" s="49"/>
      <c r="G759" s="49"/>
      <c r="H759" s="49"/>
      <c r="I759" s="49"/>
      <c r="J759" s="49"/>
    </row>
    <row r="760">
      <c r="A760" s="49"/>
      <c r="B760" s="49"/>
      <c r="C760" s="49"/>
      <c r="D760" s="49"/>
      <c r="E760" s="49"/>
      <c r="F760" s="49"/>
      <c r="G760" s="49"/>
      <c r="H760" s="49"/>
      <c r="I760" s="49"/>
      <c r="J760" s="49"/>
    </row>
    <row r="761">
      <c r="A761" s="49"/>
      <c r="B761" s="49"/>
      <c r="C761" s="49"/>
      <c r="D761" s="49"/>
      <c r="E761" s="49"/>
      <c r="F761" s="49"/>
      <c r="G761" s="49"/>
      <c r="H761" s="49"/>
      <c r="I761" s="49"/>
      <c r="J761" s="49"/>
    </row>
    <row r="762">
      <c r="A762" s="49"/>
      <c r="B762" s="49"/>
      <c r="C762" s="49"/>
      <c r="D762" s="49"/>
      <c r="E762" s="49"/>
      <c r="F762" s="49"/>
      <c r="G762" s="49"/>
      <c r="H762" s="49"/>
      <c r="I762" s="49"/>
      <c r="J762" s="49"/>
    </row>
    <row r="763">
      <c r="A763" s="49"/>
      <c r="B763" s="49"/>
      <c r="C763" s="49"/>
      <c r="D763" s="49"/>
      <c r="E763" s="49"/>
      <c r="F763" s="49"/>
      <c r="G763" s="49"/>
      <c r="H763" s="49"/>
      <c r="I763" s="49"/>
      <c r="J763" s="49"/>
    </row>
    <row r="764">
      <c r="A764" s="49"/>
      <c r="B764" s="49"/>
      <c r="C764" s="49"/>
      <c r="D764" s="49"/>
      <c r="E764" s="49"/>
      <c r="F764" s="49"/>
      <c r="G764" s="49"/>
      <c r="H764" s="49"/>
      <c r="I764" s="49"/>
      <c r="J764" s="49"/>
    </row>
    <row r="765">
      <c r="A765" s="49"/>
      <c r="B765" s="49"/>
      <c r="C765" s="49"/>
      <c r="D765" s="49"/>
      <c r="E765" s="49"/>
      <c r="F765" s="49"/>
      <c r="G765" s="49"/>
      <c r="H765" s="49"/>
      <c r="I765" s="49"/>
      <c r="J765" s="49"/>
    </row>
    <row r="766">
      <c r="A766" s="49"/>
      <c r="B766" s="49"/>
      <c r="C766" s="49"/>
      <c r="D766" s="49"/>
      <c r="E766" s="49"/>
      <c r="F766" s="49"/>
      <c r="G766" s="49"/>
      <c r="H766" s="49"/>
      <c r="I766" s="49"/>
      <c r="J766" s="49"/>
    </row>
    <row r="767">
      <c r="A767" s="49"/>
      <c r="B767" s="49"/>
      <c r="C767" s="49"/>
      <c r="D767" s="49"/>
      <c r="E767" s="49"/>
      <c r="F767" s="49"/>
      <c r="G767" s="49"/>
      <c r="H767" s="49"/>
      <c r="I767" s="49"/>
      <c r="J767" s="49"/>
    </row>
    <row r="768">
      <c r="A768" s="49"/>
      <c r="B768" s="49"/>
      <c r="C768" s="49"/>
      <c r="D768" s="49"/>
      <c r="E768" s="49"/>
      <c r="F768" s="49"/>
      <c r="G768" s="49"/>
      <c r="H768" s="49"/>
      <c r="I768" s="49"/>
      <c r="J768" s="49"/>
    </row>
    <row r="769">
      <c r="A769" s="49"/>
      <c r="B769" s="49"/>
      <c r="C769" s="49"/>
      <c r="D769" s="49"/>
      <c r="E769" s="49"/>
      <c r="F769" s="49"/>
      <c r="G769" s="49"/>
      <c r="H769" s="49"/>
      <c r="I769" s="49"/>
      <c r="J769" s="49"/>
    </row>
    <row r="770">
      <c r="A770" s="49"/>
      <c r="B770" s="49"/>
      <c r="C770" s="49"/>
      <c r="D770" s="49"/>
      <c r="E770" s="49"/>
      <c r="F770" s="49"/>
      <c r="G770" s="49"/>
      <c r="H770" s="49"/>
      <c r="I770" s="49"/>
      <c r="J770" s="49"/>
    </row>
    <row r="771">
      <c r="A771" s="49"/>
      <c r="B771" s="49"/>
      <c r="C771" s="49"/>
      <c r="D771" s="49"/>
      <c r="E771" s="49"/>
      <c r="F771" s="49"/>
      <c r="G771" s="49"/>
      <c r="H771" s="49"/>
      <c r="I771" s="49"/>
      <c r="J771" s="49"/>
    </row>
    <row r="772">
      <c r="A772" s="49"/>
      <c r="B772" s="49"/>
      <c r="C772" s="49"/>
      <c r="D772" s="49"/>
      <c r="E772" s="49"/>
      <c r="F772" s="49"/>
      <c r="G772" s="49"/>
      <c r="H772" s="49"/>
      <c r="I772" s="49"/>
      <c r="J772" s="49"/>
    </row>
    <row r="773">
      <c r="A773" s="49"/>
      <c r="B773" s="49"/>
      <c r="C773" s="49"/>
      <c r="D773" s="49"/>
      <c r="E773" s="49"/>
      <c r="F773" s="49"/>
      <c r="G773" s="49"/>
      <c r="H773" s="49"/>
      <c r="I773" s="49"/>
      <c r="J773" s="49"/>
    </row>
    <row r="774">
      <c r="A774" s="49"/>
      <c r="B774" s="49"/>
      <c r="C774" s="49"/>
      <c r="D774" s="49"/>
      <c r="E774" s="49"/>
      <c r="F774" s="49"/>
      <c r="G774" s="49"/>
      <c r="H774" s="49"/>
      <c r="I774" s="49"/>
      <c r="J774" s="49"/>
    </row>
    <row r="775">
      <c r="A775" s="49"/>
      <c r="B775" s="49"/>
      <c r="C775" s="49"/>
      <c r="D775" s="49"/>
      <c r="E775" s="49"/>
      <c r="F775" s="49"/>
      <c r="G775" s="49"/>
      <c r="H775" s="49"/>
      <c r="I775" s="49"/>
      <c r="J775" s="49"/>
    </row>
    <row r="776">
      <c r="A776" s="49"/>
      <c r="B776" s="49"/>
      <c r="C776" s="49"/>
      <c r="D776" s="49"/>
      <c r="E776" s="49"/>
      <c r="F776" s="49"/>
      <c r="G776" s="49"/>
      <c r="H776" s="49"/>
      <c r="I776" s="49"/>
      <c r="J776" s="49"/>
    </row>
    <row r="777">
      <c r="A777" s="49"/>
      <c r="B777" s="49"/>
      <c r="C777" s="49"/>
      <c r="D777" s="49"/>
      <c r="E777" s="49"/>
      <c r="F777" s="49"/>
      <c r="G777" s="49"/>
      <c r="H777" s="49"/>
      <c r="I777" s="49"/>
      <c r="J777" s="49"/>
    </row>
    <row r="778">
      <c r="A778" s="49"/>
      <c r="B778" s="49"/>
      <c r="C778" s="49"/>
      <c r="D778" s="49"/>
      <c r="E778" s="49"/>
      <c r="F778" s="49"/>
      <c r="G778" s="49"/>
      <c r="H778" s="49"/>
      <c r="I778" s="49"/>
      <c r="J778" s="49"/>
    </row>
    <row r="779">
      <c r="A779" s="49"/>
      <c r="B779" s="49"/>
      <c r="C779" s="49"/>
      <c r="D779" s="49"/>
      <c r="E779" s="49"/>
      <c r="F779" s="49"/>
      <c r="G779" s="49"/>
      <c r="H779" s="49"/>
      <c r="I779" s="49"/>
      <c r="J779" s="49"/>
    </row>
    <row r="780">
      <c r="A780" s="49"/>
      <c r="B780" s="49"/>
      <c r="C780" s="49"/>
      <c r="D780" s="49"/>
      <c r="E780" s="49"/>
      <c r="F780" s="49"/>
      <c r="G780" s="49"/>
      <c r="H780" s="49"/>
      <c r="I780" s="49"/>
      <c r="J780" s="49"/>
    </row>
    <row r="781">
      <c r="A781" s="49"/>
      <c r="B781" s="49"/>
      <c r="C781" s="49"/>
      <c r="D781" s="49"/>
      <c r="E781" s="49"/>
      <c r="F781" s="49"/>
      <c r="G781" s="49"/>
      <c r="H781" s="49"/>
      <c r="I781" s="49"/>
      <c r="J781" s="49"/>
    </row>
    <row r="782">
      <c r="A782" s="49"/>
      <c r="B782" s="49"/>
      <c r="C782" s="49"/>
      <c r="D782" s="49"/>
      <c r="E782" s="49"/>
      <c r="F782" s="49"/>
      <c r="G782" s="49"/>
      <c r="H782" s="49"/>
      <c r="I782" s="49"/>
      <c r="J782" s="49"/>
    </row>
    <row r="783">
      <c r="A783" s="49"/>
      <c r="B783" s="49"/>
      <c r="C783" s="49"/>
      <c r="D783" s="49"/>
      <c r="E783" s="49"/>
      <c r="F783" s="49"/>
      <c r="G783" s="49"/>
      <c r="H783" s="49"/>
      <c r="I783" s="49"/>
      <c r="J783" s="49"/>
    </row>
    <row r="784">
      <c r="A784" s="49"/>
      <c r="B784" s="49"/>
      <c r="C784" s="49"/>
      <c r="D784" s="49"/>
      <c r="E784" s="49"/>
      <c r="F784" s="49"/>
      <c r="G784" s="49"/>
      <c r="H784" s="49"/>
      <c r="I784" s="49"/>
      <c r="J784" s="49"/>
    </row>
    <row r="785">
      <c r="A785" s="49"/>
      <c r="B785" s="49"/>
      <c r="C785" s="49"/>
      <c r="D785" s="49"/>
      <c r="E785" s="49"/>
      <c r="F785" s="49"/>
      <c r="G785" s="49"/>
      <c r="H785" s="49"/>
      <c r="I785" s="49"/>
      <c r="J785" s="49"/>
    </row>
    <row r="786">
      <c r="A786" s="49"/>
      <c r="B786" s="49"/>
      <c r="C786" s="49"/>
      <c r="D786" s="49"/>
      <c r="E786" s="49"/>
      <c r="F786" s="49"/>
      <c r="G786" s="49"/>
      <c r="H786" s="49"/>
      <c r="I786" s="49"/>
      <c r="J786" s="49"/>
    </row>
    <row r="787">
      <c r="A787" s="49"/>
      <c r="B787" s="49"/>
      <c r="C787" s="49"/>
      <c r="D787" s="49"/>
      <c r="E787" s="49"/>
      <c r="F787" s="49"/>
      <c r="G787" s="49"/>
      <c r="H787" s="49"/>
      <c r="I787" s="49"/>
      <c r="J787" s="49"/>
    </row>
    <row r="788">
      <c r="A788" s="49"/>
      <c r="B788" s="49"/>
      <c r="C788" s="49"/>
      <c r="D788" s="49"/>
      <c r="E788" s="49"/>
      <c r="F788" s="49"/>
      <c r="G788" s="49"/>
      <c r="H788" s="49"/>
      <c r="I788" s="49"/>
      <c r="J788" s="49"/>
    </row>
    <row r="789">
      <c r="A789" s="49"/>
      <c r="B789" s="49"/>
      <c r="C789" s="49"/>
      <c r="D789" s="49"/>
      <c r="E789" s="49"/>
      <c r="F789" s="49"/>
      <c r="G789" s="49"/>
      <c r="H789" s="49"/>
      <c r="I789" s="49"/>
      <c r="J789" s="49"/>
    </row>
    <row r="790">
      <c r="A790" s="49"/>
      <c r="B790" s="49"/>
      <c r="C790" s="49"/>
      <c r="D790" s="49"/>
      <c r="E790" s="49"/>
      <c r="F790" s="49"/>
      <c r="G790" s="49"/>
      <c r="H790" s="49"/>
      <c r="I790" s="49"/>
      <c r="J790" s="49"/>
    </row>
    <row r="791">
      <c r="A791" s="49"/>
      <c r="B791" s="49"/>
      <c r="C791" s="49"/>
      <c r="D791" s="49"/>
      <c r="E791" s="49"/>
      <c r="F791" s="49"/>
      <c r="G791" s="49"/>
      <c r="H791" s="49"/>
      <c r="I791" s="49"/>
      <c r="J791" s="49"/>
    </row>
    <row r="792">
      <c r="A792" s="49"/>
      <c r="B792" s="49"/>
      <c r="C792" s="49"/>
      <c r="D792" s="49"/>
      <c r="E792" s="49"/>
      <c r="F792" s="49"/>
      <c r="G792" s="49"/>
      <c r="H792" s="49"/>
      <c r="I792" s="49"/>
      <c r="J792" s="49"/>
    </row>
    <row r="793">
      <c r="A793" s="49"/>
      <c r="B793" s="49"/>
      <c r="C793" s="49"/>
      <c r="D793" s="49"/>
      <c r="E793" s="49"/>
      <c r="F793" s="49"/>
      <c r="G793" s="49"/>
      <c r="H793" s="49"/>
      <c r="I793" s="49"/>
      <c r="J793" s="49"/>
    </row>
    <row r="794">
      <c r="A794" s="49"/>
      <c r="B794" s="49"/>
      <c r="C794" s="49"/>
      <c r="D794" s="49"/>
      <c r="E794" s="49"/>
      <c r="F794" s="49"/>
      <c r="G794" s="49"/>
      <c r="H794" s="49"/>
      <c r="I794" s="49"/>
      <c r="J794" s="49"/>
    </row>
    <row r="795">
      <c r="A795" s="49"/>
      <c r="B795" s="49"/>
      <c r="C795" s="49"/>
      <c r="D795" s="49"/>
      <c r="E795" s="49"/>
      <c r="F795" s="49"/>
      <c r="G795" s="49"/>
      <c r="H795" s="49"/>
      <c r="I795" s="49"/>
      <c r="J795" s="49"/>
    </row>
    <row r="796">
      <c r="A796" s="49"/>
      <c r="B796" s="49"/>
      <c r="C796" s="49"/>
      <c r="D796" s="49"/>
      <c r="E796" s="49"/>
      <c r="F796" s="49"/>
      <c r="G796" s="49"/>
      <c r="H796" s="49"/>
      <c r="I796" s="49"/>
      <c r="J796" s="49"/>
    </row>
    <row r="797">
      <c r="A797" s="49"/>
      <c r="B797" s="49"/>
      <c r="C797" s="49"/>
      <c r="D797" s="49"/>
      <c r="E797" s="49"/>
      <c r="F797" s="49"/>
      <c r="G797" s="49"/>
      <c r="H797" s="49"/>
      <c r="I797" s="49"/>
      <c r="J797" s="49"/>
    </row>
    <row r="798">
      <c r="A798" s="49"/>
      <c r="B798" s="49"/>
      <c r="C798" s="49"/>
      <c r="D798" s="49"/>
      <c r="E798" s="49"/>
      <c r="F798" s="49"/>
      <c r="G798" s="49"/>
      <c r="H798" s="49"/>
      <c r="I798" s="49"/>
      <c r="J798" s="49"/>
    </row>
    <row r="799">
      <c r="A799" s="49"/>
      <c r="B799" s="49"/>
      <c r="C799" s="49"/>
      <c r="D799" s="49"/>
      <c r="E799" s="49"/>
      <c r="F799" s="49"/>
      <c r="G799" s="49"/>
      <c r="H799" s="49"/>
      <c r="I799" s="49"/>
      <c r="J799" s="49"/>
    </row>
    <row r="800">
      <c r="A800" s="49"/>
      <c r="B800" s="49"/>
      <c r="C800" s="49"/>
      <c r="D800" s="49"/>
      <c r="E800" s="49"/>
      <c r="F800" s="49"/>
      <c r="G800" s="49"/>
      <c r="H800" s="49"/>
      <c r="I800" s="49"/>
      <c r="J800" s="49"/>
    </row>
    <row r="801">
      <c r="A801" s="49"/>
      <c r="B801" s="49"/>
      <c r="C801" s="49"/>
      <c r="D801" s="49"/>
      <c r="E801" s="49"/>
      <c r="F801" s="49"/>
      <c r="G801" s="49"/>
      <c r="H801" s="49"/>
      <c r="I801" s="49"/>
      <c r="J801" s="49"/>
    </row>
    <row r="802">
      <c r="A802" s="49"/>
      <c r="B802" s="49"/>
      <c r="C802" s="49"/>
      <c r="D802" s="49"/>
      <c r="E802" s="49"/>
      <c r="F802" s="49"/>
      <c r="G802" s="49"/>
      <c r="H802" s="49"/>
      <c r="I802" s="49"/>
      <c r="J802" s="49"/>
    </row>
    <row r="803">
      <c r="A803" s="49"/>
      <c r="B803" s="49"/>
      <c r="C803" s="49"/>
      <c r="D803" s="49"/>
      <c r="E803" s="49"/>
      <c r="F803" s="49"/>
      <c r="G803" s="49"/>
      <c r="H803" s="49"/>
      <c r="I803" s="49"/>
      <c r="J803" s="49"/>
    </row>
    <row r="804">
      <c r="A804" s="49"/>
      <c r="B804" s="49"/>
      <c r="C804" s="49"/>
      <c r="D804" s="49"/>
      <c r="E804" s="49"/>
      <c r="F804" s="49"/>
      <c r="G804" s="49"/>
      <c r="H804" s="49"/>
      <c r="I804" s="49"/>
      <c r="J804" s="49"/>
    </row>
    <row r="805">
      <c r="A805" s="49"/>
      <c r="B805" s="49"/>
      <c r="C805" s="49"/>
      <c r="D805" s="49"/>
      <c r="E805" s="49"/>
      <c r="F805" s="49"/>
      <c r="G805" s="49"/>
      <c r="H805" s="49"/>
      <c r="I805" s="49"/>
      <c r="J805" s="49"/>
    </row>
    <row r="806">
      <c r="A806" s="49"/>
      <c r="B806" s="49"/>
      <c r="C806" s="49"/>
      <c r="D806" s="49"/>
      <c r="E806" s="49"/>
      <c r="F806" s="49"/>
      <c r="G806" s="49"/>
      <c r="H806" s="49"/>
      <c r="I806" s="49"/>
      <c r="J806" s="49"/>
    </row>
    <row r="807">
      <c r="A807" s="49"/>
      <c r="B807" s="49"/>
      <c r="C807" s="49"/>
      <c r="D807" s="49"/>
      <c r="E807" s="49"/>
      <c r="F807" s="49"/>
      <c r="G807" s="49"/>
      <c r="H807" s="49"/>
      <c r="I807" s="49"/>
      <c r="J807" s="49"/>
    </row>
    <row r="808">
      <c r="A808" s="49"/>
      <c r="B808" s="49"/>
      <c r="C808" s="49"/>
      <c r="D808" s="49"/>
      <c r="E808" s="49"/>
      <c r="F808" s="49"/>
      <c r="G808" s="49"/>
      <c r="H808" s="49"/>
      <c r="I808" s="49"/>
      <c r="J808" s="49"/>
    </row>
    <row r="809">
      <c r="A809" s="49"/>
      <c r="B809" s="49"/>
      <c r="C809" s="49"/>
      <c r="D809" s="49"/>
      <c r="E809" s="49"/>
      <c r="F809" s="49"/>
      <c r="G809" s="49"/>
      <c r="H809" s="49"/>
      <c r="I809" s="49"/>
      <c r="J809" s="49"/>
    </row>
    <row r="810">
      <c r="A810" s="49"/>
      <c r="B810" s="49"/>
      <c r="C810" s="49"/>
      <c r="D810" s="49"/>
      <c r="E810" s="49"/>
      <c r="F810" s="49"/>
      <c r="G810" s="49"/>
      <c r="H810" s="49"/>
      <c r="I810" s="49"/>
      <c r="J810" s="49"/>
    </row>
    <row r="811">
      <c r="A811" s="49"/>
      <c r="B811" s="49"/>
      <c r="C811" s="49"/>
      <c r="D811" s="49"/>
      <c r="E811" s="49"/>
      <c r="F811" s="49"/>
      <c r="G811" s="49"/>
      <c r="H811" s="49"/>
      <c r="I811" s="49"/>
      <c r="J811" s="49"/>
    </row>
    <row r="812">
      <c r="A812" s="49"/>
      <c r="B812" s="49"/>
      <c r="C812" s="49"/>
      <c r="D812" s="49"/>
      <c r="E812" s="49"/>
      <c r="F812" s="49"/>
      <c r="G812" s="49"/>
      <c r="H812" s="49"/>
      <c r="I812" s="49"/>
      <c r="J812" s="49"/>
    </row>
    <row r="813">
      <c r="A813" s="49"/>
      <c r="B813" s="49"/>
      <c r="C813" s="49"/>
      <c r="D813" s="49"/>
      <c r="E813" s="49"/>
      <c r="F813" s="49"/>
      <c r="G813" s="49"/>
      <c r="H813" s="49"/>
      <c r="I813" s="49"/>
      <c r="J813" s="49"/>
    </row>
    <row r="814">
      <c r="A814" s="49"/>
      <c r="B814" s="49"/>
      <c r="C814" s="49"/>
      <c r="D814" s="49"/>
      <c r="E814" s="49"/>
      <c r="F814" s="49"/>
      <c r="G814" s="49"/>
      <c r="H814" s="49"/>
      <c r="I814" s="49"/>
      <c r="J814" s="49"/>
    </row>
    <row r="815">
      <c r="A815" s="49"/>
      <c r="B815" s="49"/>
      <c r="C815" s="49"/>
      <c r="D815" s="49"/>
      <c r="E815" s="49"/>
      <c r="F815" s="49"/>
      <c r="G815" s="49"/>
      <c r="H815" s="49"/>
      <c r="I815" s="49"/>
      <c r="J815" s="49"/>
    </row>
    <row r="816">
      <c r="A816" s="49"/>
      <c r="B816" s="49"/>
      <c r="C816" s="49"/>
      <c r="D816" s="49"/>
      <c r="E816" s="49"/>
      <c r="F816" s="49"/>
      <c r="G816" s="49"/>
      <c r="H816" s="49"/>
      <c r="I816" s="49"/>
      <c r="J816" s="49"/>
    </row>
    <row r="817">
      <c r="A817" s="49"/>
      <c r="B817" s="49"/>
      <c r="C817" s="49"/>
      <c r="D817" s="49"/>
      <c r="E817" s="49"/>
      <c r="F817" s="49"/>
      <c r="G817" s="49"/>
      <c r="H817" s="49"/>
      <c r="I817" s="49"/>
      <c r="J817" s="49"/>
    </row>
    <row r="818">
      <c r="A818" s="49"/>
      <c r="B818" s="49"/>
      <c r="C818" s="49"/>
      <c r="D818" s="49"/>
      <c r="E818" s="49"/>
      <c r="F818" s="49"/>
      <c r="G818" s="49"/>
      <c r="H818" s="49"/>
      <c r="I818" s="49"/>
      <c r="J818" s="49"/>
    </row>
    <row r="819">
      <c r="A819" s="49"/>
      <c r="B819" s="49"/>
      <c r="C819" s="49"/>
      <c r="D819" s="49"/>
      <c r="E819" s="49"/>
      <c r="F819" s="49"/>
      <c r="G819" s="49"/>
      <c r="H819" s="49"/>
      <c r="I819" s="49"/>
      <c r="J819" s="49"/>
    </row>
    <row r="820">
      <c r="A820" s="49"/>
      <c r="B820" s="49"/>
      <c r="C820" s="49"/>
      <c r="D820" s="49"/>
      <c r="E820" s="49"/>
      <c r="F820" s="49"/>
      <c r="G820" s="49"/>
      <c r="H820" s="49"/>
      <c r="I820" s="49"/>
      <c r="J820" s="49"/>
    </row>
    <row r="821">
      <c r="A821" s="49"/>
      <c r="B821" s="49"/>
      <c r="C821" s="49"/>
      <c r="D821" s="49"/>
      <c r="E821" s="49"/>
      <c r="F821" s="49"/>
      <c r="G821" s="49"/>
      <c r="H821" s="49"/>
      <c r="I821" s="49"/>
      <c r="J821" s="49"/>
    </row>
    <row r="822">
      <c r="A822" s="49"/>
      <c r="B822" s="49"/>
      <c r="C822" s="49"/>
      <c r="D822" s="49"/>
      <c r="E822" s="49"/>
      <c r="F822" s="49"/>
      <c r="G822" s="49"/>
      <c r="H822" s="49"/>
      <c r="I822" s="49"/>
      <c r="J822" s="49"/>
    </row>
    <row r="823">
      <c r="A823" s="49"/>
      <c r="B823" s="49"/>
      <c r="C823" s="49"/>
      <c r="D823" s="49"/>
      <c r="E823" s="49"/>
      <c r="F823" s="49"/>
      <c r="G823" s="49"/>
      <c r="H823" s="49"/>
      <c r="I823" s="49"/>
      <c r="J823" s="49"/>
    </row>
    <row r="824">
      <c r="A824" s="49"/>
      <c r="B824" s="49"/>
      <c r="C824" s="49"/>
      <c r="D824" s="49"/>
      <c r="E824" s="49"/>
      <c r="F824" s="49"/>
      <c r="G824" s="49"/>
      <c r="H824" s="49"/>
      <c r="I824" s="49"/>
      <c r="J824" s="49"/>
    </row>
    <row r="825">
      <c r="A825" s="49"/>
      <c r="B825" s="49"/>
      <c r="C825" s="49"/>
      <c r="D825" s="49"/>
      <c r="E825" s="49"/>
      <c r="F825" s="49"/>
      <c r="G825" s="49"/>
      <c r="H825" s="49"/>
      <c r="I825" s="49"/>
      <c r="J825" s="49"/>
    </row>
    <row r="826">
      <c r="A826" s="49"/>
      <c r="B826" s="49"/>
      <c r="C826" s="49"/>
      <c r="D826" s="49"/>
      <c r="E826" s="49"/>
      <c r="F826" s="49"/>
      <c r="G826" s="49"/>
      <c r="H826" s="49"/>
      <c r="I826" s="49"/>
      <c r="J826" s="49"/>
    </row>
    <row r="827">
      <c r="A827" s="49"/>
      <c r="B827" s="49"/>
      <c r="C827" s="49"/>
      <c r="D827" s="49"/>
      <c r="E827" s="49"/>
      <c r="F827" s="49"/>
      <c r="G827" s="49"/>
      <c r="H827" s="49"/>
      <c r="I827" s="49"/>
      <c r="J827" s="49"/>
    </row>
    <row r="828">
      <c r="A828" s="49"/>
      <c r="B828" s="49"/>
      <c r="C828" s="49"/>
      <c r="D828" s="49"/>
      <c r="E828" s="49"/>
      <c r="F828" s="49"/>
      <c r="G828" s="49"/>
      <c r="H828" s="49"/>
      <c r="I828" s="49"/>
      <c r="J828" s="49"/>
    </row>
    <row r="829">
      <c r="A829" s="49"/>
      <c r="B829" s="49"/>
      <c r="C829" s="49"/>
      <c r="D829" s="49"/>
      <c r="E829" s="49"/>
      <c r="F829" s="49"/>
      <c r="G829" s="49"/>
      <c r="H829" s="49"/>
      <c r="I829" s="49"/>
      <c r="J829" s="49"/>
    </row>
    <row r="830">
      <c r="A830" s="49"/>
      <c r="B830" s="49"/>
      <c r="C830" s="49"/>
      <c r="D830" s="49"/>
      <c r="E830" s="49"/>
      <c r="F830" s="49"/>
      <c r="G830" s="49"/>
      <c r="H830" s="49"/>
      <c r="I830" s="49"/>
      <c r="J830" s="49"/>
    </row>
    <row r="831">
      <c r="A831" s="49"/>
      <c r="B831" s="49"/>
      <c r="C831" s="49"/>
      <c r="D831" s="49"/>
      <c r="E831" s="49"/>
      <c r="F831" s="49"/>
      <c r="G831" s="49"/>
      <c r="H831" s="49"/>
      <c r="I831" s="49"/>
      <c r="J831" s="49"/>
    </row>
    <row r="832">
      <c r="A832" s="49"/>
      <c r="B832" s="49"/>
      <c r="C832" s="49"/>
      <c r="D832" s="49"/>
      <c r="E832" s="49"/>
      <c r="F832" s="49"/>
      <c r="G832" s="49"/>
      <c r="H832" s="49"/>
      <c r="I832" s="49"/>
      <c r="J832" s="49"/>
    </row>
    <row r="833">
      <c r="A833" s="49"/>
      <c r="B833" s="49"/>
      <c r="C833" s="49"/>
      <c r="D833" s="49"/>
      <c r="E833" s="49"/>
      <c r="F833" s="49"/>
      <c r="G833" s="49"/>
      <c r="H833" s="49"/>
      <c r="I833" s="49"/>
      <c r="J833" s="49"/>
    </row>
    <row r="834">
      <c r="A834" s="49"/>
      <c r="B834" s="49"/>
      <c r="C834" s="49"/>
      <c r="D834" s="49"/>
      <c r="E834" s="49"/>
      <c r="F834" s="49"/>
      <c r="G834" s="49"/>
      <c r="H834" s="49"/>
      <c r="I834" s="49"/>
      <c r="J834" s="49"/>
    </row>
    <row r="835">
      <c r="A835" s="49"/>
      <c r="B835" s="49"/>
      <c r="C835" s="49"/>
      <c r="D835" s="49"/>
      <c r="E835" s="49"/>
      <c r="F835" s="49"/>
      <c r="G835" s="49"/>
      <c r="H835" s="49"/>
      <c r="I835" s="49"/>
      <c r="J835" s="49"/>
    </row>
    <row r="836">
      <c r="A836" s="49"/>
      <c r="B836" s="49"/>
      <c r="C836" s="49"/>
      <c r="D836" s="49"/>
      <c r="E836" s="49"/>
      <c r="F836" s="49"/>
      <c r="G836" s="49"/>
      <c r="H836" s="49"/>
      <c r="I836" s="49"/>
      <c r="J836" s="49"/>
    </row>
    <row r="837">
      <c r="A837" s="49"/>
      <c r="B837" s="49"/>
      <c r="C837" s="49"/>
      <c r="D837" s="49"/>
      <c r="E837" s="49"/>
      <c r="F837" s="49"/>
      <c r="G837" s="49"/>
      <c r="H837" s="49"/>
      <c r="I837" s="49"/>
      <c r="J837" s="49"/>
    </row>
    <row r="838">
      <c r="A838" s="49"/>
      <c r="B838" s="49"/>
      <c r="C838" s="49"/>
      <c r="D838" s="49"/>
      <c r="E838" s="49"/>
      <c r="F838" s="49"/>
      <c r="G838" s="49"/>
      <c r="H838" s="49"/>
      <c r="I838" s="49"/>
      <c r="J838" s="49"/>
    </row>
    <row r="839">
      <c r="A839" s="49"/>
      <c r="B839" s="49"/>
      <c r="C839" s="49"/>
      <c r="D839" s="49"/>
      <c r="E839" s="49"/>
      <c r="F839" s="49"/>
      <c r="G839" s="49"/>
      <c r="H839" s="49"/>
      <c r="I839" s="49"/>
      <c r="J839" s="49"/>
    </row>
    <row r="840">
      <c r="A840" s="49"/>
      <c r="B840" s="49"/>
      <c r="C840" s="49"/>
      <c r="D840" s="49"/>
      <c r="E840" s="49"/>
      <c r="F840" s="49"/>
      <c r="G840" s="49"/>
      <c r="H840" s="49"/>
      <c r="I840" s="49"/>
      <c r="J840" s="49"/>
    </row>
    <row r="841">
      <c r="A841" s="49"/>
      <c r="B841" s="49"/>
      <c r="C841" s="49"/>
      <c r="D841" s="49"/>
      <c r="E841" s="49"/>
      <c r="F841" s="49"/>
      <c r="G841" s="49"/>
      <c r="H841" s="49"/>
      <c r="I841" s="49"/>
      <c r="J841" s="49"/>
    </row>
    <row r="842">
      <c r="A842" s="49"/>
      <c r="B842" s="49"/>
      <c r="C842" s="49"/>
      <c r="D842" s="49"/>
      <c r="E842" s="49"/>
      <c r="F842" s="49"/>
      <c r="G842" s="49"/>
      <c r="H842" s="49"/>
      <c r="I842" s="49"/>
      <c r="J842" s="49"/>
    </row>
    <row r="843">
      <c r="A843" s="49"/>
      <c r="B843" s="49"/>
      <c r="C843" s="49"/>
      <c r="D843" s="49"/>
      <c r="E843" s="49"/>
      <c r="F843" s="49"/>
      <c r="G843" s="49"/>
      <c r="H843" s="49"/>
      <c r="I843" s="49"/>
      <c r="J843" s="49"/>
    </row>
    <row r="844">
      <c r="A844" s="49"/>
      <c r="B844" s="49"/>
      <c r="C844" s="49"/>
      <c r="D844" s="49"/>
      <c r="E844" s="49"/>
      <c r="F844" s="49"/>
      <c r="G844" s="49"/>
      <c r="H844" s="49"/>
      <c r="I844" s="49"/>
      <c r="J844" s="49"/>
    </row>
    <row r="845">
      <c r="A845" s="49"/>
      <c r="B845" s="49"/>
      <c r="C845" s="49"/>
      <c r="D845" s="49"/>
      <c r="E845" s="49"/>
      <c r="F845" s="49"/>
      <c r="G845" s="49"/>
      <c r="H845" s="49"/>
      <c r="I845" s="49"/>
      <c r="J845" s="49"/>
    </row>
    <row r="846">
      <c r="A846" s="49"/>
      <c r="B846" s="49"/>
      <c r="C846" s="49"/>
      <c r="D846" s="49"/>
      <c r="E846" s="49"/>
      <c r="F846" s="49"/>
      <c r="G846" s="49"/>
      <c r="H846" s="49"/>
      <c r="I846" s="49"/>
      <c r="J846" s="49"/>
    </row>
    <row r="847">
      <c r="A847" s="49"/>
      <c r="B847" s="49"/>
      <c r="C847" s="49"/>
      <c r="D847" s="49"/>
      <c r="E847" s="49"/>
      <c r="F847" s="49"/>
      <c r="G847" s="49"/>
      <c r="H847" s="49"/>
      <c r="I847" s="49"/>
      <c r="J847" s="49"/>
    </row>
    <row r="848">
      <c r="A848" s="49"/>
      <c r="B848" s="49"/>
      <c r="C848" s="49"/>
      <c r="D848" s="49"/>
      <c r="E848" s="49"/>
      <c r="F848" s="49"/>
      <c r="G848" s="49"/>
      <c r="H848" s="49"/>
      <c r="I848" s="49"/>
      <c r="J848" s="49"/>
    </row>
    <row r="849">
      <c r="A849" s="49"/>
      <c r="B849" s="49"/>
      <c r="C849" s="49"/>
      <c r="D849" s="49"/>
      <c r="E849" s="49"/>
      <c r="F849" s="49"/>
      <c r="G849" s="49"/>
      <c r="H849" s="49"/>
      <c r="I849" s="49"/>
      <c r="J849" s="49"/>
    </row>
    <row r="850">
      <c r="A850" s="49"/>
      <c r="B850" s="49"/>
      <c r="C850" s="49"/>
      <c r="D850" s="49"/>
      <c r="E850" s="49"/>
      <c r="F850" s="49"/>
      <c r="G850" s="49"/>
      <c r="H850" s="49"/>
      <c r="I850" s="49"/>
      <c r="J850" s="49"/>
    </row>
    <row r="851">
      <c r="A851" s="49"/>
      <c r="B851" s="49"/>
      <c r="C851" s="49"/>
      <c r="D851" s="49"/>
      <c r="E851" s="49"/>
      <c r="F851" s="49"/>
      <c r="G851" s="49"/>
      <c r="H851" s="49"/>
      <c r="I851" s="49"/>
      <c r="J851" s="49"/>
    </row>
    <row r="852">
      <c r="A852" s="49"/>
      <c r="B852" s="49"/>
      <c r="C852" s="49"/>
      <c r="D852" s="49"/>
      <c r="E852" s="49"/>
      <c r="F852" s="49"/>
      <c r="G852" s="49"/>
      <c r="H852" s="49"/>
      <c r="I852" s="49"/>
      <c r="J852" s="49"/>
    </row>
    <row r="853">
      <c r="A853" s="49"/>
      <c r="B853" s="49"/>
      <c r="C853" s="49"/>
      <c r="D853" s="49"/>
      <c r="E853" s="49"/>
      <c r="F853" s="49"/>
      <c r="G853" s="49"/>
      <c r="H853" s="49"/>
      <c r="I853" s="49"/>
      <c r="J853" s="49"/>
    </row>
    <row r="854">
      <c r="A854" s="49"/>
      <c r="B854" s="49"/>
      <c r="C854" s="49"/>
      <c r="D854" s="49"/>
      <c r="E854" s="49"/>
      <c r="F854" s="49"/>
      <c r="G854" s="49"/>
      <c r="H854" s="49"/>
      <c r="I854" s="49"/>
      <c r="J854" s="49"/>
    </row>
    <row r="855">
      <c r="A855" s="49"/>
      <c r="B855" s="49"/>
      <c r="C855" s="49"/>
      <c r="D855" s="49"/>
      <c r="E855" s="49"/>
      <c r="F855" s="49"/>
      <c r="G855" s="49"/>
      <c r="H855" s="49"/>
      <c r="I855" s="49"/>
      <c r="J855" s="49"/>
    </row>
    <row r="856">
      <c r="A856" s="49"/>
      <c r="B856" s="49"/>
      <c r="C856" s="49"/>
      <c r="D856" s="49"/>
      <c r="E856" s="49"/>
      <c r="F856" s="49"/>
      <c r="G856" s="49"/>
      <c r="H856" s="49"/>
      <c r="I856" s="49"/>
      <c r="J856" s="49"/>
    </row>
    <row r="857">
      <c r="A857" s="49"/>
      <c r="B857" s="49"/>
      <c r="C857" s="49"/>
      <c r="D857" s="49"/>
      <c r="E857" s="49"/>
      <c r="F857" s="49"/>
      <c r="G857" s="49"/>
      <c r="H857" s="49"/>
      <c r="I857" s="49"/>
      <c r="J857" s="49"/>
    </row>
    <row r="858">
      <c r="A858" s="49"/>
      <c r="B858" s="49"/>
      <c r="C858" s="49"/>
      <c r="D858" s="49"/>
      <c r="E858" s="49"/>
      <c r="F858" s="49"/>
      <c r="G858" s="49"/>
      <c r="H858" s="49"/>
      <c r="I858" s="49"/>
      <c r="J858" s="49"/>
    </row>
    <row r="859">
      <c r="A859" s="49"/>
      <c r="B859" s="49"/>
      <c r="C859" s="49"/>
      <c r="D859" s="49"/>
      <c r="E859" s="49"/>
      <c r="F859" s="49"/>
      <c r="G859" s="49"/>
      <c r="H859" s="49"/>
      <c r="I859" s="49"/>
      <c r="J859" s="49"/>
    </row>
    <row r="860">
      <c r="A860" s="49"/>
      <c r="B860" s="49"/>
      <c r="C860" s="49"/>
      <c r="D860" s="49"/>
      <c r="E860" s="49"/>
      <c r="F860" s="49"/>
      <c r="G860" s="49"/>
      <c r="H860" s="49"/>
      <c r="I860" s="49"/>
      <c r="J860" s="49"/>
    </row>
    <row r="861">
      <c r="A861" s="49"/>
      <c r="B861" s="49"/>
      <c r="C861" s="49"/>
      <c r="D861" s="49"/>
      <c r="E861" s="49"/>
      <c r="F861" s="49"/>
      <c r="G861" s="49"/>
      <c r="H861" s="49"/>
      <c r="I861" s="49"/>
      <c r="J861" s="49"/>
    </row>
    <row r="862">
      <c r="A862" s="49"/>
      <c r="B862" s="49"/>
      <c r="C862" s="49"/>
      <c r="D862" s="49"/>
      <c r="E862" s="49"/>
      <c r="F862" s="49"/>
      <c r="G862" s="49"/>
      <c r="H862" s="49"/>
      <c r="I862" s="49"/>
      <c r="J862" s="49"/>
    </row>
    <row r="863">
      <c r="A863" s="49"/>
      <c r="B863" s="49"/>
      <c r="C863" s="49"/>
      <c r="D863" s="49"/>
      <c r="E863" s="49"/>
      <c r="F863" s="49"/>
      <c r="G863" s="49"/>
      <c r="H863" s="49"/>
      <c r="I863" s="49"/>
      <c r="J863" s="49"/>
    </row>
    <row r="864">
      <c r="A864" s="49"/>
      <c r="B864" s="49"/>
      <c r="C864" s="49"/>
      <c r="D864" s="49"/>
      <c r="E864" s="49"/>
      <c r="F864" s="49"/>
      <c r="G864" s="49"/>
      <c r="H864" s="49"/>
      <c r="I864" s="49"/>
      <c r="J864" s="49"/>
    </row>
    <row r="865">
      <c r="A865" s="49"/>
      <c r="B865" s="49"/>
      <c r="C865" s="49"/>
      <c r="D865" s="49"/>
      <c r="E865" s="49"/>
      <c r="F865" s="49"/>
      <c r="G865" s="49"/>
      <c r="H865" s="49"/>
      <c r="I865" s="49"/>
      <c r="J865" s="49"/>
    </row>
    <row r="866">
      <c r="A866" s="49"/>
      <c r="B866" s="49"/>
      <c r="C866" s="49"/>
      <c r="D866" s="49"/>
      <c r="E866" s="49"/>
      <c r="F866" s="49"/>
      <c r="G866" s="49"/>
      <c r="H866" s="49"/>
      <c r="I866" s="49"/>
      <c r="J866" s="49"/>
    </row>
    <row r="867">
      <c r="A867" s="49"/>
      <c r="B867" s="49"/>
      <c r="C867" s="49"/>
      <c r="D867" s="49"/>
      <c r="E867" s="49"/>
      <c r="F867" s="49"/>
      <c r="G867" s="49"/>
      <c r="H867" s="49"/>
      <c r="I867" s="49"/>
      <c r="J867" s="49"/>
    </row>
    <row r="868">
      <c r="A868" s="49"/>
      <c r="B868" s="49"/>
      <c r="C868" s="49"/>
      <c r="D868" s="49"/>
      <c r="E868" s="49"/>
      <c r="F868" s="49"/>
      <c r="G868" s="49"/>
      <c r="H868" s="49"/>
      <c r="I868" s="49"/>
      <c r="J868" s="49"/>
    </row>
    <row r="869">
      <c r="A869" s="49"/>
      <c r="B869" s="49"/>
      <c r="C869" s="49"/>
      <c r="D869" s="49"/>
      <c r="E869" s="49"/>
      <c r="F869" s="49"/>
      <c r="G869" s="49"/>
      <c r="H869" s="49"/>
      <c r="I869" s="49"/>
      <c r="J869" s="49"/>
    </row>
    <row r="870">
      <c r="A870" s="49"/>
      <c r="B870" s="49"/>
      <c r="C870" s="49"/>
      <c r="D870" s="49"/>
      <c r="E870" s="49"/>
      <c r="F870" s="49"/>
      <c r="G870" s="49"/>
      <c r="H870" s="49"/>
      <c r="I870" s="49"/>
      <c r="J870" s="49"/>
    </row>
    <row r="871">
      <c r="A871" s="49"/>
      <c r="B871" s="49"/>
      <c r="C871" s="49"/>
      <c r="D871" s="49"/>
      <c r="E871" s="49"/>
      <c r="F871" s="49"/>
      <c r="G871" s="49"/>
      <c r="H871" s="49"/>
      <c r="I871" s="49"/>
      <c r="J871" s="49"/>
    </row>
    <row r="872">
      <c r="A872" s="49"/>
      <c r="B872" s="49"/>
      <c r="C872" s="49"/>
      <c r="D872" s="49"/>
      <c r="E872" s="49"/>
      <c r="F872" s="49"/>
      <c r="G872" s="49"/>
      <c r="H872" s="49"/>
      <c r="I872" s="49"/>
      <c r="J872" s="49"/>
    </row>
    <row r="873">
      <c r="A873" s="49"/>
      <c r="B873" s="49"/>
      <c r="C873" s="49"/>
      <c r="D873" s="49"/>
      <c r="E873" s="49"/>
      <c r="F873" s="49"/>
      <c r="G873" s="49"/>
      <c r="H873" s="49"/>
      <c r="I873" s="49"/>
      <c r="J873" s="49"/>
    </row>
    <row r="874">
      <c r="A874" s="49"/>
      <c r="B874" s="49"/>
      <c r="C874" s="49"/>
      <c r="D874" s="49"/>
      <c r="E874" s="49"/>
      <c r="F874" s="49"/>
      <c r="G874" s="49"/>
      <c r="H874" s="49"/>
      <c r="I874" s="49"/>
      <c r="J874" s="49"/>
    </row>
    <row r="875">
      <c r="A875" s="49"/>
      <c r="B875" s="49"/>
      <c r="C875" s="49"/>
      <c r="D875" s="49"/>
      <c r="E875" s="49"/>
      <c r="F875" s="49"/>
      <c r="G875" s="49"/>
      <c r="H875" s="49"/>
      <c r="I875" s="49"/>
      <c r="J875" s="49"/>
    </row>
    <row r="876">
      <c r="A876" s="49"/>
      <c r="B876" s="49"/>
      <c r="C876" s="49"/>
      <c r="D876" s="49"/>
      <c r="E876" s="49"/>
      <c r="F876" s="49"/>
      <c r="G876" s="49"/>
      <c r="H876" s="49"/>
      <c r="I876" s="49"/>
      <c r="J876" s="49"/>
    </row>
    <row r="877">
      <c r="A877" s="49"/>
      <c r="B877" s="49"/>
      <c r="C877" s="49"/>
      <c r="D877" s="49"/>
      <c r="E877" s="49"/>
      <c r="F877" s="49"/>
      <c r="G877" s="49"/>
      <c r="H877" s="49"/>
      <c r="I877" s="49"/>
      <c r="J877" s="49"/>
    </row>
    <row r="878">
      <c r="A878" s="49"/>
      <c r="B878" s="49"/>
      <c r="C878" s="49"/>
      <c r="D878" s="49"/>
      <c r="E878" s="49"/>
      <c r="F878" s="49"/>
      <c r="G878" s="49"/>
      <c r="H878" s="49"/>
      <c r="I878" s="49"/>
      <c r="J878" s="49"/>
    </row>
    <row r="879">
      <c r="A879" s="49"/>
      <c r="B879" s="49"/>
      <c r="C879" s="49"/>
      <c r="D879" s="49"/>
      <c r="E879" s="49"/>
      <c r="F879" s="49"/>
      <c r="G879" s="49"/>
      <c r="H879" s="49"/>
      <c r="I879" s="49"/>
      <c r="J879" s="49"/>
    </row>
    <row r="880">
      <c r="A880" s="49"/>
      <c r="B880" s="49"/>
      <c r="C880" s="49"/>
      <c r="D880" s="49"/>
      <c r="E880" s="49"/>
      <c r="F880" s="49"/>
      <c r="G880" s="49"/>
      <c r="H880" s="49"/>
      <c r="I880" s="49"/>
      <c r="J880" s="49"/>
    </row>
    <row r="881">
      <c r="A881" s="49"/>
      <c r="B881" s="49"/>
      <c r="C881" s="49"/>
      <c r="D881" s="49"/>
      <c r="E881" s="49"/>
      <c r="F881" s="49"/>
      <c r="G881" s="49"/>
      <c r="H881" s="49"/>
      <c r="I881" s="49"/>
      <c r="J881" s="49"/>
    </row>
    <row r="882">
      <c r="A882" s="49"/>
      <c r="B882" s="49"/>
      <c r="C882" s="49"/>
      <c r="D882" s="49"/>
      <c r="E882" s="49"/>
      <c r="F882" s="49"/>
      <c r="G882" s="49"/>
      <c r="H882" s="49"/>
      <c r="I882" s="49"/>
      <c r="J882" s="49"/>
    </row>
    <row r="883">
      <c r="A883" s="49"/>
      <c r="B883" s="49"/>
      <c r="C883" s="49"/>
      <c r="D883" s="49"/>
      <c r="E883" s="49"/>
      <c r="F883" s="49"/>
      <c r="G883" s="49"/>
      <c r="H883" s="49"/>
      <c r="I883" s="49"/>
      <c r="J883" s="49"/>
    </row>
    <row r="884">
      <c r="A884" s="49"/>
      <c r="B884" s="49"/>
      <c r="C884" s="49"/>
      <c r="D884" s="49"/>
      <c r="E884" s="49"/>
      <c r="F884" s="49"/>
      <c r="G884" s="49"/>
      <c r="H884" s="49"/>
      <c r="I884" s="49"/>
      <c r="J884" s="49"/>
    </row>
    <row r="885">
      <c r="A885" s="49"/>
      <c r="B885" s="49"/>
      <c r="C885" s="49"/>
      <c r="D885" s="49"/>
      <c r="E885" s="49"/>
      <c r="F885" s="49"/>
      <c r="G885" s="49"/>
      <c r="H885" s="49"/>
      <c r="I885" s="49"/>
      <c r="J885" s="49"/>
    </row>
    <row r="886">
      <c r="A886" s="49"/>
      <c r="B886" s="49"/>
      <c r="C886" s="49"/>
      <c r="D886" s="49"/>
      <c r="E886" s="49"/>
      <c r="F886" s="49"/>
      <c r="G886" s="49"/>
      <c r="H886" s="49"/>
      <c r="I886" s="49"/>
      <c r="J886" s="49"/>
    </row>
    <row r="887">
      <c r="A887" s="49"/>
      <c r="B887" s="49"/>
      <c r="C887" s="49"/>
      <c r="D887" s="49"/>
      <c r="E887" s="49"/>
      <c r="F887" s="49"/>
      <c r="G887" s="49"/>
      <c r="H887" s="49"/>
      <c r="I887" s="49"/>
      <c r="J887" s="49"/>
    </row>
    <row r="888">
      <c r="A888" s="49"/>
      <c r="B888" s="49"/>
      <c r="C888" s="49"/>
      <c r="D888" s="49"/>
      <c r="E888" s="49"/>
      <c r="F888" s="49"/>
      <c r="G888" s="49"/>
      <c r="H888" s="49"/>
      <c r="I888" s="49"/>
      <c r="J888" s="49"/>
    </row>
    <row r="889">
      <c r="A889" s="49"/>
      <c r="B889" s="49"/>
      <c r="C889" s="49"/>
      <c r="D889" s="49"/>
      <c r="E889" s="49"/>
      <c r="F889" s="49"/>
      <c r="G889" s="49"/>
      <c r="H889" s="49"/>
      <c r="I889" s="49"/>
      <c r="J889" s="49"/>
    </row>
    <row r="890">
      <c r="A890" s="49"/>
      <c r="B890" s="49"/>
      <c r="C890" s="49"/>
      <c r="D890" s="49"/>
      <c r="E890" s="49"/>
      <c r="F890" s="49"/>
      <c r="G890" s="49"/>
      <c r="H890" s="49"/>
      <c r="I890" s="49"/>
      <c r="J890" s="49"/>
    </row>
    <row r="891">
      <c r="A891" s="49"/>
      <c r="B891" s="49"/>
      <c r="C891" s="49"/>
      <c r="D891" s="49"/>
      <c r="E891" s="49"/>
      <c r="F891" s="49"/>
      <c r="G891" s="49"/>
      <c r="H891" s="49"/>
      <c r="I891" s="49"/>
      <c r="J891" s="49"/>
    </row>
    <row r="892">
      <c r="A892" s="49"/>
      <c r="B892" s="49"/>
      <c r="C892" s="49"/>
      <c r="D892" s="49"/>
      <c r="E892" s="49"/>
      <c r="F892" s="49"/>
      <c r="G892" s="49"/>
      <c r="H892" s="49"/>
      <c r="I892" s="49"/>
      <c r="J892" s="49"/>
    </row>
    <row r="893">
      <c r="A893" s="49"/>
      <c r="B893" s="49"/>
      <c r="C893" s="49"/>
      <c r="D893" s="49"/>
      <c r="E893" s="49"/>
      <c r="F893" s="49"/>
      <c r="G893" s="49"/>
      <c r="H893" s="49"/>
      <c r="I893" s="49"/>
      <c r="J893" s="49"/>
    </row>
    <row r="894">
      <c r="A894" s="49"/>
      <c r="B894" s="49"/>
      <c r="C894" s="49"/>
      <c r="D894" s="49"/>
      <c r="E894" s="49"/>
      <c r="F894" s="49"/>
      <c r="G894" s="49"/>
      <c r="H894" s="49"/>
      <c r="I894" s="49"/>
      <c r="J894" s="49"/>
    </row>
    <row r="895">
      <c r="A895" s="49"/>
      <c r="B895" s="49"/>
      <c r="C895" s="49"/>
      <c r="D895" s="49"/>
      <c r="E895" s="49"/>
      <c r="F895" s="49"/>
      <c r="G895" s="49"/>
      <c r="H895" s="49"/>
      <c r="I895" s="49"/>
      <c r="J895" s="49"/>
    </row>
    <row r="896">
      <c r="A896" s="49"/>
      <c r="B896" s="49"/>
      <c r="C896" s="49"/>
      <c r="D896" s="49"/>
      <c r="E896" s="49"/>
      <c r="F896" s="49"/>
      <c r="G896" s="49"/>
      <c r="H896" s="49"/>
      <c r="I896" s="49"/>
      <c r="J896" s="49"/>
    </row>
    <row r="897">
      <c r="A897" s="49"/>
      <c r="B897" s="49"/>
      <c r="C897" s="49"/>
      <c r="D897" s="49"/>
      <c r="E897" s="49"/>
      <c r="F897" s="49"/>
      <c r="G897" s="49"/>
      <c r="H897" s="49"/>
      <c r="I897" s="49"/>
      <c r="J897" s="49"/>
    </row>
    <row r="898">
      <c r="A898" s="49"/>
      <c r="B898" s="49"/>
      <c r="C898" s="49"/>
      <c r="D898" s="49"/>
      <c r="E898" s="49"/>
      <c r="F898" s="49"/>
      <c r="G898" s="49"/>
      <c r="H898" s="49"/>
      <c r="I898" s="49"/>
      <c r="J898" s="49"/>
    </row>
    <row r="899">
      <c r="A899" s="49"/>
      <c r="B899" s="49"/>
      <c r="C899" s="49"/>
      <c r="D899" s="49"/>
      <c r="E899" s="49"/>
      <c r="F899" s="49"/>
      <c r="G899" s="49"/>
      <c r="H899" s="49"/>
      <c r="I899" s="49"/>
      <c r="J899" s="49"/>
    </row>
    <row r="900">
      <c r="A900" s="49"/>
      <c r="B900" s="49"/>
      <c r="C900" s="49"/>
      <c r="D900" s="49"/>
      <c r="E900" s="49"/>
      <c r="F900" s="49"/>
      <c r="G900" s="49"/>
      <c r="H900" s="49"/>
      <c r="I900" s="49"/>
      <c r="J900" s="49"/>
    </row>
    <row r="901">
      <c r="A901" s="49"/>
      <c r="B901" s="49"/>
      <c r="C901" s="49"/>
      <c r="D901" s="49"/>
      <c r="E901" s="49"/>
      <c r="F901" s="49"/>
      <c r="G901" s="49"/>
      <c r="H901" s="49"/>
      <c r="I901" s="49"/>
      <c r="J901" s="49"/>
    </row>
    <row r="902">
      <c r="A902" s="49"/>
      <c r="B902" s="49"/>
      <c r="C902" s="49"/>
      <c r="D902" s="49"/>
      <c r="E902" s="49"/>
      <c r="F902" s="49"/>
      <c r="G902" s="49"/>
      <c r="H902" s="49"/>
      <c r="I902" s="49"/>
      <c r="J902" s="49"/>
    </row>
    <row r="903">
      <c r="A903" s="49"/>
      <c r="B903" s="49"/>
      <c r="C903" s="49"/>
      <c r="D903" s="49"/>
      <c r="E903" s="49"/>
      <c r="F903" s="49"/>
      <c r="G903" s="49"/>
      <c r="H903" s="49"/>
      <c r="I903" s="49"/>
      <c r="J903" s="49"/>
    </row>
    <row r="904">
      <c r="A904" s="49"/>
      <c r="B904" s="49"/>
      <c r="C904" s="49"/>
      <c r="D904" s="49"/>
      <c r="E904" s="49"/>
      <c r="F904" s="49"/>
      <c r="G904" s="49"/>
      <c r="H904" s="49"/>
      <c r="I904" s="49"/>
      <c r="J904" s="49"/>
    </row>
    <row r="905">
      <c r="A905" s="49"/>
      <c r="B905" s="49"/>
      <c r="C905" s="49"/>
      <c r="D905" s="49"/>
      <c r="E905" s="49"/>
      <c r="F905" s="49"/>
      <c r="G905" s="49"/>
      <c r="H905" s="49"/>
      <c r="I905" s="49"/>
      <c r="J905" s="49"/>
    </row>
    <row r="906">
      <c r="A906" s="49"/>
      <c r="B906" s="49"/>
      <c r="C906" s="49"/>
      <c r="D906" s="49"/>
      <c r="E906" s="49"/>
      <c r="F906" s="49"/>
      <c r="G906" s="49"/>
      <c r="H906" s="49"/>
      <c r="I906" s="49"/>
      <c r="J906" s="49"/>
    </row>
    <row r="907">
      <c r="A907" s="49"/>
      <c r="B907" s="49"/>
      <c r="C907" s="49"/>
      <c r="D907" s="49"/>
      <c r="E907" s="49"/>
      <c r="F907" s="49"/>
      <c r="G907" s="49"/>
      <c r="H907" s="49"/>
      <c r="I907" s="49"/>
      <c r="J907" s="49"/>
    </row>
    <row r="908">
      <c r="A908" s="49"/>
      <c r="B908" s="49"/>
      <c r="C908" s="49"/>
      <c r="D908" s="49"/>
      <c r="E908" s="49"/>
      <c r="F908" s="49"/>
      <c r="G908" s="49"/>
      <c r="H908" s="49"/>
      <c r="I908" s="49"/>
      <c r="J908" s="49"/>
    </row>
    <row r="909">
      <c r="A909" s="49"/>
      <c r="B909" s="49"/>
      <c r="C909" s="49"/>
      <c r="D909" s="49"/>
      <c r="E909" s="49"/>
      <c r="F909" s="49"/>
      <c r="G909" s="49"/>
      <c r="H909" s="49"/>
      <c r="I909" s="49"/>
      <c r="J909" s="49"/>
    </row>
    <row r="910">
      <c r="A910" s="49"/>
      <c r="B910" s="49"/>
      <c r="C910" s="49"/>
      <c r="D910" s="49"/>
      <c r="E910" s="49"/>
      <c r="F910" s="49"/>
      <c r="G910" s="49"/>
      <c r="H910" s="49"/>
      <c r="I910" s="49"/>
      <c r="J910" s="49"/>
    </row>
    <row r="911">
      <c r="A911" s="49"/>
      <c r="B911" s="49"/>
      <c r="C911" s="49"/>
      <c r="D911" s="49"/>
      <c r="E911" s="49"/>
      <c r="F911" s="49"/>
      <c r="G911" s="49"/>
      <c r="H911" s="49"/>
      <c r="I911" s="49"/>
      <c r="J911" s="49"/>
    </row>
    <row r="912">
      <c r="A912" s="49"/>
      <c r="B912" s="49"/>
      <c r="C912" s="49"/>
      <c r="D912" s="49"/>
      <c r="E912" s="49"/>
      <c r="F912" s="49"/>
      <c r="G912" s="49"/>
      <c r="H912" s="49"/>
      <c r="I912" s="49"/>
      <c r="J912" s="49"/>
    </row>
    <row r="913">
      <c r="A913" s="49"/>
      <c r="B913" s="49"/>
      <c r="C913" s="49"/>
      <c r="D913" s="49"/>
      <c r="E913" s="49"/>
      <c r="F913" s="49"/>
      <c r="G913" s="49"/>
      <c r="H913" s="49"/>
      <c r="I913" s="49"/>
      <c r="J913" s="49"/>
    </row>
    <row r="914">
      <c r="A914" s="49"/>
      <c r="B914" s="49"/>
      <c r="C914" s="49"/>
      <c r="D914" s="49"/>
      <c r="E914" s="49"/>
      <c r="F914" s="49"/>
      <c r="G914" s="49"/>
      <c r="H914" s="49"/>
      <c r="I914" s="49"/>
      <c r="J914" s="49"/>
    </row>
    <row r="915">
      <c r="A915" s="49"/>
      <c r="B915" s="49"/>
      <c r="C915" s="49"/>
      <c r="D915" s="49"/>
      <c r="E915" s="49"/>
      <c r="F915" s="49"/>
      <c r="G915" s="49"/>
      <c r="H915" s="49"/>
      <c r="I915" s="49"/>
      <c r="J915" s="49"/>
    </row>
    <row r="916">
      <c r="A916" s="49"/>
      <c r="B916" s="49"/>
      <c r="C916" s="49"/>
      <c r="D916" s="49"/>
      <c r="E916" s="49"/>
      <c r="F916" s="49"/>
      <c r="G916" s="49"/>
      <c r="H916" s="49"/>
      <c r="I916" s="49"/>
      <c r="J916" s="49"/>
    </row>
    <row r="917">
      <c r="A917" s="49"/>
      <c r="B917" s="49"/>
      <c r="C917" s="49"/>
      <c r="D917" s="49"/>
      <c r="E917" s="49"/>
      <c r="F917" s="49"/>
      <c r="G917" s="49"/>
      <c r="H917" s="49"/>
      <c r="I917" s="49"/>
      <c r="J917" s="49"/>
    </row>
    <row r="918">
      <c r="A918" s="49"/>
      <c r="B918" s="49"/>
      <c r="C918" s="49"/>
      <c r="D918" s="49"/>
      <c r="E918" s="49"/>
      <c r="F918" s="49"/>
      <c r="G918" s="49"/>
      <c r="H918" s="49"/>
      <c r="I918" s="49"/>
      <c r="J918" s="49"/>
    </row>
    <row r="919">
      <c r="A919" s="49"/>
      <c r="B919" s="49"/>
      <c r="C919" s="49"/>
      <c r="D919" s="49"/>
      <c r="E919" s="49"/>
      <c r="F919" s="49"/>
      <c r="G919" s="49"/>
      <c r="H919" s="49"/>
      <c r="I919" s="49"/>
      <c r="J919" s="49"/>
    </row>
    <row r="920">
      <c r="A920" s="49"/>
      <c r="B920" s="49"/>
      <c r="C920" s="49"/>
      <c r="D920" s="49"/>
      <c r="E920" s="49"/>
      <c r="F920" s="49"/>
      <c r="G920" s="49"/>
      <c r="H920" s="49"/>
      <c r="I920" s="49"/>
      <c r="J920" s="49"/>
    </row>
    <row r="921">
      <c r="A921" s="49"/>
      <c r="B921" s="49"/>
      <c r="C921" s="49"/>
      <c r="D921" s="49"/>
      <c r="E921" s="49"/>
      <c r="F921" s="49"/>
      <c r="G921" s="49"/>
      <c r="H921" s="49"/>
      <c r="I921" s="49"/>
      <c r="J921" s="49"/>
    </row>
    <row r="922">
      <c r="A922" s="49"/>
      <c r="B922" s="49"/>
      <c r="C922" s="49"/>
      <c r="D922" s="49"/>
      <c r="E922" s="49"/>
      <c r="F922" s="49"/>
      <c r="G922" s="49"/>
      <c r="H922" s="49"/>
      <c r="I922" s="49"/>
      <c r="J922" s="49"/>
    </row>
    <row r="923">
      <c r="A923" s="49"/>
      <c r="B923" s="49"/>
      <c r="C923" s="49"/>
      <c r="D923" s="49"/>
      <c r="E923" s="49"/>
      <c r="F923" s="49"/>
      <c r="G923" s="49"/>
      <c r="H923" s="49"/>
      <c r="I923" s="49"/>
      <c r="J923" s="49"/>
    </row>
    <row r="924">
      <c r="A924" s="49"/>
      <c r="B924" s="49"/>
      <c r="C924" s="49"/>
      <c r="D924" s="49"/>
      <c r="E924" s="49"/>
      <c r="F924" s="49"/>
      <c r="G924" s="49"/>
      <c r="H924" s="49"/>
      <c r="I924" s="49"/>
      <c r="J924" s="49"/>
    </row>
    <row r="925">
      <c r="A925" s="49"/>
      <c r="B925" s="49"/>
      <c r="C925" s="49"/>
      <c r="D925" s="49"/>
      <c r="E925" s="49"/>
      <c r="F925" s="49"/>
      <c r="G925" s="49"/>
      <c r="H925" s="49"/>
      <c r="I925" s="49"/>
      <c r="J925" s="49"/>
    </row>
    <row r="926">
      <c r="A926" s="49"/>
      <c r="B926" s="49"/>
      <c r="C926" s="49"/>
      <c r="D926" s="49"/>
      <c r="E926" s="49"/>
      <c r="F926" s="49"/>
      <c r="G926" s="49"/>
      <c r="H926" s="49"/>
      <c r="I926" s="49"/>
      <c r="J926" s="49"/>
    </row>
    <row r="927">
      <c r="A927" s="49"/>
      <c r="B927" s="49"/>
      <c r="C927" s="49"/>
      <c r="D927" s="49"/>
      <c r="E927" s="49"/>
      <c r="F927" s="49"/>
      <c r="G927" s="49"/>
      <c r="H927" s="49"/>
      <c r="I927" s="49"/>
      <c r="J927" s="49"/>
    </row>
    <row r="928">
      <c r="A928" s="49"/>
      <c r="B928" s="49"/>
      <c r="C928" s="49"/>
      <c r="D928" s="49"/>
      <c r="E928" s="49"/>
      <c r="F928" s="49"/>
      <c r="G928" s="49"/>
      <c r="H928" s="49"/>
      <c r="I928" s="49"/>
      <c r="J928" s="49"/>
    </row>
    <row r="929">
      <c r="A929" s="49"/>
      <c r="B929" s="49"/>
      <c r="C929" s="49"/>
      <c r="D929" s="49"/>
      <c r="E929" s="49"/>
      <c r="F929" s="49"/>
      <c r="G929" s="49"/>
      <c r="H929" s="49"/>
      <c r="I929" s="49"/>
      <c r="J929" s="49"/>
    </row>
    <row r="930">
      <c r="A930" s="49"/>
      <c r="B930" s="49"/>
      <c r="C930" s="49"/>
      <c r="D930" s="49"/>
      <c r="E930" s="49"/>
      <c r="F930" s="49"/>
      <c r="G930" s="49"/>
      <c r="H930" s="49"/>
      <c r="I930" s="49"/>
      <c r="J930" s="49"/>
    </row>
    <row r="931">
      <c r="A931" s="49"/>
      <c r="B931" s="49"/>
      <c r="C931" s="49"/>
      <c r="D931" s="49"/>
      <c r="E931" s="49"/>
      <c r="F931" s="49"/>
      <c r="G931" s="49"/>
      <c r="H931" s="49"/>
      <c r="I931" s="49"/>
      <c r="J931" s="49"/>
    </row>
    <row r="932">
      <c r="A932" s="49"/>
      <c r="B932" s="49"/>
      <c r="C932" s="49"/>
      <c r="D932" s="49"/>
      <c r="E932" s="49"/>
      <c r="F932" s="49"/>
      <c r="G932" s="49"/>
      <c r="H932" s="49"/>
      <c r="I932" s="49"/>
      <c r="J932" s="49"/>
    </row>
    <row r="933">
      <c r="A933" s="49"/>
      <c r="B933" s="49"/>
      <c r="C933" s="49"/>
      <c r="D933" s="49"/>
      <c r="E933" s="49"/>
      <c r="F933" s="49"/>
      <c r="G933" s="49"/>
      <c r="H933" s="49"/>
      <c r="I933" s="49"/>
      <c r="J933" s="49"/>
    </row>
    <row r="934">
      <c r="A934" s="49"/>
      <c r="B934" s="49"/>
      <c r="C934" s="49"/>
      <c r="D934" s="49"/>
      <c r="E934" s="49"/>
      <c r="F934" s="49"/>
      <c r="G934" s="49"/>
      <c r="H934" s="49"/>
      <c r="I934" s="49"/>
      <c r="J934" s="49"/>
    </row>
    <row r="935">
      <c r="A935" s="49"/>
      <c r="B935" s="49"/>
      <c r="C935" s="49"/>
      <c r="D935" s="49"/>
      <c r="E935" s="49"/>
      <c r="F935" s="49"/>
      <c r="G935" s="49"/>
      <c r="H935" s="49"/>
      <c r="I935" s="49"/>
      <c r="J935" s="49"/>
    </row>
    <row r="936">
      <c r="A936" s="49"/>
      <c r="B936" s="49"/>
      <c r="C936" s="49"/>
      <c r="D936" s="49"/>
      <c r="E936" s="49"/>
      <c r="F936" s="49"/>
      <c r="G936" s="49"/>
      <c r="H936" s="49"/>
      <c r="I936" s="49"/>
      <c r="J936" s="49"/>
    </row>
    <row r="937">
      <c r="A937" s="49"/>
      <c r="B937" s="49"/>
      <c r="C937" s="49"/>
      <c r="D937" s="49"/>
      <c r="E937" s="49"/>
      <c r="F937" s="49"/>
      <c r="G937" s="49"/>
      <c r="H937" s="49"/>
      <c r="I937" s="49"/>
      <c r="J937" s="49"/>
    </row>
    <row r="938">
      <c r="A938" s="49"/>
      <c r="B938" s="49"/>
      <c r="C938" s="49"/>
      <c r="D938" s="49"/>
      <c r="E938" s="49"/>
      <c r="F938" s="49"/>
      <c r="G938" s="49"/>
      <c r="H938" s="49"/>
      <c r="I938" s="49"/>
      <c r="J938" s="49"/>
    </row>
    <row r="939">
      <c r="A939" s="49"/>
      <c r="B939" s="49"/>
      <c r="C939" s="49"/>
      <c r="D939" s="49"/>
      <c r="E939" s="49"/>
      <c r="F939" s="49"/>
      <c r="G939" s="49"/>
      <c r="H939" s="49"/>
      <c r="I939" s="49"/>
      <c r="J939" s="49"/>
    </row>
    <row r="940">
      <c r="A940" s="49"/>
      <c r="B940" s="49"/>
      <c r="C940" s="49"/>
      <c r="D940" s="49"/>
      <c r="E940" s="49"/>
      <c r="F940" s="49"/>
      <c r="G940" s="49"/>
      <c r="H940" s="49"/>
      <c r="I940" s="49"/>
      <c r="J940" s="49"/>
    </row>
    <row r="941">
      <c r="A941" s="49"/>
      <c r="B941" s="49"/>
      <c r="C941" s="49"/>
      <c r="D941" s="49"/>
      <c r="E941" s="49"/>
      <c r="F941" s="49"/>
      <c r="G941" s="49"/>
      <c r="H941" s="49"/>
      <c r="I941" s="49"/>
      <c r="J941" s="49"/>
    </row>
    <row r="942">
      <c r="A942" s="49"/>
      <c r="B942" s="49"/>
      <c r="C942" s="49"/>
      <c r="D942" s="49"/>
      <c r="E942" s="49"/>
      <c r="F942" s="49"/>
      <c r="G942" s="49"/>
      <c r="H942" s="49"/>
      <c r="I942" s="49"/>
      <c r="J942" s="49"/>
    </row>
    <row r="943">
      <c r="A943" s="49"/>
      <c r="B943" s="49"/>
      <c r="C943" s="49"/>
      <c r="D943" s="49"/>
      <c r="E943" s="49"/>
      <c r="F943" s="49"/>
      <c r="G943" s="49"/>
      <c r="H943" s="49"/>
      <c r="I943" s="49"/>
      <c r="J943" s="49"/>
    </row>
    <row r="944">
      <c r="A944" s="49"/>
      <c r="B944" s="49"/>
      <c r="C944" s="49"/>
      <c r="D944" s="49"/>
      <c r="E944" s="49"/>
      <c r="F944" s="49"/>
      <c r="G944" s="49"/>
      <c r="H944" s="49"/>
      <c r="I944" s="49"/>
      <c r="J944" s="49"/>
    </row>
    <row r="945">
      <c r="A945" s="49"/>
      <c r="B945" s="49"/>
      <c r="C945" s="49"/>
      <c r="D945" s="49"/>
      <c r="E945" s="49"/>
      <c r="F945" s="49"/>
      <c r="G945" s="49"/>
      <c r="H945" s="49"/>
      <c r="I945" s="49"/>
      <c r="J945" s="49"/>
    </row>
    <row r="946">
      <c r="A946" s="49"/>
      <c r="B946" s="49"/>
      <c r="C946" s="49"/>
      <c r="D946" s="49"/>
      <c r="E946" s="49"/>
      <c r="F946" s="49"/>
      <c r="G946" s="49"/>
      <c r="H946" s="49"/>
      <c r="I946" s="49"/>
      <c r="J946" s="49"/>
    </row>
    <row r="947">
      <c r="A947" s="49"/>
      <c r="B947" s="49"/>
      <c r="C947" s="49"/>
      <c r="D947" s="49"/>
      <c r="E947" s="49"/>
      <c r="F947" s="49"/>
      <c r="G947" s="49"/>
      <c r="H947" s="49"/>
      <c r="I947" s="49"/>
      <c r="J947" s="49"/>
    </row>
    <row r="948">
      <c r="A948" s="49"/>
      <c r="B948" s="49"/>
      <c r="C948" s="49"/>
      <c r="D948" s="49"/>
      <c r="E948" s="49"/>
      <c r="F948" s="49"/>
      <c r="G948" s="49"/>
      <c r="H948" s="49"/>
      <c r="I948" s="49"/>
      <c r="J948" s="49"/>
    </row>
    <row r="949">
      <c r="A949" s="49"/>
      <c r="B949" s="49"/>
      <c r="C949" s="49"/>
      <c r="D949" s="49"/>
      <c r="E949" s="49"/>
      <c r="F949" s="49"/>
      <c r="G949" s="49"/>
      <c r="H949" s="49"/>
      <c r="I949" s="49"/>
      <c r="J949" s="49"/>
    </row>
    <row r="950">
      <c r="A950" s="49"/>
      <c r="B950" s="49"/>
      <c r="C950" s="49"/>
      <c r="D950" s="49"/>
      <c r="E950" s="49"/>
      <c r="F950" s="49"/>
      <c r="G950" s="49"/>
      <c r="H950" s="49"/>
      <c r="I950" s="49"/>
      <c r="J950" s="49"/>
    </row>
    <row r="951">
      <c r="A951" s="49"/>
      <c r="B951" s="49"/>
      <c r="C951" s="49"/>
      <c r="D951" s="49"/>
      <c r="E951" s="49"/>
      <c r="F951" s="49"/>
      <c r="G951" s="49"/>
      <c r="H951" s="49"/>
      <c r="I951" s="49"/>
      <c r="J951" s="49"/>
    </row>
    <row r="952">
      <c r="A952" s="49"/>
      <c r="B952" s="49"/>
      <c r="C952" s="49"/>
      <c r="D952" s="49"/>
      <c r="E952" s="49"/>
      <c r="F952" s="49"/>
      <c r="G952" s="49"/>
      <c r="H952" s="49"/>
      <c r="I952" s="49"/>
      <c r="J952" s="49"/>
    </row>
    <row r="953">
      <c r="A953" s="49"/>
      <c r="B953" s="49"/>
      <c r="C953" s="49"/>
      <c r="D953" s="49"/>
      <c r="E953" s="49"/>
      <c r="F953" s="49"/>
      <c r="G953" s="49"/>
      <c r="H953" s="49"/>
      <c r="I953" s="49"/>
      <c r="J953" s="49"/>
    </row>
    <row r="954">
      <c r="A954" s="49"/>
      <c r="B954" s="49"/>
      <c r="C954" s="49"/>
      <c r="D954" s="49"/>
      <c r="E954" s="49"/>
      <c r="F954" s="49"/>
      <c r="G954" s="49"/>
      <c r="H954" s="49"/>
      <c r="I954" s="49"/>
      <c r="J954" s="49"/>
    </row>
    <row r="955">
      <c r="A955" s="49"/>
      <c r="B955" s="49"/>
      <c r="C955" s="49"/>
      <c r="D955" s="49"/>
      <c r="E955" s="49"/>
      <c r="F955" s="49"/>
      <c r="G955" s="49"/>
      <c r="H955" s="49"/>
      <c r="I955" s="49"/>
      <c r="J955" s="49"/>
    </row>
    <row r="956">
      <c r="A956" s="49"/>
      <c r="B956" s="49"/>
      <c r="C956" s="49"/>
      <c r="D956" s="49"/>
      <c r="E956" s="49"/>
      <c r="F956" s="49"/>
      <c r="G956" s="49"/>
      <c r="H956" s="49"/>
      <c r="I956" s="49"/>
      <c r="J956" s="49"/>
    </row>
    <row r="957">
      <c r="A957" s="49"/>
      <c r="B957" s="49"/>
      <c r="C957" s="49"/>
      <c r="D957" s="49"/>
      <c r="E957" s="49"/>
      <c r="F957" s="49"/>
      <c r="G957" s="49"/>
      <c r="H957" s="49"/>
      <c r="I957" s="49"/>
      <c r="J957" s="49"/>
    </row>
    <row r="958">
      <c r="A958" s="49"/>
      <c r="B958" s="49"/>
      <c r="C958" s="49"/>
      <c r="D958" s="49"/>
      <c r="E958" s="49"/>
      <c r="F958" s="49"/>
      <c r="G958" s="49"/>
      <c r="H958" s="49"/>
      <c r="I958" s="49"/>
      <c r="J958" s="49"/>
    </row>
    <row r="959">
      <c r="A959" s="49"/>
      <c r="B959" s="49"/>
      <c r="C959" s="49"/>
      <c r="D959" s="49"/>
      <c r="E959" s="49"/>
      <c r="F959" s="49"/>
      <c r="G959" s="49"/>
      <c r="H959" s="49"/>
      <c r="I959" s="49"/>
      <c r="J959" s="49"/>
    </row>
    <row r="960">
      <c r="A960" s="49"/>
      <c r="B960" s="49"/>
      <c r="C960" s="49"/>
      <c r="D960" s="49"/>
      <c r="E960" s="49"/>
      <c r="F960" s="49"/>
      <c r="G960" s="49"/>
      <c r="H960" s="49"/>
      <c r="I960" s="49"/>
      <c r="J960" s="49"/>
    </row>
    <row r="961">
      <c r="A961" s="49"/>
      <c r="B961" s="49"/>
      <c r="C961" s="49"/>
      <c r="D961" s="49"/>
      <c r="E961" s="49"/>
      <c r="F961" s="49"/>
      <c r="G961" s="49"/>
      <c r="H961" s="49"/>
      <c r="I961" s="49"/>
      <c r="J961" s="49"/>
    </row>
    <row r="962">
      <c r="A962" s="49"/>
      <c r="B962" s="49"/>
      <c r="C962" s="49"/>
      <c r="D962" s="49"/>
      <c r="E962" s="49"/>
      <c r="F962" s="49"/>
      <c r="G962" s="49"/>
      <c r="H962" s="49"/>
      <c r="I962" s="49"/>
      <c r="J962" s="49"/>
    </row>
    <row r="963">
      <c r="A963" s="49"/>
      <c r="B963" s="49"/>
      <c r="C963" s="49"/>
      <c r="D963" s="49"/>
      <c r="E963" s="49"/>
      <c r="F963" s="49"/>
      <c r="G963" s="49"/>
      <c r="H963" s="49"/>
      <c r="I963" s="49"/>
      <c r="J963" s="49"/>
    </row>
    <row r="964">
      <c r="A964" s="49"/>
      <c r="B964" s="49"/>
      <c r="C964" s="49"/>
      <c r="D964" s="49"/>
      <c r="E964" s="49"/>
      <c r="F964" s="49"/>
      <c r="G964" s="49"/>
      <c r="H964" s="49"/>
      <c r="I964" s="49"/>
      <c r="J964" s="49"/>
    </row>
    <row r="965">
      <c r="A965" s="49"/>
      <c r="B965" s="49"/>
      <c r="C965" s="49"/>
      <c r="D965" s="49"/>
      <c r="E965" s="49"/>
      <c r="F965" s="49"/>
      <c r="G965" s="49"/>
      <c r="H965" s="49"/>
      <c r="I965" s="49"/>
      <c r="J965" s="49"/>
    </row>
    <row r="966">
      <c r="A966" s="49"/>
      <c r="B966" s="49"/>
      <c r="C966" s="49"/>
      <c r="D966" s="49"/>
      <c r="E966" s="49"/>
      <c r="F966" s="49"/>
      <c r="G966" s="49"/>
      <c r="H966" s="49"/>
      <c r="I966" s="49"/>
      <c r="J966" s="49"/>
    </row>
    <row r="967">
      <c r="A967" s="49"/>
      <c r="B967" s="49"/>
      <c r="C967" s="49"/>
      <c r="D967" s="49"/>
      <c r="E967" s="49"/>
      <c r="F967" s="49"/>
      <c r="G967" s="49"/>
      <c r="H967" s="49"/>
      <c r="I967" s="49"/>
      <c r="J967" s="49"/>
    </row>
    <row r="968">
      <c r="A968" s="49"/>
      <c r="B968" s="49"/>
      <c r="C968" s="49"/>
      <c r="D968" s="49"/>
      <c r="E968" s="49"/>
      <c r="F968" s="49"/>
      <c r="G968" s="49"/>
      <c r="H968" s="49"/>
      <c r="I968" s="49"/>
      <c r="J968" s="49"/>
    </row>
    <row r="969">
      <c r="A969" s="49"/>
      <c r="B969" s="49"/>
      <c r="C969" s="49"/>
      <c r="D969" s="49"/>
      <c r="E969" s="49"/>
      <c r="F969" s="49"/>
      <c r="G969" s="49"/>
      <c r="H969" s="49"/>
      <c r="I969" s="49"/>
      <c r="J969" s="49"/>
    </row>
    <row r="970">
      <c r="A970" s="49"/>
      <c r="B970" s="49"/>
      <c r="C970" s="49"/>
      <c r="D970" s="49"/>
      <c r="E970" s="49"/>
      <c r="F970" s="49"/>
      <c r="G970" s="49"/>
      <c r="H970" s="49"/>
      <c r="I970" s="49"/>
      <c r="J970" s="49"/>
    </row>
    <row r="971">
      <c r="A971" s="49"/>
      <c r="B971" s="49"/>
      <c r="C971" s="49"/>
      <c r="D971" s="49"/>
      <c r="E971" s="49"/>
      <c r="F971" s="49"/>
      <c r="G971" s="49"/>
      <c r="H971" s="49"/>
      <c r="I971" s="49"/>
      <c r="J971" s="49"/>
    </row>
    <row r="972">
      <c r="A972" s="49"/>
      <c r="B972" s="49"/>
      <c r="C972" s="49"/>
      <c r="D972" s="49"/>
      <c r="E972" s="49"/>
      <c r="F972" s="49"/>
      <c r="G972" s="49"/>
      <c r="H972" s="49"/>
      <c r="I972" s="49"/>
      <c r="J972" s="49"/>
    </row>
    <row r="973">
      <c r="A973" s="49"/>
      <c r="B973" s="49"/>
      <c r="C973" s="49"/>
      <c r="D973" s="49"/>
      <c r="E973" s="49"/>
      <c r="F973" s="49"/>
      <c r="G973" s="49"/>
      <c r="H973" s="49"/>
      <c r="I973" s="49"/>
      <c r="J973" s="49"/>
    </row>
    <row r="974">
      <c r="A974" s="49"/>
      <c r="B974" s="49"/>
      <c r="C974" s="49"/>
      <c r="D974" s="49"/>
      <c r="E974" s="49"/>
      <c r="F974" s="49"/>
      <c r="G974" s="49"/>
      <c r="H974" s="49"/>
      <c r="I974" s="49"/>
      <c r="J974" s="49"/>
    </row>
    <row r="975">
      <c r="A975" s="49"/>
      <c r="B975" s="49"/>
      <c r="C975" s="49"/>
      <c r="D975" s="49"/>
      <c r="E975" s="49"/>
      <c r="F975" s="49"/>
      <c r="G975" s="49"/>
      <c r="H975" s="49"/>
      <c r="I975" s="49"/>
      <c r="J975" s="49"/>
    </row>
    <row r="976">
      <c r="A976" s="49"/>
      <c r="B976" s="49"/>
      <c r="C976" s="49"/>
      <c r="D976" s="49"/>
      <c r="E976" s="49"/>
      <c r="F976" s="49"/>
      <c r="G976" s="49"/>
      <c r="H976" s="49"/>
      <c r="I976" s="49"/>
      <c r="J976" s="49"/>
    </row>
    <row r="977">
      <c r="A977" s="49"/>
      <c r="B977" s="49"/>
      <c r="C977" s="49"/>
      <c r="D977" s="49"/>
      <c r="E977" s="49"/>
      <c r="F977" s="49"/>
      <c r="G977" s="49"/>
      <c r="H977" s="49"/>
      <c r="I977" s="49"/>
      <c r="J977" s="49"/>
    </row>
    <row r="978">
      <c r="A978" s="49"/>
      <c r="B978" s="49"/>
      <c r="C978" s="49"/>
      <c r="D978" s="49"/>
      <c r="E978" s="49"/>
      <c r="F978" s="49"/>
      <c r="G978" s="49"/>
      <c r="H978" s="49"/>
      <c r="I978" s="49"/>
      <c r="J978" s="49"/>
    </row>
    <row r="979">
      <c r="A979" s="49"/>
      <c r="B979" s="49"/>
      <c r="C979" s="49"/>
      <c r="D979" s="49"/>
      <c r="E979" s="49"/>
      <c r="F979" s="49"/>
      <c r="G979" s="49"/>
      <c r="H979" s="49"/>
      <c r="I979" s="49"/>
      <c r="J979" s="49"/>
    </row>
    <row r="980">
      <c r="A980" s="49"/>
      <c r="B980" s="49"/>
      <c r="C980" s="49"/>
      <c r="D980" s="49"/>
      <c r="E980" s="49"/>
      <c r="F980" s="49"/>
      <c r="G980" s="49"/>
      <c r="H980" s="49"/>
      <c r="I980" s="49"/>
      <c r="J980" s="49"/>
    </row>
    <row r="981">
      <c r="A981" s="49"/>
      <c r="B981" s="49"/>
      <c r="C981" s="49"/>
      <c r="D981" s="49"/>
      <c r="E981" s="49"/>
      <c r="F981" s="49"/>
      <c r="G981" s="49"/>
      <c r="H981" s="49"/>
      <c r="I981" s="49"/>
      <c r="J981" s="49"/>
    </row>
    <row r="982">
      <c r="A982" s="49"/>
      <c r="B982" s="49"/>
      <c r="C982" s="49"/>
      <c r="D982" s="49"/>
      <c r="E982" s="49"/>
      <c r="F982" s="49"/>
      <c r="G982" s="49"/>
      <c r="H982" s="49"/>
      <c r="I982" s="49"/>
      <c r="J982" s="49"/>
    </row>
    <row r="983">
      <c r="A983" s="49"/>
      <c r="B983" s="49"/>
      <c r="C983" s="49"/>
      <c r="D983" s="49"/>
      <c r="E983" s="49"/>
      <c r="F983" s="49"/>
      <c r="G983" s="49"/>
      <c r="H983" s="49"/>
      <c r="I983" s="49"/>
      <c r="J983" s="49"/>
    </row>
    <row r="984">
      <c r="A984" s="49"/>
      <c r="B984" s="49"/>
      <c r="C984" s="49"/>
      <c r="D984" s="49"/>
      <c r="E984" s="49"/>
      <c r="F984" s="49"/>
      <c r="G984" s="49"/>
      <c r="H984" s="49"/>
      <c r="I984" s="49"/>
      <c r="J984" s="49"/>
    </row>
    <row r="985">
      <c r="A985" s="49"/>
      <c r="B985" s="49"/>
      <c r="C985" s="49"/>
      <c r="D985" s="49"/>
      <c r="E985" s="49"/>
      <c r="F985" s="49"/>
      <c r="G985" s="49"/>
      <c r="H985" s="49"/>
      <c r="I985" s="49"/>
      <c r="J985" s="49"/>
    </row>
    <row r="986">
      <c r="A986" s="49"/>
      <c r="B986" s="49"/>
      <c r="C986" s="49"/>
      <c r="D986" s="49"/>
      <c r="E986" s="49"/>
      <c r="F986" s="49"/>
      <c r="G986" s="49"/>
      <c r="H986" s="49"/>
      <c r="I986" s="49"/>
      <c r="J986" s="49"/>
    </row>
    <row r="987">
      <c r="A987" s="49"/>
      <c r="B987" s="49"/>
      <c r="C987" s="49"/>
      <c r="D987" s="49"/>
      <c r="E987" s="49"/>
      <c r="F987" s="49"/>
      <c r="G987" s="49"/>
      <c r="H987" s="49"/>
      <c r="I987" s="49"/>
      <c r="J987" s="49"/>
    </row>
    <row r="988">
      <c r="A988" s="49"/>
      <c r="B988" s="49"/>
      <c r="C988" s="49"/>
      <c r="D988" s="49"/>
      <c r="E988" s="49"/>
      <c r="F988" s="49"/>
      <c r="G988" s="49"/>
      <c r="H988" s="49"/>
      <c r="I988" s="49"/>
      <c r="J988" s="49"/>
    </row>
    <row r="989">
      <c r="A989" s="49"/>
      <c r="B989" s="49"/>
      <c r="C989" s="49"/>
      <c r="D989" s="49"/>
      <c r="E989" s="49"/>
      <c r="F989" s="49"/>
      <c r="G989" s="49"/>
      <c r="H989" s="49"/>
      <c r="I989" s="49"/>
      <c r="J989" s="49"/>
    </row>
    <row r="990">
      <c r="A990" s="49"/>
      <c r="B990" s="49"/>
      <c r="C990" s="49"/>
      <c r="D990" s="49"/>
      <c r="E990" s="49"/>
      <c r="F990" s="49"/>
      <c r="G990" s="49"/>
      <c r="H990" s="49"/>
      <c r="I990" s="49"/>
      <c r="J990" s="49"/>
    </row>
    <row r="991">
      <c r="A991" s="49"/>
      <c r="B991" s="49"/>
      <c r="C991" s="49"/>
      <c r="D991" s="49"/>
      <c r="E991" s="49"/>
      <c r="F991" s="49"/>
      <c r="G991" s="49"/>
      <c r="H991" s="49"/>
      <c r="I991" s="49"/>
      <c r="J991" s="49"/>
    </row>
    <row r="992">
      <c r="A992" s="49"/>
      <c r="B992" s="49"/>
      <c r="C992" s="49"/>
      <c r="D992" s="49"/>
      <c r="E992" s="49"/>
      <c r="F992" s="49"/>
      <c r="G992" s="49"/>
      <c r="H992" s="49"/>
      <c r="I992" s="49"/>
      <c r="J992" s="49"/>
    </row>
    <row r="993">
      <c r="A993" s="49"/>
      <c r="B993" s="49"/>
      <c r="C993" s="49"/>
      <c r="D993" s="49"/>
      <c r="E993" s="49"/>
      <c r="F993" s="49"/>
      <c r="G993" s="49"/>
      <c r="H993" s="49"/>
      <c r="I993" s="49"/>
      <c r="J993" s="49"/>
    </row>
    <row r="994">
      <c r="A994" s="49"/>
      <c r="B994" s="49"/>
      <c r="C994" s="49"/>
      <c r="D994" s="49"/>
      <c r="E994" s="49"/>
      <c r="F994" s="49"/>
      <c r="G994" s="49"/>
      <c r="H994" s="49"/>
      <c r="I994" s="49"/>
      <c r="J994" s="49"/>
    </row>
    <row r="995">
      <c r="A995" s="49"/>
      <c r="B995" s="49"/>
      <c r="C995" s="49"/>
      <c r="D995" s="49"/>
      <c r="E995" s="49"/>
      <c r="F995" s="49"/>
      <c r="G995" s="49"/>
      <c r="H995" s="49"/>
      <c r="I995" s="49"/>
      <c r="J995" s="49"/>
    </row>
    <row r="996">
      <c r="A996" s="49"/>
      <c r="B996" s="49"/>
      <c r="C996" s="49"/>
      <c r="D996" s="49"/>
      <c r="E996" s="49"/>
      <c r="F996" s="49"/>
      <c r="G996" s="49"/>
      <c r="H996" s="49"/>
      <c r="I996" s="49"/>
      <c r="J996" s="49"/>
    </row>
    <row r="997">
      <c r="A997" s="49"/>
      <c r="B997" s="49"/>
      <c r="C997" s="49"/>
      <c r="D997" s="49"/>
      <c r="E997" s="49"/>
      <c r="F997" s="49"/>
      <c r="G997" s="49"/>
      <c r="H997" s="49"/>
      <c r="I997" s="49"/>
      <c r="J997" s="49"/>
    </row>
    <row r="998">
      <c r="A998" s="49"/>
      <c r="B998" s="49"/>
      <c r="C998" s="49"/>
      <c r="D998" s="49"/>
      <c r="E998" s="49"/>
      <c r="F998" s="49"/>
      <c r="G998" s="49"/>
      <c r="H998" s="49"/>
      <c r="I998" s="49"/>
      <c r="J998" s="49"/>
    </row>
    <row r="999">
      <c r="A999" s="49"/>
      <c r="B999" s="49"/>
      <c r="C999" s="49"/>
      <c r="D999" s="49"/>
      <c r="E999" s="49"/>
      <c r="F999" s="49"/>
      <c r="G999" s="49"/>
      <c r="H999" s="49"/>
      <c r="I999" s="49"/>
      <c r="J999" s="49"/>
    </row>
    <row r="1000">
      <c r="A1000" s="49"/>
      <c r="B1000" s="49"/>
      <c r="C1000" s="49"/>
      <c r="D1000" s="49"/>
      <c r="E1000" s="49"/>
      <c r="F1000" s="49"/>
      <c r="G1000" s="49"/>
      <c r="H1000" s="49"/>
      <c r="I1000" s="49"/>
      <c r="J1000" s="49"/>
    </row>
  </sheetData>
  <hyperlinks>
    <hyperlink r:id="rId1" ref="A1"/>
    <hyperlink r:id="rId2" ref="H2"/>
    <hyperlink r:id="rId3" ref="J2"/>
    <hyperlink r:id="rId4" ref="H3"/>
    <hyperlink r:id="rId5" ref="J3"/>
    <hyperlink r:id="rId6" ref="H5"/>
    <hyperlink r:id="rId7" ref="J5"/>
    <hyperlink r:id="rId8" ref="H6"/>
    <hyperlink r:id="rId9" ref="J6"/>
    <hyperlink r:id="rId10" ref="H7"/>
    <hyperlink r:id="rId11" ref="J7"/>
    <hyperlink r:id="rId12" ref="H8"/>
    <hyperlink r:id="rId13" ref="J8"/>
    <hyperlink r:id="rId14" ref="H9"/>
    <hyperlink r:id="rId15" ref="J9"/>
    <hyperlink r:id="rId16" ref="H14"/>
    <hyperlink r:id="rId17" ref="J14"/>
    <hyperlink r:id="rId18" ref="H17"/>
    <hyperlink r:id="rId19" ref="J17"/>
    <hyperlink r:id="rId20" ref="H21"/>
    <hyperlink r:id="rId21" ref="J21"/>
    <hyperlink r:id="rId22" ref="H22"/>
    <hyperlink r:id="rId23" ref="J22"/>
    <hyperlink r:id="rId24" ref="H23"/>
    <hyperlink r:id="rId25" ref="J23"/>
    <hyperlink r:id="rId26" ref="H24"/>
    <hyperlink r:id="rId27" ref="J24"/>
    <hyperlink r:id="rId28" ref="H25"/>
    <hyperlink r:id="rId29" ref="J25"/>
    <hyperlink r:id="rId30" ref="H26"/>
    <hyperlink r:id="rId31" ref="J26"/>
    <hyperlink r:id="rId32" ref="H27"/>
    <hyperlink r:id="rId33" ref="J27"/>
    <hyperlink r:id="rId34" ref="H28"/>
    <hyperlink r:id="rId35" ref="J28"/>
    <hyperlink r:id="rId36" ref="H29"/>
    <hyperlink r:id="rId37" ref="J29"/>
    <hyperlink r:id="rId38" ref="H30"/>
    <hyperlink r:id="rId39" ref="J31"/>
    <hyperlink r:id="rId40" ref="H32"/>
    <hyperlink r:id="rId41" ref="J32"/>
    <hyperlink r:id="rId42" ref="H33"/>
    <hyperlink r:id="rId43" ref="J33"/>
    <hyperlink r:id="rId44" ref="H34"/>
    <hyperlink r:id="rId45" ref="J34"/>
    <hyperlink r:id="rId46" ref="J35"/>
    <hyperlink r:id="rId47" ref="J37"/>
    <hyperlink r:id="rId48" ref="J38"/>
    <hyperlink r:id="rId49" ref="J40"/>
    <hyperlink r:id="rId50" ref="J41"/>
    <hyperlink r:id="rId51" ref="J42"/>
    <hyperlink r:id="rId52" ref="J43"/>
    <hyperlink r:id="rId53" ref="J44"/>
    <hyperlink r:id="rId54" ref="J45"/>
    <hyperlink r:id="rId55" ref="J46"/>
    <hyperlink r:id="rId56" ref="J47"/>
    <hyperlink r:id="rId57" ref="J49"/>
    <hyperlink r:id="rId58" ref="J50"/>
    <hyperlink r:id="rId59" ref="J51"/>
    <hyperlink r:id="rId60" ref="J52"/>
    <hyperlink r:id="rId61" ref="J53"/>
  </hyperlinks>
  <drawing r:id="rId6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75"/>
    <col customWidth="1" min="2" max="2" width="13.5"/>
    <col customWidth="1" min="3" max="3" width="32.13"/>
    <col customWidth="1" min="4" max="4" width="15.0"/>
    <col customWidth="1" min="6" max="6" width="23.88"/>
  </cols>
  <sheetData>
    <row r="1">
      <c r="A1" s="43" t="s">
        <v>1258</v>
      </c>
      <c r="B1" s="45" t="str">
        <f>IFERROR(__xludf.DUMMYFUNCTION("QUERY('Form Responses 1'!A:AAC, ""SELECT BW, BX, `BY`, BZ, CA, CB, CC WHERE C = 'Conference'"", 1)"),"Date")</f>
        <v>Date</v>
      </c>
      <c r="C1" s="45" t="str">
        <f>IFERROR(__xludf.DUMMYFUNCTION("""COMPUTED_VALUE"""),"Conference Name")</f>
        <v>Conference Name</v>
      </c>
      <c r="D1" s="45" t="str">
        <f>IFERROR(__xludf.DUMMYFUNCTION("""COMPUTED_VALUE"""),"Country")</f>
        <v>Country</v>
      </c>
      <c r="E1" s="45" t="str">
        <f>IFERROR(__xludf.DUMMYFUNCTION("""COMPUTED_VALUE"""),"Department ")</f>
        <v>Department </v>
      </c>
      <c r="F1" s="45" t="str">
        <f>IFERROR(__xludf.DUMMYFUNCTION("""COMPUTED_VALUE"""),"Event Summary")</f>
        <v>Event Summary</v>
      </c>
      <c r="G1" s="45" t="str">
        <f>IFERROR(__xludf.DUMMYFUNCTION("""COMPUTED_VALUE"""),"Campus")</f>
        <v>Campus</v>
      </c>
      <c r="H1" s="45" t="str">
        <f>IFERROR(__xludf.DUMMYFUNCTION("""COMPUTED_VALUE"""),"Conference -   Upload Zip FIle")</f>
        <v>Conference -   Upload Zip FIle</v>
      </c>
      <c r="I1" s="45"/>
      <c r="J1" s="46"/>
      <c r="K1" s="46"/>
      <c r="L1" s="46"/>
      <c r="M1" s="46"/>
      <c r="N1" s="46"/>
      <c r="O1" s="46"/>
      <c r="P1" s="46"/>
      <c r="Q1" s="46"/>
      <c r="R1" s="46"/>
      <c r="S1" s="46"/>
      <c r="T1" s="46"/>
      <c r="U1" s="46"/>
      <c r="V1" s="46"/>
      <c r="W1" s="46"/>
      <c r="X1" s="46"/>
      <c r="Y1" s="46"/>
      <c r="Z1" s="46"/>
      <c r="AA1" s="46"/>
    </row>
    <row r="2">
      <c r="A2" s="49"/>
      <c r="B2" s="53">
        <f>IFERROR(__xludf.DUMMYFUNCTION("""COMPUTED_VALUE"""),45098.0)</f>
        <v>45098</v>
      </c>
      <c r="C2" s="49" t="str">
        <f>IFERROR(__xludf.DUMMYFUNCTION("""COMPUTED_VALUE"""),"Srilanka Education Minister and delegates from Sri Lanka")</f>
        <v>Srilanka Education Minister and delegates from Sri Lanka</v>
      </c>
      <c r="D2" s="49" t="str">
        <f>IFERROR(__xludf.DUMMYFUNCTION("""COMPUTED_VALUE"""),"Sri Lanka")</f>
        <v>Sri Lanka</v>
      </c>
      <c r="E2" s="49" t="str">
        <f>IFERROR(__xludf.DUMMYFUNCTION("""COMPUTED_VALUE"""),"International Affairs ")</f>
        <v>International Affairs </v>
      </c>
      <c r="F2" s="49" t="str">
        <f>IFERROR(__xludf.DUMMYFUNCTION("""COMPUTED_VALUE"""),"International Delegates from Srilanka,Bangladesh, Bhutan")</f>
        <v>International Delegates from Srilanka,Bangladesh, Bhutan</v>
      </c>
      <c r="G2" s="49" t="str">
        <f>IFERROR(__xludf.DUMMYFUNCTION("""COMPUTED_VALUE"""),"Harohalli")</f>
        <v>Harohalli</v>
      </c>
      <c r="H2" s="50" t="str">
        <f>IFERROR(__xludf.DUMMYFUNCTION("""COMPUTED_VALUE"""),"https://drive.google.com/open?id=1TjJ8wzPR-92w96a56yMNc5eaSsddtucf")</f>
        <v>https://drive.google.com/open?id=1TjJ8wzPR-92w96a56yMNc5eaSsddtucf</v>
      </c>
      <c r="I2" s="49"/>
    </row>
    <row r="3">
      <c r="A3" s="49"/>
      <c r="B3" s="53">
        <f>IFERROR(__xludf.DUMMYFUNCTION("""COMPUTED_VALUE"""),45524.0)</f>
        <v>45524</v>
      </c>
      <c r="C3" s="49" t="str">
        <f>IFERROR(__xludf.DUMMYFUNCTION("""COMPUTED_VALUE"""),"Srilanka Education Minister from Sri Lanka")</f>
        <v>Srilanka Education Minister from Sri Lanka</v>
      </c>
      <c r="D3" s="49" t="str">
        <f>IFERROR(__xludf.DUMMYFUNCTION("""COMPUTED_VALUE"""),"Sri Lanka")</f>
        <v>Sri Lanka</v>
      </c>
      <c r="E3" s="49" t="str">
        <f>IFERROR(__xludf.DUMMYFUNCTION("""COMPUTED_VALUE"""),"International Affairs ")</f>
        <v>International Affairs </v>
      </c>
      <c r="F3" s="49" t="str">
        <f>IFERROR(__xludf.DUMMYFUNCTION("""COMPUTED_VALUE"""),"Srilankan delegates")</f>
        <v>Srilankan delegates</v>
      </c>
      <c r="G3" s="49" t="str">
        <f>IFERROR(__xludf.DUMMYFUNCTION("""COMPUTED_VALUE"""),"Harohalli")</f>
        <v>Harohalli</v>
      </c>
      <c r="H3" s="50" t="str">
        <f>IFERROR(__xludf.DUMMYFUNCTION("""COMPUTED_VALUE"""),"https://drive.google.com/open?id=1P9bqDxi0oOtdtx2ApCLS94v5LHrcp8rc")</f>
        <v>https://drive.google.com/open?id=1P9bqDxi0oOtdtx2ApCLS94v5LHrcp8rc</v>
      </c>
      <c r="I3" s="49"/>
    </row>
    <row r="4">
      <c r="A4" s="49"/>
      <c r="B4" s="53">
        <f>IFERROR(__xludf.DUMMYFUNCTION("""COMPUTED_VALUE"""),45735.0)</f>
        <v>45735</v>
      </c>
      <c r="C4" s="49" t="str">
        <f>IFERROR(__xludf.DUMMYFUNCTION("""COMPUTED_VALUE"""),"International Conference (Cormack)/Campus visit")</f>
        <v>International Conference (Cormack)/Campus visit</v>
      </c>
      <c r="D4" s="49" t="str">
        <f>IFERROR(__xludf.DUMMYFUNCTION("""COMPUTED_VALUE"""),"UK")</f>
        <v>UK</v>
      </c>
      <c r="E4" s="49" t="str">
        <f>IFERROR(__xludf.DUMMYFUNCTION("""COMPUTED_VALUE"""),"International Affairs ")</f>
        <v>International Affairs </v>
      </c>
      <c r="F4" s="49" t="str">
        <f>IFERROR(__xludf.DUMMYFUNCTION("""COMPUTED_VALUE"""),"Dr. Nick Slade, PVC, University of Worcester")</f>
        <v>Dr. Nick Slade, PVC, University of Worcester</v>
      </c>
      <c r="G4" s="49" t="str">
        <f>IFERROR(__xludf.DUMMYFUNCTION("""COMPUTED_VALUE"""),"Harohalli")</f>
        <v>Harohalli</v>
      </c>
      <c r="H4" s="50" t="str">
        <f>IFERROR(__xludf.DUMMYFUNCTION("""COMPUTED_VALUE"""),"https://drive.google.com/open?id=1iyDl8Bdq53S_L_rfqLR3XSrS3fbjxLjI")</f>
        <v>https://drive.google.com/open?id=1iyDl8Bdq53S_L_rfqLR3XSrS3fbjxLjI</v>
      </c>
      <c r="I4" s="49"/>
    </row>
    <row r="5">
      <c r="A5" s="49"/>
      <c r="B5" s="53">
        <f>IFERROR(__xludf.DUMMYFUNCTION("""COMPUTED_VALUE"""),46371.0)</f>
        <v>46371</v>
      </c>
      <c r="C5" s="49" t="str">
        <f>IFERROR(__xludf.DUMMYFUNCTION("""COMPUTED_VALUE"""),"Sri Lankan Conference 2025")</f>
        <v>Sri Lankan Conference 2025</v>
      </c>
      <c r="D5" s="49" t="str">
        <f>IFERROR(__xludf.DUMMYFUNCTION("""COMPUTED_VALUE"""),"Sri Lanka")</f>
        <v>Sri Lanka</v>
      </c>
      <c r="E5" s="49" t="str">
        <f>IFERROR(__xludf.DUMMYFUNCTION("""COMPUTED_VALUE"""),"International Affairs ")</f>
        <v>International Affairs </v>
      </c>
      <c r="F5" s="49" t="str">
        <f>IFERROR(__xludf.DUMMYFUNCTION("""COMPUTED_VALUE"""),"This Two-day international conference was organized by Dayananda Sagar University in collaboration with the International Association for Quality Education (IAFQE) and the Ministry of Education, Uva Province, Sri Lanka. It brought together educators, poli"&amp;"cymakers, school leaders, researchers, and delegates from Sri Lanka and other countries to share insights on enhancing the quality of education.")</f>
        <v>This Two-day international conference was organized by Dayananda Sagar University in collaboration with the International Association for Quality Education (IAFQE) and the Ministry of Education, Uva Province, Sri Lanka. It brought together educators, policymakers, school leaders, researchers, and delegates from Sri Lanka and other countries to share insights on enhancing the quality of education.</v>
      </c>
      <c r="G5" s="49" t="str">
        <f>IFERROR(__xludf.DUMMYFUNCTION("""COMPUTED_VALUE"""),"Harohalli")</f>
        <v>Harohalli</v>
      </c>
      <c r="H5" s="50" t="str">
        <f>IFERROR(__xludf.DUMMYFUNCTION("""COMPUTED_VALUE"""),"https://drive.google.com/open?id=1rCy-d4Bzx8Kj3ZnLuOf_KFAECVP6ttA4")</f>
        <v>https://drive.google.com/open?id=1rCy-d4Bzx8Kj3ZnLuOf_KFAECVP6ttA4</v>
      </c>
      <c r="I5" s="49"/>
    </row>
    <row r="6">
      <c r="A6" s="49"/>
      <c r="B6" s="49"/>
      <c r="C6" s="49"/>
      <c r="D6" s="49"/>
      <c r="E6" s="49"/>
      <c r="F6" s="49"/>
      <c r="G6" s="49"/>
      <c r="H6" s="49"/>
      <c r="I6" s="49"/>
    </row>
    <row r="7">
      <c r="A7" s="49"/>
      <c r="B7" s="49"/>
      <c r="C7" s="49"/>
      <c r="D7" s="49"/>
      <c r="E7" s="49"/>
      <c r="F7" s="49"/>
      <c r="G7" s="49"/>
      <c r="H7" s="49"/>
      <c r="I7" s="49"/>
    </row>
    <row r="8">
      <c r="A8" s="49"/>
      <c r="B8" s="49"/>
      <c r="C8" s="49"/>
      <c r="D8" s="49"/>
      <c r="E8" s="49"/>
      <c r="F8" s="49"/>
      <c r="G8" s="49"/>
      <c r="H8" s="49"/>
      <c r="I8" s="49"/>
    </row>
    <row r="9">
      <c r="A9" s="49"/>
      <c r="B9" s="49"/>
      <c r="C9" s="49"/>
      <c r="D9" s="49"/>
      <c r="E9" s="49"/>
      <c r="F9" s="49"/>
      <c r="G9" s="49"/>
      <c r="H9" s="49"/>
      <c r="I9" s="49"/>
    </row>
    <row r="10">
      <c r="A10" s="49"/>
      <c r="B10" s="49"/>
      <c r="C10" s="49"/>
      <c r="D10" s="49"/>
      <c r="E10" s="49"/>
      <c r="F10" s="49"/>
      <c r="G10" s="49"/>
      <c r="H10" s="49"/>
      <c r="I10" s="49"/>
    </row>
    <row r="11">
      <c r="A11" s="49"/>
      <c r="B11" s="49"/>
      <c r="C11" s="49"/>
      <c r="D11" s="49"/>
      <c r="E11" s="49"/>
      <c r="F11" s="49"/>
      <c r="G11" s="49"/>
      <c r="H11" s="49"/>
      <c r="I11" s="49"/>
    </row>
    <row r="12">
      <c r="A12" s="49"/>
      <c r="B12" s="49"/>
      <c r="C12" s="49"/>
      <c r="D12" s="49"/>
      <c r="E12" s="49"/>
      <c r="F12" s="49"/>
      <c r="G12" s="49"/>
      <c r="H12" s="49"/>
      <c r="I12" s="49"/>
    </row>
    <row r="13">
      <c r="A13" s="49"/>
      <c r="B13" s="49"/>
      <c r="C13" s="49"/>
      <c r="D13" s="49"/>
      <c r="E13" s="49"/>
      <c r="F13" s="49"/>
      <c r="G13" s="49"/>
      <c r="H13" s="49"/>
      <c r="I13" s="49"/>
    </row>
    <row r="14">
      <c r="A14" s="49"/>
      <c r="B14" s="49"/>
      <c r="C14" s="49"/>
      <c r="D14" s="49"/>
      <c r="E14" s="49"/>
      <c r="F14" s="49"/>
      <c r="G14" s="49"/>
      <c r="H14" s="49"/>
      <c r="I14" s="49"/>
    </row>
    <row r="15">
      <c r="A15" s="49"/>
      <c r="B15" s="49"/>
      <c r="C15" s="49"/>
      <c r="D15" s="49"/>
      <c r="E15" s="49"/>
      <c r="F15" s="49"/>
      <c r="G15" s="49"/>
      <c r="H15" s="49"/>
      <c r="I15" s="49"/>
    </row>
    <row r="16">
      <c r="A16" s="49"/>
      <c r="B16" s="49"/>
      <c r="C16" s="49"/>
      <c r="D16" s="49"/>
      <c r="E16" s="49"/>
      <c r="F16" s="49"/>
      <c r="G16" s="49"/>
      <c r="H16" s="49"/>
      <c r="I16" s="49"/>
    </row>
    <row r="17">
      <c r="A17" s="49"/>
      <c r="B17" s="49"/>
      <c r="C17" s="49"/>
      <c r="D17" s="49"/>
      <c r="E17" s="49"/>
      <c r="F17" s="49"/>
      <c r="G17" s="49"/>
      <c r="H17" s="49"/>
      <c r="I17" s="49"/>
    </row>
    <row r="18">
      <c r="A18" s="49"/>
      <c r="B18" s="49"/>
      <c r="C18" s="49"/>
      <c r="D18" s="49"/>
      <c r="E18" s="49"/>
      <c r="F18" s="49"/>
      <c r="G18" s="49"/>
      <c r="H18" s="49"/>
      <c r="I18" s="49"/>
    </row>
    <row r="19">
      <c r="A19" s="49"/>
      <c r="B19" s="49"/>
      <c r="C19" s="49"/>
      <c r="D19" s="49"/>
      <c r="E19" s="49"/>
      <c r="F19" s="49"/>
      <c r="G19" s="49"/>
      <c r="H19" s="49"/>
      <c r="I19" s="49"/>
    </row>
    <row r="20">
      <c r="A20" s="49"/>
      <c r="B20" s="49"/>
      <c r="C20" s="49"/>
      <c r="D20" s="49"/>
      <c r="E20" s="49"/>
      <c r="F20" s="49"/>
      <c r="G20" s="49"/>
      <c r="H20" s="49"/>
      <c r="I20" s="49"/>
    </row>
    <row r="21">
      <c r="A21" s="49"/>
      <c r="B21" s="49"/>
      <c r="C21" s="49"/>
      <c r="D21" s="49"/>
      <c r="E21" s="49"/>
      <c r="F21" s="49"/>
      <c r="G21" s="49"/>
      <c r="H21" s="49"/>
      <c r="I21" s="49"/>
    </row>
    <row r="22">
      <c r="A22" s="49"/>
      <c r="B22" s="49"/>
      <c r="C22" s="49"/>
      <c r="D22" s="49"/>
      <c r="E22" s="49"/>
      <c r="F22" s="49"/>
      <c r="G22" s="49"/>
      <c r="H22" s="49"/>
      <c r="I22" s="49"/>
    </row>
    <row r="23">
      <c r="A23" s="49"/>
      <c r="B23" s="49"/>
      <c r="C23" s="49"/>
      <c r="D23" s="49"/>
      <c r="E23" s="49"/>
      <c r="F23" s="49"/>
      <c r="G23" s="49"/>
      <c r="H23" s="49"/>
      <c r="I23" s="49"/>
    </row>
    <row r="24">
      <c r="A24" s="49"/>
      <c r="B24" s="49"/>
      <c r="C24" s="49"/>
      <c r="D24" s="49"/>
      <c r="E24" s="49"/>
      <c r="F24" s="49"/>
      <c r="G24" s="49"/>
      <c r="H24" s="49"/>
      <c r="I24" s="49"/>
    </row>
    <row r="25">
      <c r="A25" s="49"/>
      <c r="B25" s="49"/>
      <c r="C25" s="49"/>
      <c r="D25" s="49"/>
      <c r="E25" s="49"/>
      <c r="F25" s="49"/>
      <c r="G25" s="49"/>
      <c r="H25" s="49"/>
      <c r="I25" s="49"/>
    </row>
    <row r="26">
      <c r="A26" s="49"/>
      <c r="B26" s="49"/>
      <c r="C26" s="49"/>
      <c r="D26" s="49"/>
      <c r="E26" s="49"/>
      <c r="F26" s="49"/>
      <c r="G26" s="49"/>
      <c r="H26" s="49"/>
      <c r="I26" s="49"/>
    </row>
    <row r="27">
      <c r="A27" s="49"/>
      <c r="B27" s="49"/>
      <c r="C27" s="49"/>
      <c r="D27" s="49"/>
      <c r="E27" s="49"/>
      <c r="F27" s="49"/>
      <c r="G27" s="49"/>
      <c r="H27" s="49"/>
      <c r="I27" s="49"/>
    </row>
    <row r="28">
      <c r="A28" s="49"/>
      <c r="B28" s="49"/>
      <c r="C28" s="49"/>
      <c r="D28" s="49"/>
      <c r="E28" s="49"/>
      <c r="F28" s="49"/>
      <c r="G28" s="49"/>
      <c r="H28" s="49"/>
      <c r="I28" s="49"/>
    </row>
    <row r="29">
      <c r="A29" s="49"/>
      <c r="B29" s="49"/>
      <c r="C29" s="49"/>
      <c r="D29" s="49"/>
      <c r="E29" s="49"/>
      <c r="F29" s="49"/>
      <c r="G29" s="49"/>
      <c r="H29" s="49"/>
      <c r="I29" s="49"/>
    </row>
    <row r="30">
      <c r="A30" s="49"/>
      <c r="B30" s="49"/>
      <c r="C30" s="49"/>
      <c r="D30" s="49"/>
      <c r="E30" s="49"/>
      <c r="F30" s="49"/>
      <c r="G30" s="49"/>
      <c r="H30" s="49"/>
      <c r="I30" s="49"/>
    </row>
    <row r="31">
      <c r="A31" s="49"/>
      <c r="B31" s="49"/>
      <c r="C31" s="49"/>
      <c r="D31" s="49"/>
      <c r="E31" s="49"/>
      <c r="F31" s="49"/>
      <c r="G31" s="49"/>
      <c r="H31" s="49"/>
      <c r="I31" s="49"/>
    </row>
    <row r="32">
      <c r="A32" s="49"/>
      <c r="B32" s="49"/>
      <c r="C32" s="49"/>
      <c r="D32" s="49"/>
      <c r="E32" s="49"/>
      <c r="F32" s="49"/>
      <c r="G32" s="49"/>
      <c r="H32" s="49"/>
      <c r="I32" s="49"/>
    </row>
    <row r="33">
      <c r="A33" s="49"/>
      <c r="B33" s="49"/>
      <c r="C33" s="49"/>
      <c r="D33" s="49"/>
      <c r="E33" s="49"/>
      <c r="F33" s="49"/>
      <c r="G33" s="49"/>
      <c r="H33" s="49"/>
      <c r="I33" s="49"/>
    </row>
    <row r="34">
      <c r="A34" s="49"/>
      <c r="B34" s="49"/>
      <c r="C34" s="49"/>
      <c r="D34" s="49"/>
      <c r="E34" s="49"/>
      <c r="F34" s="49"/>
      <c r="G34" s="49"/>
      <c r="H34" s="49"/>
      <c r="I34" s="49"/>
    </row>
    <row r="35">
      <c r="A35" s="49"/>
      <c r="B35" s="49"/>
      <c r="C35" s="49"/>
      <c r="D35" s="49"/>
      <c r="E35" s="49"/>
      <c r="F35" s="49"/>
      <c r="G35" s="49"/>
      <c r="H35" s="49"/>
      <c r="I35" s="49"/>
    </row>
    <row r="36">
      <c r="A36" s="49"/>
      <c r="B36" s="49"/>
      <c r="C36" s="49"/>
      <c r="D36" s="49"/>
      <c r="E36" s="49"/>
      <c r="F36" s="49"/>
      <c r="G36" s="49"/>
      <c r="H36" s="49"/>
      <c r="I36" s="49"/>
    </row>
    <row r="37">
      <c r="A37" s="49"/>
      <c r="B37" s="49"/>
      <c r="C37" s="49"/>
      <c r="D37" s="49"/>
      <c r="E37" s="49"/>
      <c r="F37" s="49"/>
      <c r="G37" s="49"/>
      <c r="H37" s="49"/>
      <c r="I37" s="49"/>
    </row>
    <row r="38">
      <c r="A38" s="49"/>
      <c r="B38" s="49"/>
      <c r="C38" s="49"/>
      <c r="D38" s="49"/>
      <c r="E38" s="49"/>
      <c r="F38" s="49"/>
      <c r="G38" s="49"/>
      <c r="H38" s="49"/>
      <c r="I38" s="49"/>
    </row>
    <row r="39">
      <c r="A39" s="49"/>
      <c r="B39" s="49"/>
      <c r="C39" s="49"/>
      <c r="D39" s="49"/>
      <c r="E39" s="49"/>
      <c r="F39" s="49"/>
      <c r="G39" s="49"/>
      <c r="H39" s="49"/>
      <c r="I39" s="49"/>
    </row>
    <row r="40">
      <c r="A40" s="49"/>
      <c r="B40" s="49"/>
      <c r="C40" s="49"/>
      <c r="D40" s="49"/>
      <c r="E40" s="49"/>
      <c r="F40" s="49"/>
      <c r="G40" s="49"/>
      <c r="H40" s="49"/>
      <c r="I40" s="49"/>
    </row>
    <row r="41">
      <c r="A41" s="49"/>
      <c r="B41" s="49"/>
      <c r="C41" s="49"/>
      <c r="D41" s="49"/>
      <c r="E41" s="49"/>
      <c r="F41" s="49"/>
      <c r="G41" s="49"/>
      <c r="H41" s="49"/>
      <c r="I41" s="49"/>
    </row>
    <row r="42">
      <c r="A42" s="49"/>
      <c r="B42" s="49"/>
      <c r="C42" s="49"/>
      <c r="D42" s="49"/>
      <c r="E42" s="49"/>
      <c r="F42" s="49"/>
      <c r="G42" s="49"/>
      <c r="H42" s="49"/>
      <c r="I42" s="49"/>
    </row>
    <row r="43">
      <c r="A43" s="49"/>
      <c r="B43" s="49"/>
      <c r="C43" s="49"/>
      <c r="D43" s="49"/>
      <c r="E43" s="49"/>
      <c r="F43" s="49"/>
      <c r="G43" s="49"/>
      <c r="H43" s="49"/>
      <c r="I43" s="49"/>
    </row>
    <row r="44">
      <c r="A44" s="49"/>
      <c r="B44" s="49"/>
      <c r="C44" s="49"/>
      <c r="D44" s="49"/>
      <c r="E44" s="49"/>
      <c r="F44" s="49"/>
      <c r="G44" s="49"/>
      <c r="H44" s="49"/>
      <c r="I44" s="49"/>
    </row>
    <row r="45">
      <c r="A45" s="49"/>
      <c r="B45" s="49"/>
      <c r="C45" s="49"/>
      <c r="D45" s="49"/>
      <c r="E45" s="49"/>
      <c r="F45" s="49"/>
      <c r="G45" s="49"/>
      <c r="H45" s="49"/>
      <c r="I45" s="49"/>
    </row>
    <row r="46">
      <c r="A46" s="49"/>
      <c r="B46" s="49"/>
      <c r="C46" s="49"/>
      <c r="D46" s="49"/>
      <c r="E46" s="49"/>
      <c r="F46" s="49"/>
      <c r="G46" s="49"/>
      <c r="H46" s="49"/>
      <c r="I46" s="49"/>
    </row>
    <row r="47">
      <c r="A47" s="49"/>
      <c r="B47" s="49"/>
      <c r="C47" s="49"/>
      <c r="D47" s="49"/>
      <c r="E47" s="49"/>
      <c r="F47" s="49"/>
      <c r="G47" s="49"/>
      <c r="H47" s="49"/>
      <c r="I47" s="49"/>
    </row>
    <row r="48">
      <c r="A48" s="49"/>
      <c r="B48" s="49"/>
      <c r="C48" s="49"/>
      <c r="D48" s="49"/>
      <c r="E48" s="49"/>
      <c r="F48" s="49"/>
      <c r="G48" s="49"/>
      <c r="H48" s="49"/>
      <c r="I48" s="49"/>
    </row>
    <row r="49">
      <c r="A49" s="49"/>
      <c r="B49" s="49"/>
      <c r="C49" s="49"/>
      <c r="D49" s="49"/>
      <c r="E49" s="49"/>
      <c r="F49" s="49"/>
      <c r="G49" s="49"/>
      <c r="H49" s="49"/>
      <c r="I49" s="49"/>
    </row>
    <row r="50">
      <c r="A50" s="49"/>
      <c r="B50" s="49"/>
      <c r="C50" s="49"/>
      <c r="D50" s="49"/>
      <c r="E50" s="49"/>
      <c r="F50" s="49"/>
      <c r="G50" s="49"/>
      <c r="H50" s="49"/>
      <c r="I50" s="49"/>
    </row>
    <row r="51">
      <c r="A51" s="49"/>
      <c r="B51" s="49"/>
      <c r="C51" s="49"/>
      <c r="D51" s="49"/>
      <c r="E51" s="49"/>
      <c r="F51" s="49"/>
      <c r="G51" s="49"/>
      <c r="H51" s="49"/>
      <c r="I51" s="49"/>
    </row>
    <row r="52">
      <c r="A52" s="49"/>
      <c r="B52" s="49"/>
      <c r="C52" s="49"/>
      <c r="D52" s="49"/>
      <c r="E52" s="49"/>
      <c r="F52" s="49"/>
      <c r="G52" s="49"/>
      <c r="H52" s="49"/>
      <c r="I52" s="49"/>
    </row>
    <row r="53">
      <c r="A53" s="49"/>
      <c r="B53" s="49"/>
      <c r="C53" s="49"/>
      <c r="D53" s="49"/>
      <c r="E53" s="49"/>
      <c r="F53" s="49"/>
      <c r="G53" s="49"/>
      <c r="H53" s="49"/>
      <c r="I53" s="49"/>
    </row>
    <row r="54">
      <c r="A54" s="49"/>
      <c r="B54" s="49"/>
      <c r="C54" s="49"/>
      <c r="D54" s="49"/>
      <c r="E54" s="49"/>
      <c r="F54" s="49"/>
      <c r="G54" s="49"/>
      <c r="H54" s="49"/>
      <c r="I54" s="49"/>
    </row>
    <row r="55">
      <c r="A55" s="49"/>
      <c r="B55" s="49"/>
      <c r="C55" s="49"/>
      <c r="D55" s="49"/>
      <c r="E55" s="49"/>
      <c r="F55" s="49"/>
      <c r="G55" s="49"/>
      <c r="H55" s="49"/>
      <c r="I55" s="49"/>
    </row>
    <row r="56">
      <c r="A56" s="49"/>
      <c r="B56" s="49"/>
      <c r="C56" s="49"/>
      <c r="D56" s="49"/>
      <c r="E56" s="49"/>
      <c r="F56" s="49"/>
      <c r="G56" s="49"/>
      <c r="H56" s="49"/>
      <c r="I56" s="49"/>
    </row>
    <row r="57">
      <c r="A57" s="49"/>
      <c r="B57" s="49"/>
      <c r="C57" s="49"/>
      <c r="D57" s="49"/>
      <c r="E57" s="49"/>
      <c r="F57" s="49"/>
      <c r="G57" s="49"/>
      <c r="H57" s="49"/>
      <c r="I57" s="49"/>
    </row>
    <row r="58">
      <c r="A58" s="49"/>
      <c r="B58" s="49"/>
      <c r="C58" s="49"/>
      <c r="D58" s="49"/>
      <c r="E58" s="49"/>
      <c r="F58" s="49"/>
      <c r="G58" s="49"/>
      <c r="H58" s="49"/>
      <c r="I58" s="49"/>
    </row>
    <row r="59">
      <c r="A59" s="49"/>
      <c r="B59" s="49"/>
      <c r="C59" s="49"/>
      <c r="D59" s="49"/>
      <c r="E59" s="49"/>
      <c r="F59" s="49"/>
      <c r="G59" s="49"/>
      <c r="H59" s="49"/>
      <c r="I59" s="49"/>
    </row>
    <row r="60">
      <c r="A60" s="49"/>
      <c r="B60" s="49"/>
      <c r="C60" s="49"/>
      <c r="D60" s="49"/>
      <c r="E60" s="49"/>
      <c r="F60" s="49"/>
      <c r="G60" s="49"/>
      <c r="H60" s="49"/>
      <c r="I60" s="49"/>
    </row>
    <row r="61">
      <c r="A61" s="49"/>
      <c r="B61" s="49"/>
      <c r="C61" s="49"/>
      <c r="D61" s="49"/>
      <c r="E61" s="49"/>
      <c r="F61" s="49"/>
      <c r="G61" s="49"/>
      <c r="H61" s="49"/>
      <c r="I61" s="49"/>
    </row>
    <row r="62">
      <c r="A62" s="49"/>
      <c r="B62" s="49"/>
      <c r="C62" s="49"/>
      <c r="D62" s="49"/>
      <c r="E62" s="49"/>
      <c r="F62" s="49"/>
      <c r="G62" s="49"/>
      <c r="H62" s="49"/>
      <c r="I62" s="49"/>
    </row>
    <row r="63">
      <c r="A63" s="49"/>
      <c r="B63" s="49"/>
      <c r="C63" s="49"/>
      <c r="D63" s="49"/>
      <c r="E63" s="49"/>
      <c r="F63" s="49"/>
      <c r="G63" s="49"/>
      <c r="H63" s="49"/>
      <c r="I63" s="49"/>
    </row>
    <row r="64">
      <c r="A64" s="49"/>
      <c r="B64" s="49"/>
      <c r="C64" s="49"/>
      <c r="D64" s="49"/>
      <c r="E64" s="49"/>
      <c r="F64" s="49"/>
      <c r="G64" s="49"/>
      <c r="H64" s="49"/>
      <c r="I64" s="49"/>
    </row>
    <row r="65">
      <c r="A65" s="49"/>
      <c r="B65" s="49"/>
      <c r="C65" s="49"/>
      <c r="D65" s="49"/>
      <c r="E65" s="49"/>
      <c r="F65" s="49"/>
      <c r="G65" s="49"/>
      <c r="H65" s="49"/>
      <c r="I65" s="49"/>
    </row>
    <row r="66">
      <c r="A66" s="49"/>
      <c r="B66" s="49"/>
      <c r="C66" s="49"/>
      <c r="D66" s="49"/>
      <c r="E66" s="49"/>
      <c r="F66" s="49"/>
      <c r="G66" s="49"/>
      <c r="H66" s="49"/>
      <c r="I66" s="49"/>
    </row>
    <row r="67">
      <c r="A67" s="49"/>
      <c r="B67" s="49"/>
      <c r="C67" s="49"/>
      <c r="D67" s="49"/>
      <c r="E67" s="49"/>
      <c r="F67" s="49"/>
      <c r="G67" s="49"/>
      <c r="H67" s="49"/>
      <c r="I67" s="49"/>
    </row>
    <row r="68">
      <c r="A68" s="49"/>
      <c r="B68" s="49"/>
      <c r="C68" s="49"/>
      <c r="D68" s="49"/>
      <c r="E68" s="49"/>
      <c r="F68" s="49"/>
      <c r="G68" s="49"/>
      <c r="H68" s="49"/>
      <c r="I68" s="49"/>
    </row>
    <row r="69">
      <c r="A69" s="49"/>
      <c r="B69" s="49"/>
      <c r="C69" s="49"/>
      <c r="D69" s="49"/>
      <c r="E69" s="49"/>
      <c r="F69" s="49"/>
      <c r="G69" s="49"/>
      <c r="H69" s="49"/>
      <c r="I69" s="49"/>
    </row>
    <row r="70">
      <c r="A70" s="49"/>
      <c r="B70" s="49"/>
      <c r="C70" s="49"/>
      <c r="D70" s="49"/>
      <c r="E70" s="49"/>
      <c r="F70" s="49"/>
      <c r="G70" s="49"/>
      <c r="H70" s="49"/>
      <c r="I70" s="49"/>
    </row>
    <row r="71">
      <c r="A71" s="49"/>
      <c r="B71" s="49"/>
      <c r="C71" s="49"/>
      <c r="D71" s="49"/>
      <c r="E71" s="49"/>
      <c r="F71" s="49"/>
      <c r="G71" s="49"/>
      <c r="H71" s="49"/>
      <c r="I71" s="49"/>
    </row>
    <row r="72">
      <c r="A72" s="49"/>
      <c r="B72" s="49"/>
      <c r="C72" s="49"/>
      <c r="D72" s="49"/>
      <c r="E72" s="49"/>
      <c r="F72" s="49"/>
      <c r="G72" s="49"/>
      <c r="H72" s="49"/>
      <c r="I72" s="49"/>
    </row>
    <row r="73">
      <c r="A73" s="49"/>
      <c r="B73" s="49"/>
      <c r="C73" s="49"/>
      <c r="D73" s="49"/>
      <c r="E73" s="49"/>
      <c r="F73" s="49"/>
      <c r="G73" s="49"/>
      <c r="H73" s="49"/>
      <c r="I73" s="49"/>
    </row>
    <row r="74">
      <c r="A74" s="49"/>
      <c r="B74" s="49"/>
      <c r="C74" s="49"/>
      <c r="D74" s="49"/>
      <c r="E74" s="49"/>
      <c r="F74" s="49"/>
      <c r="G74" s="49"/>
      <c r="H74" s="49"/>
      <c r="I74" s="49"/>
    </row>
    <row r="75">
      <c r="A75" s="49"/>
      <c r="B75" s="49"/>
      <c r="C75" s="49"/>
      <c r="D75" s="49"/>
      <c r="E75" s="49"/>
      <c r="F75" s="49"/>
      <c r="G75" s="49"/>
      <c r="H75" s="49"/>
      <c r="I75" s="49"/>
    </row>
    <row r="76">
      <c r="A76" s="49"/>
      <c r="B76" s="49"/>
      <c r="C76" s="49"/>
      <c r="D76" s="49"/>
      <c r="E76" s="49"/>
      <c r="F76" s="49"/>
      <c r="G76" s="49"/>
      <c r="H76" s="49"/>
      <c r="I76" s="49"/>
    </row>
    <row r="77">
      <c r="A77" s="49"/>
      <c r="B77" s="49"/>
      <c r="C77" s="49"/>
      <c r="D77" s="49"/>
      <c r="E77" s="49"/>
      <c r="F77" s="49"/>
      <c r="G77" s="49"/>
      <c r="H77" s="49"/>
      <c r="I77" s="49"/>
    </row>
    <row r="78">
      <c r="A78" s="49"/>
      <c r="B78" s="49"/>
      <c r="C78" s="49"/>
      <c r="D78" s="49"/>
      <c r="E78" s="49"/>
      <c r="F78" s="49"/>
      <c r="G78" s="49"/>
      <c r="H78" s="49"/>
      <c r="I78" s="49"/>
    </row>
    <row r="79">
      <c r="A79" s="49"/>
      <c r="B79" s="49"/>
      <c r="C79" s="49"/>
      <c r="D79" s="49"/>
      <c r="E79" s="49"/>
      <c r="F79" s="49"/>
      <c r="G79" s="49"/>
      <c r="H79" s="49"/>
      <c r="I79" s="49"/>
    </row>
    <row r="80">
      <c r="A80" s="49"/>
      <c r="B80" s="49"/>
      <c r="C80" s="49"/>
      <c r="D80" s="49"/>
      <c r="E80" s="49"/>
      <c r="F80" s="49"/>
      <c r="G80" s="49"/>
      <c r="H80" s="49"/>
      <c r="I80" s="49"/>
    </row>
    <row r="81">
      <c r="A81" s="49"/>
      <c r="B81" s="49"/>
      <c r="C81" s="49"/>
      <c r="D81" s="49"/>
      <c r="E81" s="49"/>
      <c r="F81" s="49"/>
      <c r="G81" s="49"/>
      <c r="H81" s="49"/>
      <c r="I81" s="49"/>
    </row>
    <row r="82">
      <c r="A82" s="49"/>
      <c r="B82" s="49"/>
      <c r="C82" s="49"/>
      <c r="D82" s="49"/>
      <c r="E82" s="49"/>
      <c r="F82" s="49"/>
      <c r="G82" s="49"/>
      <c r="H82" s="49"/>
      <c r="I82" s="49"/>
    </row>
    <row r="83">
      <c r="A83" s="49"/>
      <c r="B83" s="49"/>
      <c r="C83" s="49"/>
      <c r="D83" s="49"/>
      <c r="E83" s="49"/>
      <c r="F83" s="49"/>
      <c r="G83" s="49"/>
      <c r="H83" s="49"/>
      <c r="I83" s="49"/>
    </row>
    <row r="84">
      <c r="A84" s="49"/>
      <c r="B84" s="49"/>
      <c r="C84" s="49"/>
      <c r="D84" s="49"/>
      <c r="E84" s="49"/>
      <c r="F84" s="49"/>
      <c r="G84" s="49"/>
      <c r="H84" s="49"/>
      <c r="I84" s="49"/>
    </row>
    <row r="85">
      <c r="A85" s="49"/>
      <c r="B85" s="49"/>
      <c r="C85" s="49"/>
      <c r="D85" s="49"/>
      <c r="E85" s="49"/>
      <c r="F85" s="49"/>
      <c r="G85" s="49"/>
      <c r="H85" s="49"/>
      <c r="I85" s="49"/>
    </row>
    <row r="86">
      <c r="A86" s="49"/>
      <c r="B86" s="49"/>
      <c r="C86" s="49"/>
      <c r="D86" s="49"/>
      <c r="E86" s="49"/>
      <c r="F86" s="49"/>
      <c r="G86" s="49"/>
      <c r="H86" s="49"/>
      <c r="I86" s="49"/>
    </row>
    <row r="87">
      <c r="A87" s="49"/>
      <c r="B87" s="49"/>
      <c r="C87" s="49"/>
      <c r="D87" s="49"/>
      <c r="E87" s="49"/>
      <c r="F87" s="49"/>
      <c r="G87" s="49"/>
      <c r="H87" s="49"/>
      <c r="I87" s="49"/>
    </row>
    <row r="88">
      <c r="A88" s="49"/>
      <c r="B88" s="49"/>
      <c r="C88" s="49"/>
      <c r="D88" s="49"/>
      <c r="E88" s="49"/>
      <c r="F88" s="49"/>
      <c r="G88" s="49"/>
      <c r="H88" s="49"/>
      <c r="I88" s="49"/>
    </row>
    <row r="89">
      <c r="A89" s="49"/>
      <c r="B89" s="49"/>
      <c r="C89" s="49"/>
      <c r="D89" s="49"/>
      <c r="E89" s="49"/>
      <c r="F89" s="49"/>
      <c r="G89" s="49"/>
      <c r="H89" s="49"/>
      <c r="I89" s="49"/>
    </row>
    <row r="90">
      <c r="A90" s="49"/>
      <c r="B90" s="49"/>
      <c r="C90" s="49"/>
      <c r="D90" s="49"/>
      <c r="E90" s="49"/>
      <c r="F90" s="49"/>
      <c r="G90" s="49"/>
      <c r="H90" s="49"/>
      <c r="I90" s="49"/>
    </row>
    <row r="91">
      <c r="A91" s="49"/>
      <c r="B91" s="49"/>
      <c r="C91" s="49"/>
      <c r="D91" s="49"/>
      <c r="E91" s="49"/>
      <c r="F91" s="49"/>
      <c r="G91" s="49"/>
      <c r="H91" s="49"/>
      <c r="I91" s="49"/>
    </row>
    <row r="92">
      <c r="A92" s="49"/>
      <c r="B92" s="49"/>
      <c r="C92" s="49"/>
      <c r="D92" s="49"/>
      <c r="E92" s="49"/>
      <c r="F92" s="49"/>
      <c r="G92" s="49"/>
      <c r="H92" s="49"/>
      <c r="I92" s="49"/>
    </row>
    <row r="93">
      <c r="A93" s="49"/>
      <c r="B93" s="49"/>
      <c r="C93" s="49"/>
      <c r="D93" s="49"/>
      <c r="E93" s="49"/>
      <c r="F93" s="49"/>
      <c r="G93" s="49"/>
      <c r="H93" s="49"/>
      <c r="I93" s="49"/>
    </row>
    <row r="94">
      <c r="A94" s="49"/>
      <c r="B94" s="49"/>
      <c r="C94" s="49"/>
      <c r="D94" s="49"/>
      <c r="E94" s="49"/>
      <c r="F94" s="49"/>
      <c r="G94" s="49"/>
      <c r="H94" s="49"/>
      <c r="I94" s="49"/>
    </row>
    <row r="95">
      <c r="A95" s="49"/>
      <c r="B95" s="49"/>
      <c r="C95" s="49"/>
      <c r="D95" s="49"/>
      <c r="E95" s="49"/>
      <c r="F95" s="49"/>
      <c r="G95" s="49"/>
      <c r="H95" s="49"/>
      <c r="I95" s="49"/>
    </row>
    <row r="96">
      <c r="A96" s="49"/>
      <c r="B96" s="49"/>
      <c r="C96" s="49"/>
      <c r="D96" s="49"/>
      <c r="E96" s="49"/>
      <c r="F96" s="49"/>
      <c r="G96" s="49"/>
      <c r="H96" s="49"/>
      <c r="I96" s="49"/>
    </row>
    <row r="97">
      <c r="A97" s="49"/>
      <c r="B97" s="49"/>
      <c r="C97" s="49"/>
      <c r="D97" s="49"/>
      <c r="E97" s="49"/>
      <c r="F97" s="49"/>
      <c r="G97" s="49"/>
      <c r="H97" s="49"/>
      <c r="I97" s="49"/>
    </row>
    <row r="98">
      <c r="A98" s="49"/>
      <c r="B98" s="49"/>
      <c r="C98" s="49"/>
      <c r="D98" s="49"/>
      <c r="E98" s="49"/>
      <c r="F98" s="49"/>
      <c r="G98" s="49"/>
      <c r="H98" s="49"/>
      <c r="I98" s="49"/>
    </row>
    <row r="99">
      <c r="A99" s="49"/>
      <c r="B99" s="49"/>
      <c r="C99" s="49"/>
      <c r="D99" s="49"/>
      <c r="E99" s="49"/>
      <c r="F99" s="49"/>
      <c r="G99" s="49"/>
      <c r="H99" s="49"/>
      <c r="I99" s="49"/>
    </row>
    <row r="100">
      <c r="A100" s="49"/>
      <c r="B100" s="49"/>
      <c r="C100" s="49"/>
      <c r="D100" s="49"/>
      <c r="E100" s="49"/>
      <c r="F100" s="49"/>
      <c r="G100" s="49"/>
      <c r="H100" s="49"/>
      <c r="I100" s="49"/>
    </row>
    <row r="101">
      <c r="A101" s="49"/>
      <c r="B101" s="49"/>
      <c r="C101" s="49"/>
      <c r="D101" s="49"/>
      <c r="E101" s="49"/>
      <c r="F101" s="49"/>
      <c r="G101" s="49"/>
      <c r="H101" s="49"/>
      <c r="I101" s="49"/>
    </row>
    <row r="102">
      <c r="A102" s="49"/>
      <c r="B102" s="49"/>
      <c r="C102" s="49"/>
      <c r="D102" s="49"/>
      <c r="E102" s="49"/>
      <c r="F102" s="49"/>
      <c r="G102" s="49"/>
      <c r="H102" s="49"/>
      <c r="I102" s="49"/>
    </row>
    <row r="103">
      <c r="A103" s="49"/>
      <c r="B103" s="49"/>
      <c r="C103" s="49"/>
      <c r="D103" s="49"/>
      <c r="E103" s="49"/>
      <c r="F103" s="49"/>
      <c r="G103" s="49"/>
      <c r="H103" s="49"/>
      <c r="I103" s="49"/>
    </row>
    <row r="104">
      <c r="A104" s="49"/>
      <c r="B104" s="49"/>
      <c r="C104" s="49"/>
      <c r="D104" s="49"/>
      <c r="E104" s="49"/>
      <c r="F104" s="49"/>
      <c r="G104" s="49"/>
      <c r="H104" s="49"/>
      <c r="I104" s="49"/>
    </row>
    <row r="105">
      <c r="A105" s="49"/>
      <c r="B105" s="49"/>
      <c r="C105" s="49"/>
      <c r="D105" s="49"/>
      <c r="E105" s="49"/>
      <c r="F105" s="49"/>
      <c r="G105" s="49"/>
      <c r="H105" s="49"/>
      <c r="I105" s="49"/>
    </row>
    <row r="106">
      <c r="A106" s="49"/>
      <c r="B106" s="49"/>
      <c r="C106" s="49"/>
      <c r="D106" s="49"/>
      <c r="E106" s="49"/>
      <c r="F106" s="49"/>
      <c r="G106" s="49"/>
      <c r="H106" s="49"/>
      <c r="I106" s="49"/>
    </row>
    <row r="107">
      <c r="A107" s="49"/>
      <c r="B107" s="49"/>
      <c r="C107" s="49"/>
      <c r="D107" s="49"/>
      <c r="E107" s="49"/>
      <c r="F107" s="49"/>
      <c r="G107" s="49"/>
      <c r="H107" s="49"/>
      <c r="I107" s="49"/>
    </row>
    <row r="108">
      <c r="A108" s="49"/>
      <c r="B108" s="49"/>
      <c r="C108" s="49"/>
      <c r="D108" s="49"/>
      <c r="E108" s="49"/>
      <c r="F108" s="49"/>
      <c r="G108" s="49"/>
      <c r="H108" s="49"/>
      <c r="I108" s="49"/>
    </row>
    <row r="109">
      <c r="A109" s="49"/>
      <c r="B109" s="49"/>
      <c r="C109" s="49"/>
      <c r="D109" s="49"/>
      <c r="E109" s="49"/>
      <c r="F109" s="49"/>
      <c r="G109" s="49"/>
      <c r="H109" s="49"/>
      <c r="I109" s="49"/>
    </row>
    <row r="110">
      <c r="A110" s="49"/>
      <c r="B110" s="49"/>
      <c r="C110" s="49"/>
      <c r="D110" s="49"/>
      <c r="E110" s="49"/>
      <c r="F110" s="49"/>
      <c r="G110" s="49"/>
      <c r="H110" s="49"/>
      <c r="I110" s="49"/>
    </row>
    <row r="111">
      <c r="A111" s="49"/>
      <c r="B111" s="49"/>
      <c r="C111" s="49"/>
      <c r="D111" s="49"/>
      <c r="E111" s="49"/>
      <c r="F111" s="49"/>
      <c r="G111" s="49"/>
      <c r="H111" s="49"/>
      <c r="I111" s="49"/>
    </row>
    <row r="112">
      <c r="A112" s="49"/>
      <c r="B112" s="49"/>
      <c r="C112" s="49"/>
      <c r="D112" s="49"/>
      <c r="E112" s="49"/>
      <c r="F112" s="49"/>
      <c r="G112" s="49"/>
      <c r="H112" s="49"/>
      <c r="I112" s="49"/>
    </row>
    <row r="113">
      <c r="A113" s="49"/>
      <c r="B113" s="49"/>
      <c r="C113" s="49"/>
      <c r="D113" s="49"/>
      <c r="E113" s="49"/>
      <c r="F113" s="49"/>
      <c r="G113" s="49"/>
      <c r="H113" s="49"/>
      <c r="I113" s="49"/>
    </row>
    <row r="114">
      <c r="A114" s="49"/>
      <c r="B114" s="49"/>
      <c r="C114" s="49"/>
      <c r="D114" s="49"/>
      <c r="E114" s="49"/>
      <c r="F114" s="49"/>
      <c r="G114" s="49"/>
      <c r="H114" s="49"/>
      <c r="I114" s="49"/>
    </row>
    <row r="115">
      <c r="A115" s="49"/>
      <c r="B115" s="49"/>
      <c r="C115" s="49"/>
      <c r="D115" s="49"/>
      <c r="E115" s="49"/>
      <c r="F115" s="49"/>
      <c r="G115" s="49"/>
      <c r="H115" s="49"/>
      <c r="I115" s="49"/>
    </row>
    <row r="116">
      <c r="A116" s="49"/>
      <c r="B116" s="49"/>
      <c r="C116" s="49"/>
      <c r="D116" s="49"/>
      <c r="E116" s="49"/>
      <c r="F116" s="49"/>
      <c r="G116" s="49"/>
      <c r="H116" s="49"/>
      <c r="I116" s="49"/>
    </row>
    <row r="117">
      <c r="A117" s="49"/>
      <c r="B117" s="49"/>
      <c r="C117" s="49"/>
      <c r="D117" s="49"/>
      <c r="E117" s="49"/>
      <c r="F117" s="49"/>
      <c r="G117" s="49"/>
      <c r="H117" s="49"/>
      <c r="I117" s="49"/>
    </row>
    <row r="118">
      <c r="A118" s="49"/>
      <c r="B118" s="49"/>
      <c r="C118" s="49"/>
      <c r="D118" s="49"/>
      <c r="E118" s="49"/>
      <c r="F118" s="49"/>
      <c r="G118" s="49"/>
      <c r="H118" s="49"/>
      <c r="I118" s="49"/>
    </row>
    <row r="119">
      <c r="A119" s="49"/>
      <c r="B119" s="49"/>
      <c r="C119" s="49"/>
      <c r="D119" s="49"/>
      <c r="E119" s="49"/>
      <c r="F119" s="49"/>
      <c r="G119" s="49"/>
      <c r="H119" s="49"/>
      <c r="I119" s="49"/>
    </row>
    <row r="120">
      <c r="A120" s="49"/>
      <c r="B120" s="49"/>
      <c r="C120" s="49"/>
      <c r="D120" s="49"/>
      <c r="E120" s="49"/>
      <c r="F120" s="49"/>
      <c r="G120" s="49"/>
      <c r="H120" s="49"/>
      <c r="I120" s="49"/>
    </row>
    <row r="121">
      <c r="A121" s="49"/>
      <c r="B121" s="49"/>
      <c r="C121" s="49"/>
      <c r="D121" s="49"/>
      <c r="E121" s="49"/>
      <c r="F121" s="49"/>
      <c r="G121" s="49"/>
      <c r="H121" s="49"/>
      <c r="I121" s="49"/>
    </row>
    <row r="122">
      <c r="A122" s="49"/>
      <c r="B122" s="49"/>
      <c r="C122" s="49"/>
      <c r="D122" s="49"/>
      <c r="E122" s="49"/>
      <c r="F122" s="49"/>
      <c r="G122" s="49"/>
      <c r="H122" s="49"/>
      <c r="I122" s="49"/>
    </row>
    <row r="123">
      <c r="A123" s="49"/>
      <c r="B123" s="49"/>
      <c r="C123" s="49"/>
      <c r="D123" s="49"/>
      <c r="E123" s="49"/>
      <c r="F123" s="49"/>
      <c r="G123" s="49"/>
      <c r="H123" s="49"/>
      <c r="I123" s="49"/>
    </row>
    <row r="124">
      <c r="A124" s="49"/>
      <c r="B124" s="49"/>
      <c r="C124" s="49"/>
      <c r="D124" s="49"/>
      <c r="E124" s="49"/>
      <c r="F124" s="49"/>
      <c r="G124" s="49"/>
      <c r="H124" s="49"/>
      <c r="I124" s="49"/>
    </row>
    <row r="125">
      <c r="A125" s="49"/>
      <c r="B125" s="49"/>
      <c r="C125" s="49"/>
      <c r="D125" s="49"/>
      <c r="E125" s="49"/>
      <c r="F125" s="49"/>
      <c r="G125" s="49"/>
      <c r="H125" s="49"/>
      <c r="I125" s="49"/>
    </row>
    <row r="126">
      <c r="A126" s="49"/>
      <c r="B126" s="49"/>
      <c r="C126" s="49"/>
      <c r="D126" s="49"/>
      <c r="E126" s="49"/>
      <c r="F126" s="49"/>
      <c r="G126" s="49"/>
      <c r="H126" s="49"/>
      <c r="I126" s="49"/>
    </row>
    <row r="127">
      <c r="A127" s="49"/>
      <c r="B127" s="49"/>
      <c r="C127" s="49"/>
      <c r="D127" s="49"/>
      <c r="E127" s="49"/>
      <c r="F127" s="49"/>
      <c r="G127" s="49"/>
      <c r="H127" s="49"/>
      <c r="I127" s="49"/>
    </row>
    <row r="128">
      <c r="A128" s="49"/>
      <c r="B128" s="49"/>
      <c r="C128" s="49"/>
      <c r="D128" s="49"/>
      <c r="E128" s="49"/>
      <c r="F128" s="49"/>
      <c r="G128" s="49"/>
      <c r="H128" s="49"/>
      <c r="I128" s="49"/>
    </row>
    <row r="129">
      <c r="A129" s="49"/>
      <c r="B129" s="49"/>
      <c r="C129" s="49"/>
      <c r="D129" s="49"/>
      <c r="E129" s="49"/>
      <c r="F129" s="49"/>
      <c r="G129" s="49"/>
      <c r="H129" s="49"/>
      <c r="I129" s="49"/>
    </row>
    <row r="130">
      <c r="A130" s="49"/>
      <c r="B130" s="49"/>
      <c r="C130" s="49"/>
      <c r="D130" s="49"/>
      <c r="E130" s="49"/>
      <c r="F130" s="49"/>
      <c r="G130" s="49"/>
      <c r="H130" s="49"/>
      <c r="I130" s="49"/>
    </row>
    <row r="131">
      <c r="A131" s="49"/>
      <c r="B131" s="49"/>
      <c r="C131" s="49"/>
      <c r="D131" s="49"/>
      <c r="E131" s="49"/>
      <c r="F131" s="49"/>
      <c r="G131" s="49"/>
      <c r="H131" s="49"/>
      <c r="I131" s="49"/>
    </row>
    <row r="132">
      <c r="A132" s="49"/>
      <c r="B132" s="49"/>
      <c r="C132" s="49"/>
      <c r="D132" s="49"/>
      <c r="E132" s="49"/>
      <c r="F132" s="49"/>
      <c r="G132" s="49"/>
      <c r="H132" s="49"/>
      <c r="I132" s="49"/>
    </row>
    <row r="133">
      <c r="A133" s="49"/>
      <c r="B133" s="49"/>
      <c r="C133" s="49"/>
      <c r="D133" s="49"/>
      <c r="E133" s="49"/>
      <c r="F133" s="49"/>
      <c r="G133" s="49"/>
      <c r="H133" s="49"/>
      <c r="I133" s="49"/>
    </row>
    <row r="134">
      <c r="A134" s="49"/>
      <c r="B134" s="49"/>
      <c r="C134" s="49"/>
      <c r="D134" s="49"/>
      <c r="E134" s="49"/>
      <c r="F134" s="49"/>
      <c r="G134" s="49"/>
      <c r="H134" s="49"/>
      <c r="I134" s="49"/>
    </row>
    <row r="135">
      <c r="A135" s="49"/>
      <c r="B135" s="49"/>
      <c r="C135" s="49"/>
      <c r="D135" s="49"/>
      <c r="E135" s="49"/>
      <c r="F135" s="49"/>
      <c r="G135" s="49"/>
      <c r="H135" s="49"/>
      <c r="I135" s="49"/>
    </row>
    <row r="136">
      <c r="A136" s="49"/>
      <c r="B136" s="49"/>
      <c r="C136" s="49"/>
      <c r="D136" s="49"/>
      <c r="E136" s="49"/>
      <c r="F136" s="49"/>
      <c r="G136" s="49"/>
      <c r="H136" s="49"/>
      <c r="I136" s="49"/>
    </row>
    <row r="137">
      <c r="A137" s="49"/>
      <c r="B137" s="49"/>
      <c r="C137" s="49"/>
      <c r="D137" s="49"/>
      <c r="E137" s="49"/>
      <c r="F137" s="49"/>
      <c r="G137" s="49"/>
      <c r="H137" s="49"/>
      <c r="I137" s="49"/>
    </row>
    <row r="138">
      <c r="A138" s="49"/>
      <c r="B138" s="49"/>
      <c r="C138" s="49"/>
      <c r="D138" s="49"/>
      <c r="E138" s="49"/>
      <c r="F138" s="49"/>
      <c r="G138" s="49"/>
      <c r="H138" s="49"/>
      <c r="I138" s="49"/>
    </row>
    <row r="139">
      <c r="A139" s="49"/>
      <c r="B139" s="49"/>
      <c r="C139" s="49"/>
      <c r="D139" s="49"/>
      <c r="E139" s="49"/>
      <c r="F139" s="49"/>
      <c r="G139" s="49"/>
      <c r="H139" s="49"/>
      <c r="I139" s="49"/>
    </row>
    <row r="140">
      <c r="A140" s="49"/>
      <c r="B140" s="49"/>
      <c r="C140" s="49"/>
      <c r="D140" s="49"/>
      <c r="E140" s="49"/>
      <c r="F140" s="49"/>
      <c r="G140" s="49"/>
      <c r="H140" s="49"/>
      <c r="I140" s="49"/>
    </row>
    <row r="141">
      <c r="A141" s="49"/>
      <c r="B141" s="49"/>
      <c r="C141" s="49"/>
      <c r="D141" s="49"/>
      <c r="E141" s="49"/>
      <c r="F141" s="49"/>
      <c r="G141" s="49"/>
      <c r="H141" s="49"/>
      <c r="I141" s="49"/>
    </row>
    <row r="142">
      <c r="A142" s="49"/>
      <c r="B142" s="49"/>
      <c r="C142" s="49"/>
      <c r="D142" s="49"/>
      <c r="E142" s="49"/>
      <c r="F142" s="49"/>
      <c r="G142" s="49"/>
      <c r="H142" s="49"/>
      <c r="I142" s="49"/>
    </row>
    <row r="143">
      <c r="A143" s="49"/>
      <c r="B143" s="49"/>
      <c r="C143" s="49"/>
      <c r="D143" s="49"/>
      <c r="E143" s="49"/>
      <c r="F143" s="49"/>
      <c r="G143" s="49"/>
      <c r="H143" s="49"/>
      <c r="I143" s="49"/>
    </row>
    <row r="144">
      <c r="A144" s="49"/>
      <c r="B144" s="49"/>
      <c r="C144" s="49"/>
      <c r="D144" s="49"/>
      <c r="E144" s="49"/>
      <c r="F144" s="49"/>
      <c r="G144" s="49"/>
      <c r="H144" s="49"/>
      <c r="I144" s="49"/>
    </row>
    <row r="145">
      <c r="A145" s="49"/>
      <c r="B145" s="49"/>
      <c r="C145" s="49"/>
      <c r="D145" s="49"/>
      <c r="E145" s="49"/>
      <c r="F145" s="49"/>
      <c r="G145" s="49"/>
      <c r="H145" s="49"/>
      <c r="I145" s="49"/>
    </row>
    <row r="146">
      <c r="A146" s="49"/>
      <c r="B146" s="49"/>
      <c r="C146" s="49"/>
      <c r="D146" s="49"/>
      <c r="E146" s="49"/>
      <c r="F146" s="49"/>
      <c r="G146" s="49"/>
      <c r="H146" s="49"/>
      <c r="I146" s="49"/>
    </row>
    <row r="147">
      <c r="A147" s="49"/>
      <c r="B147" s="49"/>
      <c r="C147" s="49"/>
      <c r="D147" s="49"/>
      <c r="E147" s="49"/>
      <c r="F147" s="49"/>
      <c r="G147" s="49"/>
      <c r="H147" s="49"/>
      <c r="I147" s="49"/>
    </row>
    <row r="148">
      <c r="A148" s="49"/>
      <c r="B148" s="49"/>
      <c r="C148" s="49"/>
      <c r="D148" s="49"/>
      <c r="E148" s="49"/>
      <c r="F148" s="49"/>
      <c r="G148" s="49"/>
      <c r="H148" s="49"/>
      <c r="I148" s="49"/>
    </row>
    <row r="149">
      <c r="A149" s="49"/>
      <c r="B149" s="49"/>
      <c r="C149" s="49"/>
      <c r="D149" s="49"/>
      <c r="E149" s="49"/>
      <c r="F149" s="49"/>
      <c r="G149" s="49"/>
      <c r="H149" s="49"/>
      <c r="I149" s="49"/>
    </row>
    <row r="150">
      <c r="A150" s="49"/>
      <c r="B150" s="49"/>
      <c r="C150" s="49"/>
      <c r="D150" s="49"/>
      <c r="E150" s="49"/>
      <c r="F150" s="49"/>
      <c r="G150" s="49"/>
      <c r="H150" s="49"/>
      <c r="I150" s="49"/>
    </row>
    <row r="151">
      <c r="A151" s="49"/>
      <c r="B151" s="49"/>
      <c r="C151" s="49"/>
      <c r="D151" s="49"/>
      <c r="E151" s="49"/>
      <c r="F151" s="49"/>
      <c r="G151" s="49"/>
      <c r="H151" s="49"/>
      <c r="I151" s="49"/>
    </row>
    <row r="152">
      <c r="A152" s="49"/>
      <c r="B152" s="49"/>
      <c r="C152" s="49"/>
      <c r="D152" s="49"/>
      <c r="E152" s="49"/>
      <c r="F152" s="49"/>
      <c r="G152" s="49"/>
      <c r="H152" s="49"/>
      <c r="I152" s="49"/>
    </row>
    <row r="153">
      <c r="A153" s="49"/>
      <c r="B153" s="49"/>
      <c r="C153" s="49"/>
      <c r="D153" s="49"/>
      <c r="E153" s="49"/>
      <c r="F153" s="49"/>
      <c r="G153" s="49"/>
      <c r="H153" s="49"/>
      <c r="I153" s="49"/>
    </row>
    <row r="154">
      <c r="A154" s="49"/>
      <c r="B154" s="49"/>
      <c r="C154" s="49"/>
      <c r="D154" s="49"/>
      <c r="E154" s="49"/>
      <c r="F154" s="49"/>
      <c r="G154" s="49"/>
      <c r="H154" s="49"/>
      <c r="I154" s="49"/>
    </row>
    <row r="155">
      <c r="A155" s="49"/>
      <c r="B155" s="49"/>
      <c r="C155" s="49"/>
      <c r="D155" s="49"/>
      <c r="E155" s="49"/>
      <c r="F155" s="49"/>
      <c r="G155" s="49"/>
      <c r="H155" s="49"/>
      <c r="I155" s="49"/>
    </row>
    <row r="156">
      <c r="A156" s="49"/>
      <c r="B156" s="49"/>
      <c r="C156" s="49"/>
      <c r="D156" s="49"/>
      <c r="E156" s="49"/>
      <c r="F156" s="49"/>
      <c r="G156" s="49"/>
      <c r="H156" s="49"/>
      <c r="I156" s="49"/>
    </row>
    <row r="157">
      <c r="A157" s="49"/>
      <c r="B157" s="49"/>
      <c r="C157" s="49"/>
      <c r="D157" s="49"/>
      <c r="E157" s="49"/>
      <c r="F157" s="49"/>
      <c r="G157" s="49"/>
      <c r="H157" s="49"/>
      <c r="I157" s="49"/>
    </row>
    <row r="158">
      <c r="A158" s="49"/>
      <c r="B158" s="49"/>
      <c r="C158" s="49"/>
      <c r="D158" s="49"/>
      <c r="E158" s="49"/>
      <c r="F158" s="49"/>
      <c r="G158" s="49"/>
      <c r="H158" s="49"/>
      <c r="I158" s="49"/>
    </row>
    <row r="159">
      <c r="A159" s="49"/>
      <c r="B159" s="49"/>
      <c r="C159" s="49"/>
      <c r="D159" s="49"/>
      <c r="E159" s="49"/>
      <c r="F159" s="49"/>
      <c r="G159" s="49"/>
      <c r="H159" s="49"/>
      <c r="I159" s="49"/>
    </row>
    <row r="160">
      <c r="A160" s="49"/>
      <c r="B160" s="49"/>
      <c r="C160" s="49"/>
      <c r="D160" s="49"/>
      <c r="E160" s="49"/>
      <c r="F160" s="49"/>
      <c r="G160" s="49"/>
      <c r="H160" s="49"/>
      <c r="I160" s="49"/>
    </row>
    <row r="161">
      <c r="A161" s="49"/>
      <c r="B161" s="49"/>
      <c r="C161" s="49"/>
      <c r="D161" s="49"/>
      <c r="E161" s="49"/>
      <c r="F161" s="49"/>
      <c r="G161" s="49"/>
      <c r="H161" s="49"/>
      <c r="I161" s="49"/>
    </row>
    <row r="162">
      <c r="A162" s="49"/>
      <c r="B162" s="49"/>
      <c r="C162" s="49"/>
      <c r="D162" s="49"/>
      <c r="E162" s="49"/>
      <c r="F162" s="49"/>
      <c r="G162" s="49"/>
      <c r="H162" s="49"/>
      <c r="I162" s="49"/>
    </row>
    <row r="163">
      <c r="A163" s="49"/>
      <c r="B163" s="49"/>
      <c r="C163" s="49"/>
      <c r="D163" s="49"/>
      <c r="E163" s="49"/>
      <c r="F163" s="49"/>
      <c r="G163" s="49"/>
      <c r="H163" s="49"/>
      <c r="I163" s="49"/>
    </row>
    <row r="164">
      <c r="A164" s="49"/>
      <c r="B164" s="49"/>
      <c r="C164" s="49"/>
      <c r="D164" s="49"/>
      <c r="E164" s="49"/>
      <c r="F164" s="49"/>
      <c r="G164" s="49"/>
      <c r="H164" s="49"/>
      <c r="I164" s="49"/>
    </row>
    <row r="165">
      <c r="A165" s="49"/>
      <c r="B165" s="49"/>
      <c r="C165" s="49"/>
      <c r="D165" s="49"/>
      <c r="E165" s="49"/>
      <c r="F165" s="49"/>
      <c r="G165" s="49"/>
      <c r="H165" s="49"/>
      <c r="I165" s="49"/>
    </row>
    <row r="166">
      <c r="A166" s="49"/>
      <c r="B166" s="49"/>
      <c r="C166" s="49"/>
      <c r="D166" s="49"/>
      <c r="E166" s="49"/>
      <c r="F166" s="49"/>
      <c r="G166" s="49"/>
      <c r="H166" s="49"/>
      <c r="I166" s="49"/>
    </row>
    <row r="167">
      <c r="A167" s="49"/>
      <c r="B167" s="49"/>
      <c r="C167" s="49"/>
      <c r="D167" s="49"/>
      <c r="E167" s="49"/>
      <c r="F167" s="49"/>
      <c r="G167" s="49"/>
      <c r="H167" s="49"/>
      <c r="I167" s="49"/>
    </row>
    <row r="168">
      <c r="A168" s="49"/>
      <c r="B168" s="49"/>
      <c r="C168" s="49"/>
      <c r="D168" s="49"/>
      <c r="E168" s="49"/>
      <c r="F168" s="49"/>
      <c r="G168" s="49"/>
      <c r="H168" s="49"/>
      <c r="I168" s="49"/>
    </row>
    <row r="169">
      <c r="A169" s="49"/>
      <c r="B169" s="49"/>
      <c r="C169" s="49"/>
      <c r="D169" s="49"/>
      <c r="E169" s="49"/>
      <c r="F169" s="49"/>
      <c r="G169" s="49"/>
      <c r="H169" s="49"/>
      <c r="I169" s="49"/>
    </row>
    <row r="170">
      <c r="A170" s="49"/>
      <c r="B170" s="49"/>
      <c r="C170" s="49"/>
      <c r="D170" s="49"/>
      <c r="E170" s="49"/>
      <c r="F170" s="49"/>
      <c r="G170" s="49"/>
      <c r="H170" s="49"/>
      <c r="I170" s="49"/>
    </row>
    <row r="171">
      <c r="A171" s="49"/>
      <c r="B171" s="49"/>
      <c r="C171" s="49"/>
      <c r="D171" s="49"/>
      <c r="E171" s="49"/>
      <c r="F171" s="49"/>
      <c r="G171" s="49"/>
      <c r="H171" s="49"/>
      <c r="I171" s="49"/>
    </row>
    <row r="172">
      <c r="A172" s="49"/>
      <c r="B172" s="49"/>
      <c r="C172" s="49"/>
      <c r="D172" s="49"/>
      <c r="E172" s="49"/>
      <c r="F172" s="49"/>
      <c r="G172" s="49"/>
      <c r="H172" s="49"/>
      <c r="I172" s="49"/>
    </row>
    <row r="173">
      <c r="A173" s="49"/>
      <c r="B173" s="49"/>
      <c r="C173" s="49"/>
      <c r="D173" s="49"/>
      <c r="E173" s="49"/>
      <c r="F173" s="49"/>
      <c r="G173" s="49"/>
      <c r="H173" s="49"/>
      <c r="I173" s="49"/>
    </row>
    <row r="174">
      <c r="A174" s="49"/>
      <c r="B174" s="49"/>
      <c r="C174" s="49"/>
      <c r="D174" s="49"/>
      <c r="E174" s="49"/>
      <c r="F174" s="49"/>
      <c r="G174" s="49"/>
      <c r="H174" s="49"/>
      <c r="I174" s="49"/>
    </row>
    <row r="175">
      <c r="A175" s="49"/>
      <c r="B175" s="49"/>
      <c r="C175" s="49"/>
      <c r="D175" s="49"/>
      <c r="E175" s="49"/>
      <c r="F175" s="49"/>
      <c r="G175" s="49"/>
      <c r="H175" s="49"/>
      <c r="I175" s="49"/>
    </row>
    <row r="176">
      <c r="A176" s="49"/>
      <c r="B176" s="49"/>
      <c r="C176" s="49"/>
      <c r="D176" s="49"/>
      <c r="E176" s="49"/>
      <c r="F176" s="49"/>
      <c r="G176" s="49"/>
      <c r="H176" s="49"/>
      <c r="I176" s="49"/>
    </row>
    <row r="177">
      <c r="A177" s="49"/>
      <c r="B177" s="49"/>
      <c r="C177" s="49"/>
      <c r="D177" s="49"/>
      <c r="E177" s="49"/>
      <c r="F177" s="49"/>
      <c r="G177" s="49"/>
      <c r="H177" s="49"/>
      <c r="I177" s="49"/>
    </row>
    <row r="178">
      <c r="A178" s="49"/>
      <c r="B178" s="49"/>
      <c r="C178" s="49"/>
      <c r="D178" s="49"/>
      <c r="E178" s="49"/>
      <c r="F178" s="49"/>
      <c r="G178" s="49"/>
      <c r="H178" s="49"/>
      <c r="I178" s="49"/>
    </row>
    <row r="179">
      <c r="A179" s="49"/>
      <c r="B179" s="49"/>
      <c r="C179" s="49"/>
      <c r="D179" s="49"/>
      <c r="E179" s="49"/>
      <c r="F179" s="49"/>
      <c r="G179" s="49"/>
      <c r="H179" s="49"/>
      <c r="I179" s="49"/>
    </row>
    <row r="180">
      <c r="A180" s="49"/>
      <c r="B180" s="49"/>
      <c r="C180" s="49"/>
      <c r="D180" s="49"/>
      <c r="E180" s="49"/>
      <c r="F180" s="49"/>
      <c r="G180" s="49"/>
      <c r="H180" s="49"/>
      <c r="I180" s="49"/>
    </row>
    <row r="181">
      <c r="A181" s="49"/>
      <c r="B181" s="49"/>
      <c r="C181" s="49"/>
      <c r="D181" s="49"/>
      <c r="E181" s="49"/>
      <c r="F181" s="49"/>
      <c r="G181" s="49"/>
      <c r="H181" s="49"/>
      <c r="I181" s="49"/>
    </row>
    <row r="182">
      <c r="A182" s="49"/>
      <c r="B182" s="49"/>
      <c r="C182" s="49"/>
      <c r="D182" s="49"/>
      <c r="E182" s="49"/>
      <c r="F182" s="49"/>
      <c r="G182" s="49"/>
      <c r="H182" s="49"/>
      <c r="I182" s="49"/>
    </row>
    <row r="183">
      <c r="A183" s="49"/>
      <c r="B183" s="49"/>
      <c r="C183" s="49"/>
      <c r="D183" s="49"/>
      <c r="E183" s="49"/>
      <c r="F183" s="49"/>
      <c r="G183" s="49"/>
      <c r="H183" s="49"/>
      <c r="I183" s="49"/>
    </row>
    <row r="184">
      <c r="A184" s="49"/>
      <c r="B184" s="49"/>
      <c r="C184" s="49"/>
      <c r="D184" s="49"/>
      <c r="E184" s="49"/>
      <c r="F184" s="49"/>
      <c r="G184" s="49"/>
      <c r="H184" s="49"/>
      <c r="I184" s="49"/>
    </row>
    <row r="185">
      <c r="A185" s="49"/>
      <c r="B185" s="49"/>
      <c r="C185" s="49"/>
      <c r="D185" s="49"/>
      <c r="E185" s="49"/>
      <c r="F185" s="49"/>
      <c r="G185" s="49"/>
      <c r="H185" s="49"/>
      <c r="I185" s="49"/>
    </row>
    <row r="186">
      <c r="A186" s="49"/>
      <c r="B186" s="49"/>
      <c r="C186" s="49"/>
      <c r="D186" s="49"/>
      <c r="E186" s="49"/>
      <c r="F186" s="49"/>
      <c r="G186" s="49"/>
      <c r="H186" s="49"/>
      <c r="I186" s="49"/>
    </row>
    <row r="187">
      <c r="A187" s="49"/>
      <c r="B187" s="49"/>
      <c r="C187" s="49"/>
      <c r="D187" s="49"/>
      <c r="E187" s="49"/>
      <c r="F187" s="49"/>
      <c r="G187" s="49"/>
      <c r="H187" s="49"/>
      <c r="I187" s="49"/>
    </row>
    <row r="188">
      <c r="A188" s="49"/>
      <c r="B188" s="49"/>
      <c r="C188" s="49"/>
      <c r="D188" s="49"/>
      <c r="E188" s="49"/>
      <c r="F188" s="49"/>
      <c r="G188" s="49"/>
      <c r="H188" s="49"/>
      <c r="I188" s="49"/>
    </row>
    <row r="189">
      <c r="A189" s="49"/>
      <c r="B189" s="49"/>
      <c r="C189" s="49"/>
      <c r="D189" s="49"/>
      <c r="E189" s="49"/>
      <c r="F189" s="49"/>
      <c r="G189" s="49"/>
      <c r="H189" s="49"/>
      <c r="I189" s="49"/>
    </row>
    <row r="190">
      <c r="A190" s="49"/>
      <c r="B190" s="49"/>
      <c r="C190" s="49"/>
      <c r="D190" s="49"/>
      <c r="E190" s="49"/>
      <c r="F190" s="49"/>
      <c r="G190" s="49"/>
      <c r="H190" s="49"/>
      <c r="I190" s="49"/>
    </row>
    <row r="191">
      <c r="A191" s="49"/>
      <c r="B191" s="49"/>
      <c r="C191" s="49"/>
      <c r="D191" s="49"/>
      <c r="E191" s="49"/>
      <c r="F191" s="49"/>
      <c r="G191" s="49"/>
      <c r="H191" s="49"/>
      <c r="I191" s="49"/>
    </row>
    <row r="192">
      <c r="A192" s="49"/>
      <c r="B192" s="49"/>
      <c r="C192" s="49"/>
      <c r="D192" s="49"/>
      <c r="E192" s="49"/>
      <c r="F192" s="49"/>
      <c r="G192" s="49"/>
      <c r="H192" s="49"/>
      <c r="I192" s="49"/>
    </row>
    <row r="193">
      <c r="A193" s="49"/>
      <c r="B193" s="49"/>
      <c r="C193" s="49"/>
      <c r="D193" s="49"/>
      <c r="E193" s="49"/>
      <c r="F193" s="49"/>
      <c r="G193" s="49"/>
      <c r="H193" s="49"/>
      <c r="I193" s="49"/>
    </row>
    <row r="194">
      <c r="A194" s="49"/>
      <c r="B194" s="49"/>
      <c r="C194" s="49"/>
      <c r="D194" s="49"/>
      <c r="E194" s="49"/>
      <c r="F194" s="49"/>
      <c r="G194" s="49"/>
      <c r="H194" s="49"/>
      <c r="I194" s="49"/>
    </row>
    <row r="195">
      <c r="A195" s="49"/>
      <c r="B195" s="49"/>
      <c r="C195" s="49"/>
      <c r="D195" s="49"/>
      <c r="E195" s="49"/>
      <c r="F195" s="49"/>
      <c r="G195" s="49"/>
      <c r="H195" s="49"/>
      <c r="I195" s="49"/>
    </row>
    <row r="196">
      <c r="A196" s="49"/>
      <c r="B196" s="49"/>
      <c r="C196" s="49"/>
      <c r="D196" s="49"/>
      <c r="E196" s="49"/>
      <c r="F196" s="49"/>
      <c r="G196" s="49"/>
      <c r="H196" s="49"/>
      <c r="I196" s="49"/>
    </row>
    <row r="197">
      <c r="A197" s="49"/>
      <c r="B197" s="49"/>
      <c r="C197" s="49"/>
      <c r="D197" s="49"/>
      <c r="E197" s="49"/>
      <c r="F197" s="49"/>
      <c r="G197" s="49"/>
      <c r="H197" s="49"/>
      <c r="I197" s="49"/>
    </row>
    <row r="198">
      <c r="A198" s="49"/>
      <c r="B198" s="49"/>
      <c r="C198" s="49"/>
      <c r="D198" s="49"/>
      <c r="E198" s="49"/>
      <c r="F198" s="49"/>
      <c r="G198" s="49"/>
      <c r="H198" s="49"/>
      <c r="I198" s="49"/>
    </row>
    <row r="199">
      <c r="A199" s="49"/>
      <c r="B199" s="49"/>
      <c r="C199" s="49"/>
      <c r="D199" s="49"/>
      <c r="E199" s="49"/>
      <c r="F199" s="49"/>
      <c r="G199" s="49"/>
      <c r="H199" s="49"/>
      <c r="I199" s="49"/>
    </row>
    <row r="200">
      <c r="A200" s="49"/>
      <c r="B200" s="49"/>
      <c r="C200" s="49"/>
      <c r="D200" s="49"/>
      <c r="E200" s="49"/>
      <c r="F200" s="49"/>
      <c r="G200" s="49"/>
      <c r="H200" s="49"/>
      <c r="I200" s="49"/>
    </row>
    <row r="201">
      <c r="A201" s="49"/>
      <c r="B201" s="49"/>
      <c r="C201" s="49"/>
      <c r="D201" s="49"/>
      <c r="E201" s="49"/>
      <c r="F201" s="49"/>
      <c r="G201" s="49"/>
      <c r="H201" s="49"/>
      <c r="I201" s="49"/>
    </row>
    <row r="202">
      <c r="A202" s="49"/>
      <c r="B202" s="49"/>
      <c r="C202" s="49"/>
      <c r="D202" s="49"/>
      <c r="E202" s="49"/>
      <c r="F202" s="49"/>
      <c r="G202" s="49"/>
      <c r="H202" s="49"/>
      <c r="I202" s="49"/>
    </row>
    <row r="203">
      <c r="A203" s="49"/>
      <c r="B203" s="49"/>
      <c r="C203" s="49"/>
      <c r="D203" s="49"/>
      <c r="E203" s="49"/>
      <c r="F203" s="49"/>
      <c r="G203" s="49"/>
      <c r="H203" s="49"/>
      <c r="I203" s="49"/>
    </row>
    <row r="204">
      <c r="A204" s="49"/>
      <c r="B204" s="49"/>
      <c r="C204" s="49"/>
      <c r="D204" s="49"/>
      <c r="E204" s="49"/>
      <c r="F204" s="49"/>
      <c r="G204" s="49"/>
      <c r="H204" s="49"/>
      <c r="I204" s="49"/>
    </row>
    <row r="205">
      <c r="A205" s="49"/>
      <c r="B205" s="49"/>
      <c r="C205" s="49"/>
      <c r="D205" s="49"/>
      <c r="E205" s="49"/>
      <c r="F205" s="49"/>
      <c r="G205" s="49"/>
      <c r="H205" s="49"/>
      <c r="I205" s="49"/>
    </row>
    <row r="206">
      <c r="A206" s="49"/>
      <c r="B206" s="49"/>
      <c r="C206" s="49"/>
      <c r="D206" s="49"/>
      <c r="E206" s="49"/>
      <c r="F206" s="49"/>
      <c r="G206" s="49"/>
      <c r="H206" s="49"/>
      <c r="I206" s="49"/>
    </row>
    <row r="207">
      <c r="A207" s="49"/>
      <c r="B207" s="49"/>
      <c r="C207" s="49"/>
      <c r="D207" s="49"/>
      <c r="E207" s="49"/>
      <c r="F207" s="49"/>
      <c r="G207" s="49"/>
      <c r="H207" s="49"/>
      <c r="I207" s="49"/>
    </row>
    <row r="208">
      <c r="A208" s="49"/>
      <c r="B208" s="49"/>
      <c r="C208" s="49"/>
      <c r="D208" s="49"/>
      <c r="E208" s="49"/>
      <c r="F208" s="49"/>
      <c r="G208" s="49"/>
      <c r="H208" s="49"/>
      <c r="I208" s="49"/>
    </row>
    <row r="209">
      <c r="A209" s="49"/>
      <c r="B209" s="49"/>
      <c r="C209" s="49"/>
      <c r="D209" s="49"/>
      <c r="E209" s="49"/>
      <c r="F209" s="49"/>
      <c r="G209" s="49"/>
      <c r="H209" s="49"/>
      <c r="I209" s="49"/>
    </row>
    <row r="210">
      <c r="A210" s="49"/>
      <c r="B210" s="49"/>
      <c r="C210" s="49"/>
      <c r="D210" s="49"/>
      <c r="E210" s="49"/>
      <c r="F210" s="49"/>
      <c r="G210" s="49"/>
      <c r="H210" s="49"/>
      <c r="I210" s="49"/>
    </row>
    <row r="211">
      <c r="A211" s="49"/>
      <c r="B211" s="49"/>
      <c r="C211" s="49"/>
      <c r="D211" s="49"/>
      <c r="E211" s="49"/>
      <c r="F211" s="49"/>
      <c r="G211" s="49"/>
      <c r="H211" s="49"/>
      <c r="I211" s="49"/>
    </row>
    <row r="212">
      <c r="A212" s="49"/>
      <c r="B212" s="49"/>
      <c r="C212" s="49"/>
      <c r="D212" s="49"/>
      <c r="E212" s="49"/>
      <c r="F212" s="49"/>
      <c r="G212" s="49"/>
      <c r="H212" s="49"/>
      <c r="I212" s="49"/>
    </row>
    <row r="213">
      <c r="A213" s="49"/>
      <c r="B213" s="49"/>
      <c r="C213" s="49"/>
      <c r="D213" s="49"/>
      <c r="E213" s="49"/>
      <c r="F213" s="49"/>
      <c r="G213" s="49"/>
      <c r="H213" s="49"/>
      <c r="I213" s="49"/>
    </row>
    <row r="214">
      <c r="A214" s="49"/>
      <c r="B214" s="49"/>
      <c r="C214" s="49"/>
      <c r="D214" s="49"/>
      <c r="E214" s="49"/>
      <c r="F214" s="49"/>
      <c r="G214" s="49"/>
      <c r="H214" s="49"/>
      <c r="I214" s="49"/>
    </row>
    <row r="215">
      <c r="A215" s="49"/>
      <c r="B215" s="49"/>
      <c r="C215" s="49"/>
      <c r="D215" s="49"/>
      <c r="E215" s="49"/>
      <c r="F215" s="49"/>
      <c r="G215" s="49"/>
      <c r="H215" s="49"/>
      <c r="I215" s="49"/>
    </row>
    <row r="216">
      <c r="A216" s="49"/>
      <c r="B216" s="49"/>
      <c r="C216" s="49"/>
      <c r="D216" s="49"/>
      <c r="E216" s="49"/>
      <c r="F216" s="49"/>
      <c r="G216" s="49"/>
      <c r="H216" s="49"/>
      <c r="I216" s="49"/>
    </row>
    <row r="217">
      <c r="A217" s="49"/>
      <c r="B217" s="49"/>
      <c r="C217" s="49"/>
      <c r="D217" s="49"/>
      <c r="E217" s="49"/>
      <c r="F217" s="49"/>
      <c r="G217" s="49"/>
      <c r="H217" s="49"/>
      <c r="I217" s="49"/>
    </row>
    <row r="218">
      <c r="A218" s="49"/>
      <c r="B218" s="49"/>
      <c r="C218" s="49"/>
      <c r="D218" s="49"/>
      <c r="E218" s="49"/>
      <c r="F218" s="49"/>
      <c r="G218" s="49"/>
      <c r="H218" s="49"/>
      <c r="I218" s="49"/>
    </row>
    <row r="219">
      <c r="A219" s="49"/>
      <c r="B219" s="49"/>
      <c r="C219" s="49"/>
      <c r="D219" s="49"/>
      <c r="E219" s="49"/>
      <c r="F219" s="49"/>
      <c r="G219" s="49"/>
      <c r="H219" s="49"/>
      <c r="I219" s="49"/>
    </row>
    <row r="220">
      <c r="A220" s="49"/>
      <c r="B220" s="49"/>
      <c r="C220" s="49"/>
      <c r="D220" s="49"/>
      <c r="E220" s="49"/>
      <c r="F220" s="49"/>
      <c r="G220" s="49"/>
      <c r="H220" s="49"/>
      <c r="I220" s="49"/>
    </row>
    <row r="221">
      <c r="A221" s="49"/>
      <c r="B221" s="49"/>
      <c r="C221" s="49"/>
      <c r="D221" s="49"/>
      <c r="E221" s="49"/>
      <c r="F221" s="49"/>
      <c r="G221" s="49"/>
      <c r="H221" s="49"/>
      <c r="I221" s="49"/>
    </row>
    <row r="222">
      <c r="A222" s="49"/>
      <c r="B222" s="49"/>
      <c r="C222" s="49"/>
      <c r="D222" s="49"/>
      <c r="E222" s="49"/>
      <c r="F222" s="49"/>
      <c r="G222" s="49"/>
      <c r="H222" s="49"/>
      <c r="I222" s="49"/>
    </row>
    <row r="223">
      <c r="A223" s="49"/>
      <c r="B223" s="49"/>
      <c r="C223" s="49"/>
      <c r="D223" s="49"/>
      <c r="E223" s="49"/>
      <c r="F223" s="49"/>
      <c r="G223" s="49"/>
      <c r="H223" s="49"/>
      <c r="I223" s="49"/>
    </row>
    <row r="224">
      <c r="A224" s="49"/>
      <c r="B224" s="49"/>
      <c r="C224" s="49"/>
      <c r="D224" s="49"/>
      <c r="E224" s="49"/>
      <c r="F224" s="49"/>
      <c r="G224" s="49"/>
      <c r="H224" s="49"/>
      <c r="I224" s="49"/>
    </row>
    <row r="225">
      <c r="A225" s="49"/>
      <c r="B225" s="49"/>
      <c r="C225" s="49"/>
      <c r="D225" s="49"/>
      <c r="E225" s="49"/>
      <c r="F225" s="49"/>
      <c r="G225" s="49"/>
      <c r="H225" s="49"/>
      <c r="I225" s="49"/>
    </row>
    <row r="226">
      <c r="A226" s="49"/>
      <c r="B226" s="49"/>
      <c r="C226" s="49"/>
      <c r="D226" s="49"/>
      <c r="E226" s="49"/>
      <c r="F226" s="49"/>
      <c r="G226" s="49"/>
      <c r="H226" s="49"/>
      <c r="I226" s="49"/>
    </row>
    <row r="227">
      <c r="A227" s="49"/>
      <c r="B227" s="49"/>
      <c r="C227" s="49"/>
      <c r="D227" s="49"/>
      <c r="E227" s="49"/>
      <c r="F227" s="49"/>
      <c r="G227" s="49"/>
      <c r="H227" s="49"/>
      <c r="I227" s="49"/>
    </row>
    <row r="228">
      <c r="A228" s="49"/>
      <c r="B228" s="49"/>
      <c r="C228" s="49"/>
      <c r="D228" s="49"/>
      <c r="E228" s="49"/>
      <c r="F228" s="49"/>
      <c r="G228" s="49"/>
      <c r="H228" s="49"/>
      <c r="I228" s="49"/>
    </row>
    <row r="229">
      <c r="A229" s="49"/>
      <c r="B229" s="49"/>
      <c r="C229" s="49"/>
      <c r="D229" s="49"/>
      <c r="E229" s="49"/>
      <c r="F229" s="49"/>
      <c r="G229" s="49"/>
      <c r="H229" s="49"/>
      <c r="I229" s="49"/>
    </row>
    <row r="230">
      <c r="A230" s="49"/>
      <c r="B230" s="49"/>
      <c r="C230" s="49"/>
      <c r="D230" s="49"/>
      <c r="E230" s="49"/>
      <c r="F230" s="49"/>
      <c r="G230" s="49"/>
      <c r="H230" s="49"/>
      <c r="I230" s="49"/>
    </row>
    <row r="231">
      <c r="A231" s="49"/>
      <c r="B231" s="49"/>
      <c r="C231" s="49"/>
      <c r="D231" s="49"/>
      <c r="E231" s="49"/>
      <c r="F231" s="49"/>
      <c r="G231" s="49"/>
      <c r="H231" s="49"/>
      <c r="I231" s="49"/>
    </row>
    <row r="232">
      <c r="A232" s="49"/>
      <c r="B232" s="49"/>
      <c r="C232" s="49"/>
      <c r="D232" s="49"/>
      <c r="E232" s="49"/>
      <c r="F232" s="49"/>
      <c r="G232" s="49"/>
      <c r="H232" s="49"/>
      <c r="I232" s="49"/>
    </row>
    <row r="233">
      <c r="A233" s="49"/>
      <c r="B233" s="49"/>
      <c r="C233" s="49"/>
      <c r="D233" s="49"/>
      <c r="E233" s="49"/>
      <c r="F233" s="49"/>
      <c r="G233" s="49"/>
      <c r="H233" s="49"/>
      <c r="I233" s="49"/>
    </row>
    <row r="234">
      <c r="A234" s="49"/>
      <c r="B234" s="49"/>
      <c r="C234" s="49"/>
      <c r="D234" s="49"/>
      <c r="E234" s="49"/>
      <c r="F234" s="49"/>
      <c r="G234" s="49"/>
      <c r="H234" s="49"/>
      <c r="I234" s="49"/>
    </row>
    <row r="235">
      <c r="A235" s="49"/>
      <c r="B235" s="49"/>
      <c r="C235" s="49"/>
      <c r="D235" s="49"/>
      <c r="E235" s="49"/>
      <c r="F235" s="49"/>
      <c r="G235" s="49"/>
      <c r="H235" s="49"/>
      <c r="I235" s="49"/>
    </row>
    <row r="236">
      <c r="A236" s="49"/>
      <c r="B236" s="49"/>
      <c r="C236" s="49"/>
      <c r="D236" s="49"/>
      <c r="E236" s="49"/>
      <c r="F236" s="49"/>
      <c r="G236" s="49"/>
      <c r="H236" s="49"/>
      <c r="I236" s="49"/>
    </row>
    <row r="237">
      <c r="A237" s="49"/>
      <c r="B237" s="49"/>
      <c r="C237" s="49"/>
      <c r="D237" s="49"/>
      <c r="E237" s="49"/>
      <c r="F237" s="49"/>
      <c r="G237" s="49"/>
      <c r="H237" s="49"/>
      <c r="I237" s="49"/>
    </row>
    <row r="238">
      <c r="A238" s="49"/>
      <c r="B238" s="49"/>
      <c r="C238" s="49"/>
      <c r="D238" s="49"/>
      <c r="E238" s="49"/>
      <c r="F238" s="49"/>
      <c r="G238" s="49"/>
      <c r="H238" s="49"/>
      <c r="I238" s="49"/>
    </row>
    <row r="239">
      <c r="A239" s="49"/>
      <c r="B239" s="49"/>
      <c r="C239" s="49"/>
      <c r="D239" s="49"/>
      <c r="E239" s="49"/>
      <c r="F239" s="49"/>
      <c r="G239" s="49"/>
      <c r="H239" s="49"/>
      <c r="I239" s="49"/>
    </row>
    <row r="240">
      <c r="A240" s="49"/>
      <c r="B240" s="49"/>
      <c r="C240" s="49"/>
      <c r="D240" s="49"/>
      <c r="E240" s="49"/>
      <c r="F240" s="49"/>
      <c r="G240" s="49"/>
      <c r="H240" s="49"/>
      <c r="I240" s="49"/>
    </row>
    <row r="241">
      <c r="A241" s="49"/>
      <c r="B241" s="49"/>
      <c r="C241" s="49"/>
      <c r="D241" s="49"/>
      <c r="E241" s="49"/>
      <c r="F241" s="49"/>
      <c r="G241" s="49"/>
      <c r="H241" s="49"/>
      <c r="I241" s="49"/>
    </row>
    <row r="242">
      <c r="A242" s="49"/>
      <c r="B242" s="49"/>
      <c r="C242" s="49"/>
      <c r="D242" s="49"/>
      <c r="E242" s="49"/>
      <c r="F242" s="49"/>
      <c r="G242" s="49"/>
      <c r="H242" s="49"/>
      <c r="I242" s="49"/>
    </row>
    <row r="243">
      <c r="A243" s="49"/>
      <c r="B243" s="49"/>
      <c r="C243" s="49"/>
      <c r="D243" s="49"/>
      <c r="E243" s="49"/>
      <c r="F243" s="49"/>
      <c r="G243" s="49"/>
      <c r="H243" s="49"/>
      <c r="I243" s="49"/>
    </row>
    <row r="244">
      <c r="A244" s="49"/>
      <c r="B244" s="49"/>
      <c r="C244" s="49"/>
      <c r="D244" s="49"/>
      <c r="E244" s="49"/>
      <c r="F244" s="49"/>
      <c r="G244" s="49"/>
      <c r="H244" s="49"/>
      <c r="I244" s="49"/>
    </row>
    <row r="245">
      <c r="A245" s="49"/>
      <c r="B245" s="49"/>
      <c r="C245" s="49"/>
      <c r="D245" s="49"/>
      <c r="E245" s="49"/>
      <c r="F245" s="49"/>
      <c r="G245" s="49"/>
      <c r="H245" s="49"/>
      <c r="I245" s="49"/>
    </row>
    <row r="246">
      <c r="A246" s="49"/>
      <c r="B246" s="49"/>
      <c r="C246" s="49"/>
      <c r="D246" s="49"/>
      <c r="E246" s="49"/>
      <c r="F246" s="49"/>
      <c r="G246" s="49"/>
      <c r="H246" s="49"/>
      <c r="I246" s="49"/>
    </row>
    <row r="247">
      <c r="A247" s="49"/>
      <c r="B247" s="49"/>
      <c r="C247" s="49"/>
      <c r="D247" s="49"/>
      <c r="E247" s="49"/>
      <c r="F247" s="49"/>
      <c r="G247" s="49"/>
      <c r="H247" s="49"/>
      <c r="I247" s="49"/>
    </row>
    <row r="248">
      <c r="A248" s="49"/>
      <c r="B248" s="49"/>
      <c r="C248" s="49"/>
      <c r="D248" s="49"/>
      <c r="E248" s="49"/>
      <c r="F248" s="49"/>
      <c r="G248" s="49"/>
      <c r="H248" s="49"/>
      <c r="I248" s="49"/>
    </row>
    <row r="249">
      <c r="A249" s="49"/>
      <c r="B249" s="49"/>
      <c r="C249" s="49"/>
      <c r="D249" s="49"/>
      <c r="E249" s="49"/>
      <c r="F249" s="49"/>
      <c r="G249" s="49"/>
      <c r="H249" s="49"/>
      <c r="I249" s="49"/>
    </row>
    <row r="250">
      <c r="A250" s="49"/>
      <c r="B250" s="49"/>
      <c r="C250" s="49"/>
      <c r="D250" s="49"/>
      <c r="E250" s="49"/>
      <c r="F250" s="49"/>
      <c r="G250" s="49"/>
      <c r="H250" s="49"/>
      <c r="I250" s="49"/>
    </row>
    <row r="251">
      <c r="A251" s="49"/>
      <c r="B251" s="49"/>
      <c r="C251" s="49"/>
      <c r="D251" s="49"/>
      <c r="E251" s="49"/>
      <c r="F251" s="49"/>
      <c r="G251" s="49"/>
      <c r="H251" s="49"/>
      <c r="I251" s="49"/>
    </row>
    <row r="252">
      <c r="A252" s="49"/>
      <c r="B252" s="49"/>
      <c r="C252" s="49"/>
      <c r="D252" s="49"/>
      <c r="E252" s="49"/>
      <c r="F252" s="49"/>
      <c r="G252" s="49"/>
      <c r="H252" s="49"/>
      <c r="I252" s="49"/>
    </row>
    <row r="253">
      <c r="A253" s="49"/>
      <c r="B253" s="49"/>
      <c r="C253" s="49"/>
      <c r="D253" s="49"/>
      <c r="E253" s="49"/>
      <c r="F253" s="49"/>
      <c r="G253" s="49"/>
      <c r="H253" s="49"/>
      <c r="I253" s="49"/>
    </row>
    <row r="254">
      <c r="A254" s="49"/>
      <c r="B254" s="49"/>
      <c r="C254" s="49"/>
      <c r="D254" s="49"/>
      <c r="E254" s="49"/>
      <c r="F254" s="49"/>
      <c r="G254" s="49"/>
      <c r="H254" s="49"/>
      <c r="I254" s="49"/>
    </row>
    <row r="255">
      <c r="A255" s="49"/>
      <c r="B255" s="49"/>
      <c r="C255" s="49"/>
      <c r="D255" s="49"/>
      <c r="E255" s="49"/>
      <c r="F255" s="49"/>
      <c r="G255" s="49"/>
      <c r="H255" s="49"/>
      <c r="I255" s="49"/>
    </row>
    <row r="256">
      <c r="A256" s="49"/>
      <c r="B256" s="49"/>
      <c r="C256" s="49"/>
      <c r="D256" s="49"/>
      <c r="E256" s="49"/>
      <c r="F256" s="49"/>
      <c r="G256" s="49"/>
      <c r="H256" s="49"/>
      <c r="I256" s="49"/>
    </row>
    <row r="257">
      <c r="A257" s="49"/>
      <c r="B257" s="49"/>
      <c r="C257" s="49"/>
      <c r="D257" s="49"/>
      <c r="E257" s="49"/>
      <c r="F257" s="49"/>
      <c r="G257" s="49"/>
      <c r="H257" s="49"/>
      <c r="I257" s="49"/>
    </row>
    <row r="258">
      <c r="A258" s="49"/>
      <c r="B258" s="49"/>
      <c r="C258" s="49"/>
      <c r="D258" s="49"/>
      <c r="E258" s="49"/>
      <c r="F258" s="49"/>
      <c r="G258" s="49"/>
      <c r="H258" s="49"/>
      <c r="I258" s="49"/>
    </row>
    <row r="259">
      <c r="A259" s="49"/>
      <c r="B259" s="49"/>
      <c r="C259" s="49"/>
      <c r="D259" s="49"/>
      <c r="E259" s="49"/>
      <c r="F259" s="49"/>
      <c r="G259" s="49"/>
      <c r="H259" s="49"/>
      <c r="I259" s="49"/>
    </row>
    <row r="260">
      <c r="A260" s="49"/>
      <c r="B260" s="49"/>
      <c r="C260" s="49"/>
      <c r="D260" s="49"/>
      <c r="E260" s="49"/>
      <c r="F260" s="49"/>
      <c r="G260" s="49"/>
      <c r="H260" s="49"/>
      <c r="I260" s="49"/>
    </row>
    <row r="261">
      <c r="A261" s="49"/>
      <c r="B261" s="49"/>
      <c r="C261" s="49"/>
      <c r="D261" s="49"/>
      <c r="E261" s="49"/>
      <c r="F261" s="49"/>
      <c r="G261" s="49"/>
      <c r="H261" s="49"/>
      <c r="I261" s="49"/>
    </row>
    <row r="262">
      <c r="A262" s="49"/>
      <c r="B262" s="49"/>
      <c r="C262" s="49"/>
      <c r="D262" s="49"/>
      <c r="E262" s="49"/>
      <c r="F262" s="49"/>
      <c r="G262" s="49"/>
      <c r="H262" s="49"/>
      <c r="I262" s="49"/>
    </row>
    <row r="263">
      <c r="A263" s="49"/>
      <c r="B263" s="49"/>
      <c r="C263" s="49"/>
      <c r="D263" s="49"/>
      <c r="E263" s="49"/>
      <c r="F263" s="49"/>
      <c r="G263" s="49"/>
      <c r="H263" s="49"/>
      <c r="I263" s="49"/>
    </row>
    <row r="264">
      <c r="A264" s="49"/>
      <c r="B264" s="49"/>
      <c r="C264" s="49"/>
      <c r="D264" s="49"/>
      <c r="E264" s="49"/>
      <c r="F264" s="49"/>
      <c r="G264" s="49"/>
      <c r="H264" s="49"/>
      <c r="I264" s="49"/>
    </row>
    <row r="265">
      <c r="A265" s="49"/>
      <c r="B265" s="49"/>
      <c r="C265" s="49"/>
      <c r="D265" s="49"/>
      <c r="E265" s="49"/>
      <c r="F265" s="49"/>
      <c r="G265" s="49"/>
      <c r="H265" s="49"/>
      <c r="I265" s="49"/>
    </row>
    <row r="266">
      <c r="A266" s="49"/>
      <c r="B266" s="49"/>
      <c r="C266" s="49"/>
      <c r="D266" s="49"/>
      <c r="E266" s="49"/>
      <c r="F266" s="49"/>
      <c r="G266" s="49"/>
      <c r="H266" s="49"/>
      <c r="I266" s="49"/>
    </row>
    <row r="267">
      <c r="A267" s="49"/>
      <c r="B267" s="49"/>
      <c r="C267" s="49"/>
      <c r="D267" s="49"/>
      <c r="E267" s="49"/>
      <c r="F267" s="49"/>
      <c r="G267" s="49"/>
      <c r="H267" s="49"/>
      <c r="I267" s="49"/>
    </row>
    <row r="268">
      <c r="A268" s="49"/>
      <c r="B268" s="49"/>
      <c r="C268" s="49"/>
      <c r="D268" s="49"/>
      <c r="E268" s="49"/>
      <c r="F268" s="49"/>
      <c r="G268" s="49"/>
      <c r="H268" s="49"/>
      <c r="I268" s="49"/>
    </row>
    <row r="269">
      <c r="A269" s="49"/>
      <c r="B269" s="49"/>
      <c r="C269" s="49"/>
      <c r="D269" s="49"/>
      <c r="E269" s="49"/>
      <c r="F269" s="49"/>
      <c r="G269" s="49"/>
      <c r="H269" s="49"/>
      <c r="I269" s="49"/>
    </row>
    <row r="270">
      <c r="A270" s="49"/>
      <c r="B270" s="49"/>
      <c r="C270" s="49"/>
      <c r="D270" s="49"/>
      <c r="E270" s="49"/>
      <c r="F270" s="49"/>
      <c r="G270" s="49"/>
      <c r="H270" s="49"/>
      <c r="I270" s="49"/>
    </row>
    <row r="271">
      <c r="A271" s="49"/>
      <c r="B271" s="49"/>
      <c r="C271" s="49"/>
      <c r="D271" s="49"/>
      <c r="E271" s="49"/>
      <c r="F271" s="49"/>
      <c r="G271" s="49"/>
      <c r="H271" s="49"/>
      <c r="I271" s="49"/>
    </row>
    <row r="272">
      <c r="A272" s="49"/>
      <c r="B272" s="49"/>
      <c r="C272" s="49"/>
      <c r="D272" s="49"/>
      <c r="E272" s="49"/>
      <c r="F272" s="49"/>
      <c r="G272" s="49"/>
      <c r="H272" s="49"/>
      <c r="I272" s="49"/>
    </row>
    <row r="273">
      <c r="A273" s="49"/>
      <c r="B273" s="49"/>
      <c r="C273" s="49"/>
      <c r="D273" s="49"/>
      <c r="E273" s="49"/>
      <c r="F273" s="49"/>
      <c r="G273" s="49"/>
      <c r="H273" s="49"/>
      <c r="I273" s="49"/>
    </row>
    <row r="274">
      <c r="A274" s="49"/>
      <c r="B274" s="49"/>
      <c r="C274" s="49"/>
      <c r="D274" s="49"/>
      <c r="E274" s="49"/>
      <c r="F274" s="49"/>
      <c r="G274" s="49"/>
      <c r="H274" s="49"/>
      <c r="I274" s="49"/>
    </row>
    <row r="275">
      <c r="A275" s="49"/>
      <c r="B275" s="49"/>
      <c r="C275" s="49"/>
      <c r="D275" s="49"/>
      <c r="E275" s="49"/>
      <c r="F275" s="49"/>
      <c r="G275" s="49"/>
      <c r="H275" s="49"/>
      <c r="I275" s="49"/>
    </row>
    <row r="276">
      <c r="A276" s="49"/>
      <c r="B276" s="49"/>
      <c r="C276" s="49"/>
      <c r="D276" s="49"/>
      <c r="E276" s="49"/>
      <c r="F276" s="49"/>
      <c r="G276" s="49"/>
      <c r="H276" s="49"/>
      <c r="I276" s="49"/>
    </row>
    <row r="277">
      <c r="A277" s="49"/>
      <c r="B277" s="49"/>
      <c r="C277" s="49"/>
      <c r="D277" s="49"/>
      <c r="E277" s="49"/>
      <c r="F277" s="49"/>
      <c r="G277" s="49"/>
      <c r="H277" s="49"/>
      <c r="I277" s="49"/>
    </row>
    <row r="278">
      <c r="A278" s="49"/>
      <c r="B278" s="49"/>
      <c r="C278" s="49"/>
      <c r="D278" s="49"/>
      <c r="E278" s="49"/>
      <c r="F278" s="49"/>
      <c r="G278" s="49"/>
      <c r="H278" s="49"/>
      <c r="I278" s="49"/>
    </row>
    <row r="279">
      <c r="A279" s="49"/>
      <c r="B279" s="49"/>
      <c r="C279" s="49"/>
      <c r="D279" s="49"/>
      <c r="E279" s="49"/>
      <c r="F279" s="49"/>
      <c r="G279" s="49"/>
      <c r="H279" s="49"/>
      <c r="I279" s="49"/>
    </row>
    <row r="280">
      <c r="A280" s="49"/>
      <c r="B280" s="49"/>
      <c r="C280" s="49"/>
      <c r="D280" s="49"/>
      <c r="E280" s="49"/>
      <c r="F280" s="49"/>
      <c r="G280" s="49"/>
      <c r="H280" s="49"/>
      <c r="I280" s="49"/>
    </row>
    <row r="281">
      <c r="A281" s="49"/>
      <c r="B281" s="49"/>
      <c r="C281" s="49"/>
      <c r="D281" s="49"/>
      <c r="E281" s="49"/>
      <c r="F281" s="49"/>
      <c r="G281" s="49"/>
      <c r="H281" s="49"/>
      <c r="I281" s="49"/>
    </row>
    <row r="282">
      <c r="A282" s="49"/>
      <c r="B282" s="49"/>
      <c r="C282" s="49"/>
      <c r="D282" s="49"/>
      <c r="E282" s="49"/>
      <c r="F282" s="49"/>
      <c r="G282" s="49"/>
      <c r="H282" s="49"/>
      <c r="I282" s="49"/>
    </row>
    <row r="283">
      <c r="A283" s="49"/>
      <c r="B283" s="49"/>
      <c r="C283" s="49"/>
      <c r="D283" s="49"/>
      <c r="E283" s="49"/>
      <c r="F283" s="49"/>
      <c r="G283" s="49"/>
      <c r="H283" s="49"/>
      <c r="I283" s="49"/>
    </row>
    <row r="284">
      <c r="A284" s="49"/>
      <c r="B284" s="49"/>
      <c r="C284" s="49"/>
      <c r="D284" s="49"/>
      <c r="E284" s="49"/>
      <c r="F284" s="49"/>
      <c r="G284" s="49"/>
      <c r="H284" s="49"/>
      <c r="I284" s="49"/>
    </row>
    <row r="285">
      <c r="A285" s="49"/>
      <c r="B285" s="49"/>
      <c r="C285" s="49"/>
      <c r="D285" s="49"/>
      <c r="E285" s="49"/>
      <c r="F285" s="49"/>
      <c r="G285" s="49"/>
      <c r="H285" s="49"/>
      <c r="I285" s="49"/>
    </row>
    <row r="286">
      <c r="A286" s="49"/>
      <c r="B286" s="49"/>
      <c r="C286" s="49"/>
      <c r="D286" s="49"/>
      <c r="E286" s="49"/>
      <c r="F286" s="49"/>
      <c r="G286" s="49"/>
      <c r="H286" s="49"/>
      <c r="I286" s="49"/>
    </row>
    <row r="287">
      <c r="A287" s="49"/>
      <c r="B287" s="49"/>
      <c r="C287" s="49"/>
      <c r="D287" s="49"/>
      <c r="E287" s="49"/>
      <c r="F287" s="49"/>
      <c r="G287" s="49"/>
      <c r="H287" s="49"/>
      <c r="I287" s="49"/>
    </row>
    <row r="288">
      <c r="A288" s="49"/>
      <c r="B288" s="49"/>
      <c r="C288" s="49"/>
      <c r="D288" s="49"/>
      <c r="E288" s="49"/>
      <c r="F288" s="49"/>
      <c r="G288" s="49"/>
      <c r="H288" s="49"/>
      <c r="I288" s="49"/>
    </row>
    <row r="289">
      <c r="A289" s="49"/>
      <c r="B289" s="49"/>
      <c r="C289" s="49"/>
      <c r="D289" s="49"/>
      <c r="E289" s="49"/>
      <c r="F289" s="49"/>
      <c r="G289" s="49"/>
      <c r="H289" s="49"/>
      <c r="I289" s="49"/>
    </row>
    <row r="290">
      <c r="A290" s="49"/>
      <c r="B290" s="49"/>
      <c r="C290" s="49"/>
      <c r="D290" s="49"/>
      <c r="E290" s="49"/>
      <c r="F290" s="49"/>
      <c r="G290" s="49"/>
      <c r="H290" s="49"/>
      <c r="I290" s="49"/>
    </row>
    <row r="291">
      <c r="A291" s="49"/>
      <c r="B291" s="49"/>
      <c r="C291" s="49"/>
      <c r="D291" s="49"/>
      <c r="E291" s="49"/>
      <c r="F291" s="49"/>
      <c r="G291" s="49"/>
      <c r="H291" s="49"/>
      <c r="I291" s="49"/>
    </row>
    <row r="292">
      <c r="A292" s="49"/>
      <c r="B292" s="49"/>
      <c r="C292" s="49"/>
      <c r="D292" s="49"/>
      <c r="E292" s="49"/>
      <c r="F292" s="49"/>
      <c r="G292" s="49"/>
      <c r="H292" s="49"/>
      <c r="I292" s="49"/>
    </row>
    <row r="293">
      <c r="A293" s="49"/>
      <c r="B293" s="49"/>
      <c r="C293" s="49"/>
      <c r="D293" s="49"/>
      <c r="E293" s="49"/>
      <c r="F293" s="49"/>
      <c r="G293" s="49"/>
      <c r="H293" s="49"/>
      <c r="I293" s="49"/>
    </row>
    <row r="294">
      <c r="A294" s="49"/>
      <c r="B294" s="49"/>
      <c r="C294" s="49"/>
      <c r="D294" s="49"/>
      <c r="E294" s="49"/>
      <c r="F294" s="49"/>
      <c r="G294" s="49"/>
      <c r="H294" s="49"/>
      <c r="I294" s="49"/>
    </row>
    <row r="295">
      <c r="A295" s="49"/>
      <c r="B295" s="49"/>
      <c r="C295" s="49"/>
      <c r="D295" s="49"/>
      <c r="E295" s="49"/>
      <c r="F295" s="49"/>
      <c r="G295" s="49"/>
      <c r="H295" s="49"/>
      <c r="I295" s="49"/>
    </row>
    <row r="296">
      <c r="A296" s="49"/>
      <c r="B296" s="49"/>
      <c r="C296" s="49"/>
      <c r="D296" s="49"/>
      <c r="E296" s="49"/>
      <c r="F296" s="49"/>
      <c r="G296" s="49"/>
      <c r="H296" s="49"/>
      <c r="I296" s="49"/>
    </row>
    <row r="297">
      <c r="A297" s="49"/>
      <c r="B297" s="49"/>
      <c r="C297" s="49"/>
      <c r="D297" s="49"/>
      <c r="E297" s="49"/>
      <c r="F297" s="49"/>
      <c r="G297" s="49"/>
      <c r="H297" s="49"/>
      <c r="I297" s="49"/>
    </row>
    <row r="298">
      <c r="A298" s="49"/>
      <c r="B298" s="49"/>
      <c r="C298" s="49"/>
      <c r="D298" s="49"/>
      <c r="E298" s="49"/>
      <c r="F298" s="49"/>
      <c r="G298" s="49"/>
      <c r="H298" s="49"/>
      <c r="I298" s="49"/>
    </row>
    <row r="299">
      <c r="A299" s="49"/>
      <c r="B299" s="49"/>
      <c r="C299" s="49"/>
      <c r="D299" s="49"/>
      <c r="E299" s="49"/>
      <c r="F299" s="49"/>
      <c r="G299" s="49"/>
      <c r="H299" s="49"/>
      <c r="I299" s="49"/>
    </row>
    <row r="300">
      <c r="A300" s="49"/>
      <c r="B300" s="49"/>
      <c r="C300" s="49"/>
      <c r="D300" s="49"/>
      <c r="E300" s="49"/>
      <c r="F300" s="49"/>
      <c r="G300" s="49"/>
      <c r="H300" s="49"/>
      <c r="I300" s="49"/>
    </row>
    <row r="301">
      <c r="A301" s="49"/>
      <c r="B301" s="49"/>
      <c r="C301" s="49"/>
      <c r="D301" s="49"/>
      <c r="E301" s="49"/>
      <c r="F301" s="49"/>
      <c r="G301" s="49"/>
      <c r="H301" s="49"/>
      <c r="I301" s="49"/>
    </row>
    <row r="302">
      <c r="A302" s="49"/>
      <c r="B302" s="49"/>
      <c r="C302" s="49"/>
      <c r="D302" s="49"/>
      <c r="E302" s="49"/>
      <c r="F302" s="49"/>
      <c r="G302" s="49"/>
      <c r="H302" s="49"/>
      <c r="I302" s="49"/>
    </row>
    <row r="303">
      <c r="A303" s="49"/>
      <c r="B303" s="49"/>
      <c r="C303" s="49"/>
      <c r="D303" s="49"/>
      <c r="E303" s="49"/>
      <c r="F303" s="49"/>
      <c r="G303" s="49"/>
      <c r="H303" s="49"/>
      <c r="I303" s="49"/>
    </row>
    <row r="304">
      <c r="A304" s="49"/>
      <c r="B304" s="49"/>
      <c r="C304" s="49"/>
      <c r="D304" s="49"/>
      <c r="E304" s="49"/>
      <c r="F304" s="49"/>
      <c r="G304" s="49"/>
      <c r="H304" s="49"/>
      <c r="I304" s="49"/>
    </row>
    <row r="305">
      <c r="A305" s="49"/>
      <c r="B305" s="49"/>
      <c r="C305" s="49"/>
      <c r="D305" s="49"/>
      <c r="E305" s="49"/>
      <c r="F305" s="49"/>
      <c r="G305" s="49"/>
      <c r="H305" s="49"/>
      <c r="I305" s="49"/>
    </row>
    <row r="306">
      <c r="A306" s="49"/>
      <c r="B306" s="49"/>
      <c r="C306" s="49"/>
      <c r="D306" s="49"/>
      <c r="E306" s="49"/>
      <c r="F306" s="49"/>
      <c r="G306" s="49"/>
      <c r="H306" s="49"/>
      <c r="I306" s="49"/>
    </row>
    <row r="307">
      <c r="A307" s="49"/>
      <c r="B307" s="49"/>
      <c r="C307" s="49"/>
      <c r="D307" s="49"/>
      <c r="E307" s="49"/>
      <c r="F307" s="49"/>
      <c r="G307" s="49"/>
      <c r="H307" s="49"/>
      <c r="I307" s="49"/>
    </row>
    <row r="308">
      <c r="A308" s="49"/>
      <c r="B308" s="49"/>
      <c r="C308" s="49"/>
      <c r="D308" s="49"/>
      <c r="E308" s="49"/>
      <c r="F308" s="49"/>
      <c r="G308" s="49"/>
      <c r="H308" s="49"/>
      <c r="I308" s="49"/>
    </row>
    <row r="309">
      <c r="A309" s="49"/>
      <c r="B309" s="49"/>
      <c r="C309" s="49"/>
      <c r="D309" s="49"/>
      <c r="E309" s="49"/>
      <c r="F309" s="49"/>
      <c r="G309" s="49"/>
      <c r="H309" s="49"/>
      <c r="I309" s="49"/>
    </row>
    <row r="310">
      <c r="A310" s="49"/>
      <c r="B310" s="49"/>
      <c r="C310" s="49"/>
      <c r="D310" s="49"/>
      <c r="E310" s="49"/>
      <c r="F310" s="49"/>
      <c r="G310" s="49"/>
      <c r="H310" s="49"/>
      <c r="I310" s="49"/>
    </row>
    <row r="311">
      <c r="A311" s="49"/>
      <c r="B311" s="49"/>
      <c r="C311" s="49"/>
      <c r="D311" s="49"/>
      <c r="E311" s="49"/>
      <c r="F311" s="49"/>
      <c r="G311" s="49"/>
      <c r="H311" s="49"/>
      <c r="I311" s="49"/>
    </row>
    <row r="312">
      <c r="A312" s="49"/>
      <c r="B312" s="49"/>
      <c r="C312" s="49"/>
      <c r="D312" s="49"/>
      <c r="E312" s="49"/>
      <c r="F312" s="49"/>
      <c r="G312" s="49"/>
      <c r="H312" s="49"/>
      <c r="I312" s="49"/>
    </row>
    <row r="313">
      <c r="A313" s="49"/>
      <c r="B313" s="49"/>
      <c r="C313" s="49"/>
      <c r="D313" s="49"/>
      <c r="E313" s="49"/>
      <c r="F313" s="49"/>
      <c r="G313" s="49"/>
      <c r="H313" s="49"/>
      <c r="I313" s="49"/>
    </row>
    <row r="314">
      <c r="A314" s="49"/>
      <c r="B314" s="49"/>
      <c r="C314" s="49"/>
      <c r="D314" s="49"/>
      <c r="E314" s="49"/>
      <c r="F314" s="49"/>
      <c r="G314" s="49"/>
      <c r="H314" s="49"/>
      <c r="I314" s="49"/>
    </row>
    <row r="315">
      <c r="A315" s="49"/>
      <c r="B315" s="49"/>
      <c r="C315" s="49"/>
      <c r="D315" s="49"/>
      <c r="E315" s="49"/>
      <c r="F315" s="49"/>
      <c r="G315" s="49"/>
      <c r="H315" s="49"/>
      <c r="I315" s="49"/>
    </row>
    <row r="316">
      <c r="A316" s="49"/>
      <c r="B316" s="49"/>
      <c r="C316" s="49"/>
      <c r="D316" s="49"/>
      <c r="E316" s="49"/>
      <c r="F316" s="49"/>
      <c r="G316" s="49"/>
      <c r="H316" s="49"/>
      <c r="I316" s="49"/>
    </row>
    <row r="317">
      <c r="A317" s="49"/>
      <c r="B317" s="49"/>
      <c r="C317" s="49"/>
      <c r="D317" s="49"/>
      <c r="E317" s="49"/>
      <c r="F317" s="49"/>
      <c r="G317" s="49"/>
      <c r="H317" s="49"/>
      <c r="I317" s="49"/>
    </row>
    <row r="318">
      <c r="A318" s="49"/>
      <c r="B318" s="49"/>
      <c r="C318" s="49"/>
      <c r="D318" s="49"/>
      <c r="E318" s="49"/>
      <c r="F318" s="49"/>
      <c r="G318" s="49"/>
      <c r="H318" s="49"/>
      <c r="I318" s="49"/>
    </row>
    <row r="319">
      <c r="A319" s="49"/>
      <c r="B319" s="49"/>
      <c r="C319" s="49"/>
      <c r="D319" s="49"/>
      <c r="E319" s="49"/>
      <c r="F319" s="49"/>
      <c r="G319" s="49"/>
      <c r="H319" s="49"/>
      <c r="I319" s="49"/>
    </row>
    <row r="320">
      <c r="A320" s="49"/>
      <c r="B320" s="49"/>
      <c r="C320" s="49"/>
      <c r="D320" s="49"/>
      <c r="E320" s="49"/>
      <c r="F320" s="49"/>
      <c r="G320" s="49"/>
      <c r="H320" s="49"/>
      <c r="I320" s="49"/>
    </row>
    <row r="321">
      <c r="A321" s="49"/>
      <c r="B321" s="49"/>
      <c r="C321" s="49"/>
      <c r="D321" s="49"/>
      <c r="E321" s="49"/>
      <c r="F321" s="49"/>
      <c r="G321" s="49"/>
      <c r="H321" s="49"/>
      <c r="I321" s="49"/>
    </row>
    <row r="322">
      <c r="A322" s="49"/>
      <c r="B322" s="49"/>
      <c r="C322" s="49"/>
      <c r="D322" s="49"/>
      <c r="E322" s="49"/>
      <c r="F322" s="49"/>
      <c r="G322" s="49"/>
      <c r="H322" s="49"/>
      <c r="I322" s="49"/>
    </row>
    <row r="323">
      <c r="A323" s="49"/>
      <c r="B323" s="49"/>
      <c r="C323" s="49"/>
      <c r="D323" s="49"/>
      <c r="E323" s="49"/>
      <c r="F323" s="49"/>
      <c r="G323" s="49"/>
      <c r="H323" s="49"/>
      <c r="I323" s="49"/>
    </row>
    <row r="324">
      <c r="A324" s="49"/>
      <c r="B324" s="49"/>
      <c r="C324" s="49"/>
      <c r="D324" s="49"/>
      <c r="E324" s="49"/>
      <c r="F324" s="49"/>
      <c r="G324" s="49"/>
      <c r="H324" s="49"/>
      <c r="I324" s="49"/>
    </row>
    <row r="325">
      <c r="A325" s="49"/>
      <c r="B325" s="49"/>
      <c r="C325" s="49"/>
      <c r="D325" s="49"/>
      <c r="E325" s="49"/>
      <c r="F325" s="49"/>
      <c r="G325" s="49"/>
      <c r="H325" s="49"/>
      <c r="I325" s="49"/>
    </row>
    <row r="326">
      <c r="A326" s="49"/>
      <c r="B326" s="49"/>
      <c r="C326" s="49"/>
      <c r="D326" s="49"/>
      <c r="E326" s="49"/>
      <c r="F326" s="49"/>
      <c r="G326" s="49"/>
      <c r="H326" s="49"/>
      <c r="I326" s="49"/>
    </row>
    <row r="327">
      <c r="A327" s="49"/>
      <c r="B327" s="49"/>
      <c r="C327" s="49"/>
      <c r="D327" s="49"/>
      <c r="E327" s="49"/>
      <c r="F327" s="49"/>
      <c r="G327" s="49"/>
      <c r="H327" s="49"/>
      <c r="I327" s="49"/>
    </row>
    <row r="328">
      <c r="A328" s="49"/>
      <c r="B328" s="49"/>
      <c r="C328" s="49"/>
      <c r="D328" s="49"/>
      <c r="E328" s="49"/>
      <c r="F328" s="49"/>
      <c r="G328" s="49"/>
      <c r="H328" s="49"/>
      <c r="I328" s="49"/>
    </row>
    <row r="329">
      <c r="A329" s="49"/>
      <c r="B329" s="49"/>
      <c r="C329" s="49"/>
      <c r="D329" s="49"/>
      <c r="E329" s="49"/>
      <c r="F329" s="49"/>
      <c r="G329" s="49"/>
      <c r="H329" s="49"/>
      <c r="I329" s="49"/>
    </row>
    <row r="330">
      <c r="A330" s="49"/>
      <c r="B330" s="49"/>
      <c r="C330" s="49"/>
      <c r="D330" s="49"/>
      <c r="E330" s="49"/>
      <c r="F330" s="49"/>
      <c r="G330" s="49"/>
      <c r="H330" s="49"/>
      <c r="I330" s="49"/>
    </row>
    <row r="331">
      <c r="A331" s="49"/>
      <c r="B331" s="49"/>
      <c r="C331" s="49"/>
      <c r="D331" s="49"/>
      <c r="E331" s="49"/>
      <c r="F331" s="49"/>
      <c r="G331" s="49"/>
      <c r="H331" s="49"/>
      <c r="I331" s="49"/>
    </row>
    <row r="332">
      <c r="A332" s="49"/>
      <c r="B332" s="49"/>
      <c r="C332" s="49"/>
      <c r="D332" s="49"/>
      <c r="E332" s="49"/>
      <c r="F332" s="49"/>
      <c r="G332" s="49"/>
      <c r="H332" s="49"/>
      <c r="I332" s="49"/>
    </row>
    <row r="333">
      <c r="A333" s="49"/>
      <c r="B333" s="49"/>
      <c r="C333" s="49"/>
      <c r="D333" s="49"/>
      <c r="E333" s="49"/>
      <c r="F333" s="49"/>
      <c r="G333" s="49"/>
      <c r="H333" s="49"/>
      <c r="I333" s="49"/>
    </row>
    <row r="334">
      <c r="A334" s="49"/>
      <c r="B334" s="49"/>
      <c r="C334" s="49"/>
      <c r="D334" s="49"/>
      <c r="E334" s="49"/>
      <c r="F334" s="49"/>
      <c r="G334" s="49"/>
      <c r="H334" s="49"/>
      <c r="I334" s="49"/>
    </row>
    <row r="335">
      <c r="A335" s="49"/>
      <c r="B335" s="49"/>
      <c r="C335" s="49"/>
      <c r="D335" s="49"/>
      <c r="E335" s="49"/>
      <c r="F335" s="49"/>
      <c r="G335" s="49"/>
      <c r="H335" s="49"/>
      <c r="I335" s="49"/>
    </row>
    <row r="336">
      <c r="A336" s="49"/>
      <c r="B336" s="49"/>
      <c r="C336" s="49"/>
      <c r="D336" s="49"/>
      <c r="E336" s="49"/>
      <c r="F336" s="49"/>
      <c r="G336" s="49"/>
      <c r="H336" s="49"/>
      <c r="I336" s="49"/>
    </row>
    <row r="337">
      <c r="A337" s="49"/>
      <c r="B337" s="49"/>
      <c r="C337" s="49"/>
      <c r="D337" s="49"/>
      <c r="E337" s="49"/>
      <c r="F337" s="49"/>
      <c r="G337" s="49"/>
      <c r="H337" s="49"/>
      <c r="I337" s="49"/>
    </row>
    <row r="338">
      <c r="A338" s="49"/>
      <c r="B338" s="49"/>
      <c r="C338" s="49"/>
      <c r="D338" s="49"/>
      <c r="E338" s="49"/>
      <c r="F338" s="49"/>
      <c r="G338" s="49"/>
      <c r="H338" s="49"/>
      <c r="I338" s="49"/>
    </row>
    <row r="339">
      <c r="A339" s="49"/>
      <c r="B339" s="49"/>
      <c r="C339" s="49"/>
      <c r="D339" s="49"/>
      <c r="E339" s="49"/>
      <c r="F339" s="49"/>
      <c r="G339" s="49"/>
      <c r="H339" s="49"/>
      <c r="I339" s="49"/>
    </row>
    <row r="340">
      <c r="A340" s="49"/>
      <c r="B340" s="49"/>
      <c r="C340" s="49"/>
      <c r="D340" s="49"/>
      <c r="E340" s="49"/>
      <c r="F340" s="49"/>
      <c r="G340" s="49"/>
      <c r="H340" s="49"/>
      <c r="I340" s="49"/>
    </row>
    <row r="341">
      <c r="A341" s="49"/>
      <c r="B341" s="49"/>
      <c r="C341" s="49"/>
      <c r="D341" s="49"/>
      <c r="E341" s="49"/>
      <c r="F341" s="49"/>
      <c r="G341" s="49"/>
      <c r="H341" s="49"/>
      <c r="I341" s="49"/>
    </row>
    <row r="342">
      <c r="A342" s="49"/>
      <c r="B342" s="49"/>
      <c r="C342" s="49"/>
      <c r="D342" s="49"/>
      <c r="E342" s="49"/>
      <c r="F342" s="49"/>
      <c r="G342" s="49"/>
      <c r="H342" s="49"/>
      <c r="I342" s="49"/>
    </row>
    <row r="343">
      <c r="A343" s="49"/>
      <c r="B343" s="49"/>
      <c r="C343" s="49"/>
      <c r="D343" s="49"/>
      <c r="E343" s="49"/>
      <c r="F343" s="49"/>
      <c r="G343" s="49"/>
      <c r="H343" s="49"/>
      <c r="I343" s="49"/>
    </row>
    <row r="344">
      <c r="A344" s="49"/>
      <c r="B344" s="49"/>
      <c r="C344" s="49"/>
      <c r="D344" s="49"/>
      <c r="E344" s="49"/>
      <c r="F344" s="49"/>
      <c r="G344" s="49"/>
      <c r="H344" s="49"/>
      <c r="I344" s="49"/>
    </row>
    <row r="345">
      <c r="A345" s="49"/>
      <c r="B345" s="49"/>
      <c r="C345" s="49"/>
      <c r="D345" s="49"/>
      <c r="E345" s="49"/>
      <c r="F345" s="49"/>
      <c r="G345" s="49"/>
      <c r="H345" s="49"/>
      <c r="I345" s="49"/>
    </row>
    <row r="346">
      <c r="A346" s="49"/>
      <c r="B346" s="49"/>
      <c r="C346" s="49"/>
      <c r="D346" s="49"/>
      <c r="E346" s="49"/>
      <c r="F346" s="49"/>
      <c r="G346" s="49"/>
      <c r="H346" s="49"/>
      <c r="I346" s="49"/>
    </row>
    <row r="347">
      <c r="A347" s="49"/>
      <c r="B347" s="49"/>
      <c r="C347" s="49"/>
      <c r="D347" s="49"/>
      <c r="E347" s="49"/>
      <c r="F347" s="49"/>
      <c r="G347" s="49"/>
      <c r="H347" s="49"/>
      <c r="I347" s="49"/>
    </row>
    <row r="348">
      <c r="A348" s="49"/>
      <c r="B348" s="49"/>
      <c r="C348" s="49"/>
      <c r="D348" s="49"/>
      <c r="E348" s="49"/>
      <c r="F348" s="49"/>
      <c r="G348" s="49"/>
      <c r="H348" s="49"/>
      <c r="I348" s="49"/>
    </row>
    <row r="349">
      <c r="A349" s="49"/>
      <c r="B349" s="49"/>
      <c r="C349" s="49"/>
      <c r="D349" s="49"/>
      <c r="E349" s="49"/>
      <c r="F349" s="49"/>
      <c r="G349" s="49"/>
      <c r="H349" s="49"/>
      <c r="I349" s="49"/>
    </row>
    <row r="350">
      <c r="A350" s="49"/>
      <c r="B350" s="49"/>
      <c r="C350" s="49"/>
      <c r="D350" s="49"/>
      <c r="E350" s="49"/>
      <c r="F350" s="49"/>
      <c r="G350" s="49"/>
      <c r="H350" s="49"/>
      <c r="I350" s="49"/>
    </row>
    <row r="351">
      <c r="A351" s="49"/>
      <c r="B351" s="49"/>
      <c r="C351" s="49"/>
      <c r="D351" s="49"/>
      <c r="E351" s="49"/>
      <c r="F351" s="49"/>
      <c r="G351" s="49"/>
      <c r="H351" s="49"/>
      <c r="I351" s="49"/>
    </row>
    <row r="352">
      <c r="A352" s="49"/>
      <c r="B352" s="49"/>
      <c r="C352" s="49"/>
      <c r="D352" s="49"/>
      <c r="E352" s="49"/>
      <c r="F352" s="49"/>
      <c r="G352" s="49"/>
      <c r="H352" s="49"/>
      <c r="I352" s="49"/>
    </row>
    <row r="353">
      <c r="A353" s="49"/>
      <c r="B353" s="49"/>
      <c r="C353" s="49"/>
      <c r="D353" s="49"/>
      <c r="E353" s="49"/>
      <c r="F353" s="49"/>
      <c r="G353" s="49"/>
      <c r="H353" s="49"/>
      <c r="I353" s="49"/>
    </row>
    <row r="354">
      <c r="A354" s="49"/>
      <c r="B354" s="49"/>
      <c r="C354" s="49"/>
      <c r="D354" s="49"/>
      <c r="E354" s="49"/>
      <c r="F354" s="49"/>
      <c r="G354" s="49"/>
      <c r="H354" s="49"/>
      <c r="I354" s="49"/>
    </row>
    <row r="355">
      <c r="A355" s="49"/>
      <c r="B355" s="49"/>
      <c r="C355" s="49"/>
      <c r="D355" s="49"/>
      <c r="E355" s="49"/>
      <c r="F355" s="49"/>
      <c r="G355" s="49"/>
      <c r="H355" s="49"/>
      <c r="I355" s="49"/>
    </row>
    <row r="356">
      <c r="A356" s="49"/>
      <c r="B356" s="49"/>
      <c r="C356" s="49"/>
      <c r="D356" s="49"/>
      <c r="E356" s="49"/>
      <c r="F356" s="49"/>
      <c r="G356" s="49"/>
      <c r="H356" s="49"/>
      <c r="I356" s="49"/>
    </row>
    <row r="357">
      <c r="A357" s="49"/>
      <c r="B357" s="49"/>
      <c r="C357" s="49"/>
      <c r="D357" s="49"/>
      <c r="E357" s="49"/>
      <c r="F357" s="49"/>
      <c r="G357" s="49"/>
      <c r="H357" s="49"/>
      <c r="I357" s="49"/>
    </row>
    <row r="358">
      <c r="A358" s="49"/>
      <c r="B358" s="49"/>
      <c r="C358" s="49"/>
      <c r="D358" s="49"/>
      <c r="E358" s="49"/>
      <c r="F358" s="49"/>
      <c r="G358" s="49"/>
      <c r="H358" s="49"/>
      <c r="I358" s="49"/>
    </row>
    <row r="359">
      <c r="A359" s="49"/>
      <c r="B359" s="49"/>
      <c r="C359" s="49"/>
      <c r="D359" s="49"/>
      <c r="E359" s="49"/>
      <c r="F359" s="49"/>
      <c r="G359" s="49"/>
      <c r="H359" s="49"/>
      <c r="I359" s="49"/>
    </row>
    <row r="360">
      <c r="A360" s="49"/>
      <c r="B360" s="49"/>
      <c r="C360" s="49"/>
      <c r="D360" s="49"/>
      <c r="E360" s="49"/>
      <c r="F360" s="49"/>
      <c r="G360" s="49"/>
      <c r="H360" s="49"/>
      <c r="I360" s="49"/>
    </row>
    <row r="361">
      <c r="A361" s="49"/>
      <c r="B361" s="49"/>
      <c r="C361" s="49"/>
      <c r="D361" s="49"/>
      <c r="E361" s="49"/>
      <c r="F361" s="49"/>
      <c r="G361" s="49"/>
      <c r="H361" s="49"/>
      <c r="I361" s="49"/>
    </row>
    <row r="362">
      <c r="A362" s="49"/>
      <c r="B362" s="49"/>
      <c r="C362" s="49"/>
      <c r="D362" s="49"/>
      <c r="E362" s="49"/>
      <c r="F362" s="49"/>
      <c r="G362" s="49"/>
      <c r="H362" s="49"/>
      <c r="I362" s="49"/>
    </row>
    <row r="363">
      <c r="A363" s="49"/>
      <c r="B363" s="49"/>
      <c r="C363" s="49"/>
      <c r="D363" s="49"/>
      <c r="E363" s="49"/>
      <c r="F363" s="49"/>
      <c r="G363" s="49"/>
      <c r="H363" s="49"/>
      <c r="I363" s="49"/>
    </row>
    <row r="364">
      <c r="A364" s="49"/>
      <c r="B364" s="49"/>
      <c r="C364" s="49"/>
      <c r="D364" s="49"/>
      <c r="E364" s="49"/>
      <c r="F364" s="49"/>
      <c r="G364" s="49"/>
      <c r="H364" s="49"/>
      <c r="I364" s="49"/>
    </row>
    <row r="365">
      <c r="A365" s="49"/>
      <c r="B365" s="49"/>
      <c r="C365" s="49"/>
      <c r="D365" s="49"/>
      <c r="E365" s="49"/>
      <c r="F365" s="49"/>
      <c r="G365" s="49"/>
      <c r="H365" s="49"/>
      <c r="I365" s="49"/>
    </row>
    <row r="366">
      <c r="A366" s="49"/>
      <c r="B366" s="49"/>
      <c r="C366" s="49"/>
      <c r="D366" s="49"/>
      <c r="E366" s="49"/>
      <c r="F366" s="49"/>
      <c r="G366" s="49"/>
      <c r="H366" s="49"/>
      <c r="I366" s="49"/>
    </row>
    <row r="367">
      <c r="A367" s="49"/>
      <c r="B367" s="49"/>
      <c r="C367" s="49"/>
      <c r="D367" s="49"/>
      <c r="E367" s="49"/>
      <c r="F367" s="49"/>
      <c r="G367" s="49"/>
      <c r="H367" s="49"/>
      <c r="I367" s="49"/>
    </row>
    <row r="368">
      <c r="A368" s="49"/>
      <c r="B368" s="49"/>
      <c r="C368" s="49"/>
      <c r="D368" s="49"/>
      <c r="E368" s="49"/>
      <c r="F368" s="49"/>
      <c r="G368" s="49"/>
      <c r="H368" s="49"/>
      <c r="I368" s="49"/>
    </row>
    <row r="369">
      <c r="A369" s="49"/>
      <c r="B369" s="49"/>
      <c r="C369" s="49"/>
      <c r="D369" s="49"/>
      <c r="E369" s="49"/>
      <c r="F369" s="49"/>
      <c r="G369" s="49"/>
      <c r="H369" s="49"/>
      <c r="I369" s="49"/>
    </row>
    <row r="370">
      <c r="A370" s="49"/>
      <c r="B370" s="49"/>
      <c r="C370" s="49"/>
      <c r="D370" s="49"/>
      <c r="E370" s="49"/>
      <c r="F370" s="49"/>
      <c r="G370" s="49"/>
      <c r="H370" s="49"/>
      <c r="I370" s="49"/>
    </row>
    <row r="371">
      <c r="A371" s="49"/>
      <c r="B371" s="49"/>
      <c r="C371" s="49"/>
      <c r="D371" s="49"/>
      <c r="E371" s="49"/>
      <c r="F371" s="49"/>
      <c r="G371" s="49"/>
      <c r="H371" s="49"/>
      <c r="I371" s="49"/>
    </row>
    <row r="372">
      <c r="A372" s="49"/>
      <c r="B372" s="49"/>
      <c r="C372" s="49"/>
      <c r="D372" s="49"/>
      <c r="E372" s="49"/>
      <c r="F372" s="49"/>
      <c r="G372" s="49"/>
      <c r="H372" s="49"/>
      <c r="I372" s="49"/>
    </row>
    <row r="373">
      <c r="A373" s="49"/>
      <c r="B373" s="49"/>
      <c r="C373" s="49"/>
      <c r="D373" s="49"/>
      <c r="E373" s="49"/>
      <c r="F373" s="49"/>
      <c r="G373" s="49"/>
      <c r="H373" s="49"/>
      <c r="I373" s="49"/>
    </row>
    <row r="374">
      <c r="A374" s="49"/>
      <c r="B374" s="49"/>
      <c r="C374" s="49"/>
      <c r="D374" s="49"/>
      <c r="E374" s="49"/>
      <c r="F374" s="49"/>
      <c r="G374" s="49"/>
      <c r="H374" s="49"/>
      <c r="I374" s="49"/>
    </row>
    <row r="375">
      <c r="A375" s="49"/>
      <c r="B375" s="49"/>
      <c r="C375" s="49"/>
      <c r="D375" s="49"/>
      <c r="E375" s="49"/>
      <c r="F375" s="49"/>
      <c r="G375" s="49"/>
      <c r="H375" s="49"/>
      <c r="I375" s="49"/>
    </row>
    <row r="376">
      <c r="A376" s="49"/>
      <c r="B376" s="49"/>
      <c r="C376" s="49"/>
      <c r="D376" s="49"/>
      <c r="E376" s="49"/>
      <c r="F376" s="49"/>
      <c r="G376" s="49"/>
      <c r="H376" s="49"/>
      <c r="I376" s="49"/>
    </row>
    <row r="377">
      <c r="A377" s="49"/>
      <c r="B377" s="49"/>
      <c r="C377" s="49"/>
      <c r="D377" s="49"/>
      <c r="E377" s="49"/>
      <c r="F377" s="49"/>
      <c r="G377" s="49"/>
      <c r="H377" s="49"/>
      <c r="I377" s="49"/>
    </row>
    <row r="378">
      <c r="A378" s="49"/>
      <c r="B378" s="49"/>
      <c r="C378" s="49"/>
      <c r="D378" s="49"/>
      <c r="E378" s="49"/>
      <c r="F378" s="49"/>
      <c r="G378" s="49"/>
      <c r="H378" s="49"/>
      <c r="I378" s="49"/>
    </row>
    <row r="379">
      <c r="A379" s="49"/>
      <c r="B379" s="49"/>
      <c r="C379" s="49"/>
      <c r="D379" s="49"/>
      <c r="E379" s="49"/>
      <c r="F379" s="49"/>
      <c r="G379" s="49"/>
      <c r="H379" s="49"/>
      <c r="I379" s="49"/>
    </row>
    <row r="380">
      <c r="A380" s="49"/>
      <c r="B380" s="49"/>
      <c r="C380" s="49"/>
      <c r="D380" s="49"/>
      <c r="E380" s="49"/>
      <c r="F380" s="49"/>
      <c r="G380" s="49"/>
      <c r="H380" s="49"/>
      <c r="I380" s="49"/>
    </row>
    <row r="381">
      <c r="A381" s="49"/>
      <c r="B381" s="49"/>
      <c r="C381" s="49"/>
      <c r="D381" s="49"/>
      <c r="E381" s="49"/>
      <c r="F381" s="49"/>
      <c r="G381" s="49"/>
      <c r="H381" s="49"/>
      <c r="I381" s="49"/>
    </row>
    <row r="382">
      <c r="A382" s="49"/>
      <c r="B382" s="49"/>
      <c r="C382" s="49"/>
      <c r="D382" s="49"/>
      <c r="E382" s="49"/>
      <c r="F382" s="49"/>
      <c r="G382" s="49"/>
      <c r="H382" s="49"/>
      <c r="I382" s="49"/>
    </row>
    <row r="383">
      <c r="A383" s="49"/>
      <c r="B383" s="49"/>
      <c r="C383" s="49"/>
      <c r="D383" s="49"/>
      <c r="E383" s="49"/>
      <c r="F383" s="49"/>
      <c r="G383" s="49"/>
      <c r="H383" s="49"/>
      <c r="I383" s="49"/>
    </row>
    <row r="384">
      <c r="A384" s="49"/>
      <c r="B384" s="49"/>
      <c r="C384" s="49"/>
      <c r="D384" s="49"/>
      <c r="E384" s="49"/>
      <c r="F384" s="49"/>
      <c r="G384" s="49"/>
      <c r="H384" s="49"/>
      <c r="I384" s="49"/>
    </row>
    <row r="385">
      <c r="A385" s="49"/>
      <c r="B385" s="49"/>
      <c r="C385" s="49"/>
      <c r="D385" s="49"/>
      <c r="E385" s="49"/>
      <c r="F385" s="49"/>
      <c r="G385" s="49"/>
      <c r="H385" s="49"/>
      <c r="I385" s="49"/>
    </row>
    <row r="386">
      <c r="A386" s="49"/>
      <c r="B386" s="49"/>
      <c r="C386" s="49"/>
      <c r="D386" s="49"/>
      <c r="E386" s="49"/>
      <c r="F386" s="49"/>
      <c r="G386" s="49"/>
      <c r="H386" s="49"/>
      <c r="I386" s="49"/>
    </row>
    <row r="387">
      <c r="A387" s="49"/>
      <c r="B387" s="49"/>
      <c r="C387" s="49"/>
      <c r="D387" s="49"/>
      <c r="E387" s="49"/>
      <c r="F387" s="49"/>
      <c r="G387" s="49"/>
      <c r="H387" s="49"/>
      <c r="I387" s="49"/>
    </row>
    <row r="388">
      <c r="A388" s="49"/>
      <c r="B388" s="49"/>
      <c r="C388" s="49"/>
      <c r="D388" s="49"/>
      <c r="E388" s="49"/>
      <c r="F388" s="49"/>
      <c r="G388" s="49"/>
      <c r="H388" s="49"/>
      <c r="I388" s="49"/>
    </row>
    <row r="389">
      <c r="A389" s="49"/>
      <c r="B389" s="49"/>
      <c r="C389" s="49"/>
      <c r="D389" s="49"/>
      <c r="E389" s="49"/>
      <c r="F389" s="49"/>
      <c r="G389" s="49"/>
      <c r="H389" s="49"/>
      <c r="I389" s="49"/>
    </row>
    <row r="390">
      <c r="A390" s="49"/>
      <c r="B390" s="49"/>
      <c r="C390" s="49"/>
      <c r="D390" s="49"/>
      <c r="E390" s="49"/>
      <c r="F390" s="49"/>
      <c r="G390" s="49"/>
      <c r="H390" s="49"/>
      <c r="I390" s="49"/>
    </row>
    <row r="391">
      <c r="A391" s="49"/>
      <c r="B391" s="49"/>
      <c r="C391" s="49"/>
      <c r="D391" s="49"/>
      <c r="E391" s="49"/>
      <c r="F391" s="49"/>
      <c r="G391" s="49"/>
      <c r="H391" s="49"/>
      <c r="I391" s="49"/>
    </row>
    <row r="392">
      <c r="A392" s="49"/>
      <c r="B392" s="49"/>
      <c r="C392" s="49"/>
      <c r="D392" s="49"/>
      <c r="E392" s="49"/>
      <c r="F392" s="49"/>
      <c r="G392" s="49"/>
      <c r="H392" s="49"/>
      <c r="I392" s="49"/>
    </row>
    <row r="393">
      <c r="A393" s="49"/>
      <c r="B393" s="49"/>
      <c r="C393" s="49"/>
      <c r="D393" s="49"/>
      <c r="E393" s="49"/>
      <c r="F393" s="49"/>
      <c r="G393" s="49"/>
      <c r="H393" s="49"/>
      <c r="I393" s="49"/>
    </row>
    <row r="394">
      <c r="A394" s="49"/>
      <c r="B394" s="49"/>
      <c r="C394" s="49"/>
      <c r="D394" s="49"/>
      <c r="E394" s="49"/>
      <c r="F394" s="49"/>
      <c r="G394" s="49"/>
      <c r="H394" s="49"/>
      <c r="I394" s="49"/>
    </row>
    <row r="395">
      <c r="A395" s="49"/>
      <c r="B395" s="49"/>
      <c r="C395" s="49"/>
      <c r="D395" s="49"/>
      <c r="E395" s="49"/>
      <c r="F395" s="49"/>
      <c r="G395" s="49"/>
      <c r="H395" s="49"/>
      <c r="I395" s="49"/>
    </row>
    <row r="396">
      <c r="A396" s="49"/>
      <c r="B396" s="49"/>
      <c r="C396" s="49"/>
      <c r="D396" s="49"/>
      <c r="E396" s="49"/>
      <c r="F396" s="49"/>
      <c r="G396" s="49"/>
      <c r="H396" s="49"/>
      <c r="I396" s="49"/>
    </row>
    <row r="397">
      <c r="A397" s="49"/>
      <c r="B397" s="49"/>
      <c r="C397" s="49"/>
      <c r="D397" s="49"/>
      <c r="E397" s="49"/>
      <c r="F397" s="49"/>
      <c r="G397" s="49"/>
      <c r="H397" s="49"/>
      <c r="I397" s="49"/>
    </row>
    <row r="398">
      <c r="A398" s="49"/>
      <c r="B398" s="49"/>
      <c r="C398" s="49"/>
      <c r="D398" s="49"/>
      <c r="E398" s="49"/>
      <c r="F398" s="49"/>
      <c r="G398" s="49"/>
      <c r="H398" s="49"/>
      <c r="I398" s="49"/>
    </row>
    <row r="399">
      <c r="A399" s="49"/>
      <c r="B399" s="49"/>
      <c r="C399" s="49"/>
      <c r="D399" s="49"/>
      <c r="E399" s="49"/>
      <c r="F399" s="49"/>
      <c r="G399" s="49"/>
      <c r="H399" s="49"/>
      <c r="I399" s="49"/>
    </row>
    <row r="400">
      <c r="A400" s="49"/>
      <c r="B400" s="49"/>
      <c r="C400" s="49"/>
      <c r="D400" s="49"/>
      <c r="E400" s="49"/>
      <c r="F400" s="49"/>
      <c r="G400" s="49"/>
      <c r="H400" s="49"/>
      <c r="I400" s="49"/>
    </row>
    <row r="401">
      <c r="A401" s="49"/>
      <c r="B401" s="49"/>
      <c r="C401" s="49"/>
      <c r="D401" s="49"/>
      <c r="E401" s="49"/>
      <c r="F401" s="49"/>
      <c r="G401" s="49"/>
      <c r="H401" s="49"/>
      <c r="I401" s="49"/>
    </row>
    <row r="402">
      <c r="A402" s="49"/>
      <c r="B402" s="49"/>
      <c r="C402" s="49"/>
      <c r="D402" s="49"/>
      <c r="E402" s="49"/>
      <c r="F402" s="49"/>
      <c r="G402" s="49"/>
      <c r="H402" s="49"/>
      <c r="I402" s="49"/>
    </row>
    <row r="403">
      <c r="A403" s="49"/>
      <c r="B403" s="49"/>
      <c r="C403" s="49"/>
      <c r="D403" s="49"/>
      <c r="E403" s="49"/>
      <c r="F403" s="49"/>
      <c r="G403" s="49"/>
      <c r="H403" s="49"/>
      <c r="I403" s="49"/>
    </row>
    <row r="404">
      <c r="A404" s="49"/>
      <c r="B404" s="49"/>
      <c r="C404" s="49"/>
      <c r="D404" s="49"/>
      <c r="E404" s="49"/>
      <c r="F404" s="49"/>
      <c r="G404" s="49"/>
      <c r="H404" s="49"/>
      <c r="I404" s="49"/>
    </row>
    <row r="405">
      <c r="A405" s="49"/>
      <c r="B405" s="49"/>
      <c r="C405" s="49"/>
      <c r="D405" s="49"/>
      <c r="E405" s="49"/>
      <c r="F405" s="49"/>
      <c r="G405" s="49"/>
      <c r="H405" s="49"/>
      <c r="I405" s="49"/>
    </row>
    <row r="406">
      <c r="A406" s="49"/>
      <c r="B406" s="49"/>
      <c r="C406" s="49"/>
      <c r="D406" s="49"/>
      <c r="E406" s="49"/>
      <c r="F406" s="49"/>
      <c r="G406" s="49"/>
      <c r="H406" s="49"/>
      <c r="I406" s="49"/>
    </row>
    <row r="407">
      <c r="A407" s="49"/>
      <c r="B407" s="49"/>
      <c r="C407" s="49"/>
      <c r="D407" s="49"/>
      <c r="E407" s="49"/>
      <c r="F407" s="49"/>
      <c r="G407" s="49"/>
      <c r="H407" s="49"/>
      <c r="I407" s="49"/>
    </row>
    <row r="408">
      <c r="A408" s="49"/>
      <c r="B408" s="49"/>
      <c r="C408" s="49"/>
      <c r="D408" s="49"/>
      <c r="E408" s="49"/>
      <c r="F408" s="49"/>
      <c r="G408" s="49"/>
      <c r="H408" s="49"/>
      <c r="I408" s="49"/>
    </row>
    <row r="409">
      <c r="A409" s="49"/>
      <c r="B409" s="49"/>
      <c r="C409" s="49"/>
      <c r="D409" s="49"/>
      <c r="E409" s="49"/>
      <c r="F409" s="49"/>
      <c r="G409" s="49"/>
      <c r="H409" s="49"/>
      <c r="I409" s="49"/>
    </row>
    <row r="410">
      <c r="A410" s="49"/>
      <c r="B410" s="49"/>
      <c r="C410" s="49"/>
      <c r="D410" s="49"/>
      <c r="E410" s="49"/>
      <c r="F410" s="49"/>
      <c r="G410" s="49"/>
      <c r="H410" s="49"/>
      <c r="I410" s="49"/>
    </row>
    <row r="411">
      <c r="A411" s="49"/>
      <c r="B411" s="49"/>
      <c r="C411" s="49"/>
      <c r="D411" s="49"/>
      <c r="E411" s="49"/>
      <c r="F411" s="49"/>
      <c r="G411" s="49"/>
      <c r="H411" s="49"/>
      <c r="I411" s="49"/>
    </row>
    <row r="412">
      <c r="A412" s="49"/>
      <c r="B412" s="49"/>
      <c r="C412" s="49"/>
      <c r="D412" s="49"/>
      <c r="E412" s="49"/>
      <c r="F412" s="49"/>
      <c r="G412" s="49"/>
      <c r="H412" s="49"/>
      <c r="I412" s="49"/>
    </row>
    <row r="413">
      <c r="A413" s="49"/>
      <c r="B413" s="49"/>
      <c r="C413" s="49"/>
      <c r="D413" s="49"/>
      <c r="E413" s="49"/>
      <c r="F413" s="49"/>
      <c r="G413" s="49"/>
      <c r="H413" s="49"/>
      <c r="I413" s="49"/>
    </row>
    <row r="414">
      <c r="A414" s="49"/>
      <c r="B414" s="49"/>
      <c r="C414" s="49"/>
      <c r="D414" s="49"/>
      <c r="E414" s="49"/>
      <c r="F414" s="49"/>
      <c r="G414" s="49"/>
      <c r="H414" s="49"/>
      <c r="I414" s="49"/>
    </row>
    <row r="415">
      <c r="A415" s="49"/>
      <c r="B415" s="49"/>
      <c r="C415" s="49"/>
      <c r="D415" s="49"/>
      <c r="E415" s="49"/>
      <c r="F415" s="49"/>
      <c r="G415" s="49"/>
      <c r="H415" s="49"/>
      <c r="I415" s="49"/>
    </row>
    <row r="416">
      <c r="A416" s="49"/>
      <c r="B416" s="49"/>
      <c r="C416" s="49"/>
      <c r="D416" s="49"/>
      <c r="E416" s="49"/>
      <c r="F416" s="49"/>
      <c r="G416" s="49"/>
      <c r="H416" s="49"/>
      <c r="I416" s="49"/>
    </row>
    <row r="417">
      <c r="A417" s="49"/>
      <c r="B417" s="49"/>
      <c r="C417" s="49"/>
      <c r="D417" s="49"/>
      <c r="E417" s="49"/>
      <c r="F417" s="49"/>
      <c r="G417" s="49"/>
      <c r="H417" s="49"/>
      <c r="I417" s="49"/>
    </row>
    <row r="418">
      <c r="A418" s="49"/>
      <c r="B418" s="49"/>
      <c r="C418" s="49"/>
      <c r="D418" s="49"/>
      <c r="E418" s="49"/>
      <c r="F418" s="49"/>
      <c r="G418" s="49"/>
      <c r="H418" s="49"/>
      <c r="I418" s="49"/>
    </row>
    <row r="419">
      <c r="A419" s="49"/>
      <c r="B419" s="49"/>
      <c r="C419" s="49"/>
      <c r="D419" s="49"/>
      <c r="E419" s="49"/>
      <c r="F419" s="49"/>
      <c r="G419" s="49"/>
      <c r="H419" s="49"/>
      <c r="I419" s="49"/>
    </row>
    <row r="420">
      <c r="A420" s="49"/>
      <c r="B420" s="49"/>
      <c r="C420" s="49"/>
      <c r="D420" s="49"/>
      <c r="E420" s="49"/>
      <c r="F420" s="49"/>
      <c r="G420" s="49"/>
      <c r="H420" s="49"/>
      <c r="I420" s="49"/>
    </row>
    <row r="421">
      <c r="A421" s="49"/>
      <c r="B421" s="49"/>
      <c r="C421" s="49"/>
      <c r="D421" s="49"/>
      <c r="E421" s="49"/>
      <c r="F421" s="49"/>
      <c r="G421" s="49"/>
      <c r="H421" s="49"/>
      <c r="I421" s="49"/>
    </row>
    <row r="422">
      <c r="A422" s="49"/>
      <c r="B422" s="49"/>
      <c r="C422" s="49"/>
      <c r="D422" s="49"/>
      <c r="E422" s="49"/>
      <c r="F422" s="49"/>
      <c r="G422" s="49"/>
      <c r="H422" s="49"/>
      <c r="I422" s="49"/>
    </row>
    <row r="423">
      <c r="A423" s="49"/>
      <c r="B423" s="49"/>
      <c r="C423" s="49"/>
      <c r="D423" s="49"/>
      <c r="E423" s="49"/>
      <c r="F423" s="49"/>
      <c r="G423" s="49"/>
      <c r="H423" s="49"/>
      <c r="I423" s="49"/>
    </row>
    <row r="424">
      <c r="A424" s="49"/>
      <c r="B424" s="49"/>
      <c r="C424" s="49"/>
      <c r="D424" s="49"/>
      <c r="E424" s="49"/>
      <c r="F424" s="49"/>
      <c r="G424" s="49"/>
      <c r="H424" s="49"/>
      <c r="I424" s="49"/>
    </row>
    <row r="425">
      <c r="A425" s="49"/>
      <c r="B425" s="49"/>
      <c r="C425" s="49"/>
      <c r="D425" s="49"/>
      <c r="E425" s="49"/>
      <c r="F425" s="49"/>
      <c r="G425" s="49"/>
      <c r="H425" s="49"/>
      <c r="I425" s="49"/>
    </row>
    <row r="426">
      <c r="A426" s="49"/>
      <c r="B426" s="49"/>
      <c r="C426" s="49"/>
      <c r="D426" s="49"/>
      <c r="E426" s="49"/>
      <c r="F426" s="49"/>
      <c r="G426" s="49"/>
      <c r="H426" s="49"/>
      <c r="I426" s="49"/>
    </row>
    <row r="427">
      <c r="A427" s="49"/>
      <c r="B427" s="49"/>
      <c r="C427" s="49"/>
      <c r="D427" s="49"/>
      <c r="E427" s="49"/>
      <c r="F427" s="49"/>
      <c r="G427" s="49"/>
      <c r="H427" s="49"/>
      <c r="I427" s="49"/>
    </row>
    <row r="428">
      <c r="A428" s="49"/>
      <c r="B428" s="49"/>
      <c r="C428" s="49"/>
      <c r="D428" s="49"/>
      <c r="E428" s="49"/>
      <c r="F428" s="49"/>
      <c r="G428" s="49"/>
      <c r="H428" s="49"/>
      <c r="I428" s="49"/>
    </row>
    <row r="429">
      <c r="A429" s="49"/>
      <c r="B429" s="49"/>
      <c r="C429" s="49"/>
      <c r="D429" s="49"/>
      <c r="E429" s="49"/>
      <c r="F429" s="49"/>
      <c r="G429" s="49"/>
      <c r="H429" s="49"/>
      <c r="I429" s="49"/>
    </row>
    <row r="430">
      <c r="A430" s="49"/>
      <c r="B430" s="49"/>
      <c r="C430" s="49"/>
      <c r="D430" s="49"/>
      <c r="E430" s="49"/>
      <c r="F430" s="49"/>
      <c r="G430" s="49"/>
      <c r="H430" s="49"/>
      <c r="I430" s="49"/>
    </row>
    <row r="431">
      <c r="A431" s="49"/>
      <c r="B431" s="49"/>
      <c r="C431" s="49"/>
      <c r="D431" s="49"/>
      <c r="E431" s="49"/>
      <c r="F431" s="49"/>
      <c r="G431" s="49"/>
      <c r="H431" s="49"/>
      <c r="I431" s="49"/>
    </row>
    <row r="432">
      <c r="A432" s="49"/>
      <c r="B432" s="49"/>
      <c r="C432" s="49"/>
      <c r="D432" s="49"/>
      <c r="E432" s="49"/>
      <c r="F432" s="49"/>
      <c r="G432" s="49"/>
      <c r="H432" s="49"/>
      <c r="I432" s="49"/>
    </row>
    <row r="433">
      <c r="A433" s="49"/>
      <c r="B433" s="49"/>
      <c r="C433" s="49"/>
      <c r="D433" s="49"/>
      <c r="E433" s="49"/>
      <c r="F433" s="49"/>
      <c r="G433" s="49"/>
      <c r="H433" s="49"/>
      <c r="I433" s="49"/>
    </row>
    <row r="434">
      <c r="A434" s="49"/>
      <c r="B434" s="49"/>
      <c r="C434" s="49"/>
      <c r="D434" s="49"/>
      <c r="E434" s="49"/>
      <c r="F434" s="49"/>
      <c r="G434" s="49"/>
      <c r="H434" s="49"/>
      <c r="I434" s="49"/>
    </row>
    <row r="435">
      <c r="A435" s="49"/>
      <c r="B435" s="49"/>
      <c r="C435" s="49"/>
      <c r="D435" s="49"/>
      <c r="E435" s="49"/>
      <c r="F435" s="49"/>
      <c r="G435" s="49"/>
      <c r="H435" s="49"/>
      <c r="I435" s="49"/>
    </row>
    <row r="436">
      <c r="A436" s="49"/>
      <c r="B436" s="49"/>
      <c r="C436" s="49"/>
      <c r="D436" s="49"/>
      <c r="E436" s="49"/>
      <c r="F436" s="49"/>
      <c r="G436" s="49"/>
      <c r="H436" s="49"/>
      <c r="I436" s="49"/>
    </row>
    <row r="437">
      <c r="A437" s="49"/>
      <c r="B437" s="49"/>
      <c r="C437" s="49"/>
      <c r="D437" s="49"/>
      <c r="E437" s="49"/>
      <c r="F437" s="49"/>
      <c r="G437" s="49"/>
      <c r="H437" s="49"/>
      <c r="I437" s="49"/>
    </row>
    <row r="438">
      <c r="A438" s="49"/>
      <c r="B438" s="49"/>
      <c r="C438" s="49"/>
      <c r="D438" s="49"/>
      <c r="E438" s="49"/>
      <c r="F438" s="49"/>
      <c r="G438" s="49"/>
      <c r="H438" s="49"/>
      <c r="I438" s="49"/>
    </row>
    <row r="439">
      <c r="A439" s="49"/>
      <c r="B439" s="49"/>
      <c r="C439" s="49"/>
      <c r="D439" s="49"/>
      <c r="E439" s="49"/>
      <c r="F439" s="49"/>
      <c r="G439" s="49"/>
      <c r="H439" s="49"/>
      <c r="I439" s="49"/>
    </row>
    <row r="440">
      <c r="A440" s="49"/>
      <c r="B440" s="49"/>
      <c r="C440" s="49"/>
      <c r="D440" s="49"/>
      <c r="E440" s="49"/>
      <c r="F440" s="49"/>
      <c r="G440" s="49"/>
      <c r="H440" s="49"/>
      <c r="I440" s="49"/>
    </row>
    <row r="441">
      <c r="A441" s="49"/>
      <c r="B441" s="49"/>
      <c r="C441" s="49"/>
      <c r="D441" s="49"/>
      <c r="E441" s="49"/>
      <c r="F441" s="49"/>
      <c r="G441" s="49"/>
      <c r="H441" s="49"/>
      <c r="I441" s="49"/>
    </row>
    <row r="442">
      <c r="A442" s="49"/>
      <c r="B442" s="49"/>
      <c r="C442" s="49"/>
      <c r="D442" s="49"/>
      <c r="E442" s="49"/>
      <c r="F442" s="49"/>
      <c r="G442" s="49"/>
      <c r="H442" s="49"/>
      <c r="I442" s="49"/>
    </row>
    <row r="443">
      <c r="A443" s="49"/>
      <c r="B443" s="49"/>
      <c r="C443" s="49"/>
      <c r="D443" s="49"/>
      <c r="E443" s="49"/>
      <c r="F443" s="49"/>
      <c r="G443" s="49"/>
      <c r="H443" s="49"/>
      <c r="I443" s="49"/>
    </row>
    <row r="444">
      <c r="A444" s="49"/>
      <c r="B444" s="49"/>
      <c r="C444" s="49"/>
      <c r="D444" s="49"/>
      <c r="E444" s="49"/>
      <c r="F444" s="49"/>
      <c r="G444" s="49"/>
      <c r="H444" s="49"/>
      <c r="I444" s="49"/>
    </row>
    <row r="445">
      <c r="A445" s="49"/>
      <c r="B445" s="49"/>
      <c r="C445" s="49"/>
      <c r="D445" s="49"/>
      <c r="E445" s="49"/>
      <c r="F445" s="49"/>
      <c r="G445" s="49"/>
      <c r="H445" s="49"/>
      <c r="I445" s="49"/>
    </row>
    <row r="446">
      <c r="A446" s="49"/>
      <c r="B446" s="49"/>
      <c r="C446" s="49"/>
      <c r="D446" s="49"/>
      <c r="E446" s="49"/>
      <c r="F446" s="49"/>
      <c r="G446" s="49"/>
      <c r="H446" s="49"/>
      <c r="I446" s="49"/>
    </row>
    <row r="447">
      <c r="A447" s="49"/>
      <c r="B447" s="49"/>
      <c r="C447" s="49"/>
      <c r="D447" s="49"/>
      <c r="E447" s="49"/>
      <c r="F447" s="49"/>
      <c r="G447" s="49"/>
      <c r="H447" s="49"/>
      <c r="I447" s="49"/>
    </row>
    <row r="448">
      <c r="A448" s="49"/>
      <c r="B448" s="49"/>
      <c r="C448" s="49"/>
      <c r="D448" s="49"/>
      <c r="E448" s="49"/>
      <c r="F448" s="49"/>
      <c r="G448" s="49"/>
      <c r="H448" s="49"/>
      <c r="I448" s="49"/>
    </row>
    <row r="449">
      <c r="A449" s="49"/>
      <c r="B449" s="49"/>
      <c r="C449" s="49"/>
      <c r="D449" s="49"/>
      <c r="E449" s="49"/>
      <c r="F449" s="49"/>
      <c r="G449" s="49"/>
      <c r="H449" s="49"/>
      <c r="I449" s="49"/>
    </row>
    <row r="450">
      <c r="A450" s="49"/>
      <c r="B450" s="49"/>
      <c r="C450" s="49"/>
      <c r="D450" s="49"/>
      <c r="E450" s="49"/>
      <c r="F450" s="49"/>
      <c r="G450" s="49"/>
      <c r="H450" s="49"/>
      <c r="I450" s="49"/>
    </row>
    <row r="451">
      <c r="A451" s="49"/>
      <c r="B451" s="49"/>
      <c r="C451" s="49"/>
      <c r="D451" s="49"/>
      <c r="E451" s="49"/>
      <c r="F451" s="49"/>
      <c r="G451" s="49"/>
      <c r="H451" s="49"/>
      <c r="I451" s="49"/>
    </row>
    <row r="452">
      <c r="A452" s="49"/>
      <c r="B452" s="49"/>
      <c r="C452" s="49"/>
      <c r="D452" s="49"/>
      <c r="E452" s="49"/>
      <c r="F452" s="49"/>
      <c r="G452" s="49"/>
      <c r="H452" s="49"/>
      <c r="I452" s="49"/>
    </row>
    <row r="453">
      <c r="A453" s="49"/>
      <c r="B453" s="49"/>
      <c r="C453" s="49"/>
      <c r="D453" s="49"/>
      <c r="E453" s="49"/>
      <c r="F453" s="49"/>
      <c r="G453" s="49"/>
      <c r="H453" s="49"/>
      <c r="I453" s="49"/>
    </row>
    <row r="454">
      <c r="A454" s="49"/>
      <c r="B454" s="49"/>
      <c r="C454" s="49"/>
      <c r="D454" s="49"/>
      <c r="E454" s="49"/>
      <c r="F454" s="49"/>
      <c r="G454" s="49"/>
      <c r="H454" s="49"/>
      <c r="I454" s="49"/>
    </row>
    <row r="455">
      <c r="A455" s="49"/>
      <c r="B455" s="49"/>
      <c r="C455" s="49"/>
      <c r="D455" s="49"/>
      <c r="E455" s="49"/>
      <c r="F455" s="49"/>
      <c r="G455" s="49"/>
      <c r="H455" s="49"/>
      <c r="I455" s="49"/>
    </row>
    <row r="456">
      <c r="A456" s="49"/>
      <c r="B456" s="49"/>
      <c r="C456" s="49"/>
      <c r="D456" s="49"/>
      <c r="E456" s="49"/>
      <c r="F456" s="49"/>
      <c r="G456" s="49"/>
      <c r="H456" s="49"/>
      <c r="I456" s="49"/>
    </row>
    <row r="457">
      <c r="A457" s="49"/>
      <c r="B457" s="49"/>
      <c r="C457" s="49"/>
      <c r="D457" s="49"/>
      <c r="E457" s="49"/>
      <c r="F457" s="49"/>
      <c r="G457" s="49"/>
      <c r="H457" s="49"/>
      <c r="I457" s="49"/>
    </row>
    <row r="458">
      <c r="A458" s="49"/>
      <c r="B458" s="49"/>
      <c r="C458" s="49"/>
      <c r="D458" s="49"/>
      <c r="E458" s="49"/>
      <c r="F458" s="49"/>
      <c r="G458" s="49"/>
      <c r="H458" s="49"/>
      <c r="I458" s="49"/>
    </row>
    <row r="459">
      <c r="A459" s="49"/>
      <c r="B459" s="49"/>
      <c r="C459" s="49"/>
      <c r="D459" s="49"/>
      <c r="E459" s="49"/>
      <c r="F459" s="49"/>
      <c r="G459" s="49"/>
      <c r="H459" s="49"/>
      <c r="I459" s="49"/>
    </row>
    <row r="460">
      <c r="A460" s="49"/>
      <c r="B460" s="49"/>
      <c r="C460" s="49"/>
      <c r="D460" s="49"/>
      <c r="E460" s="49"/>
      <c r="F460" s="49"/>
      <c r="G460" s="49"/>
      <c r="H460" s="49"/>
      <c r="I460" s="49"/>
    </row>
    <row r="461">
      <c r="A461" s="49"/>
      <c r="B461" s="49"/>
      <c r="C461" s="49"/>
      <c r="D461" s="49"/>
      <c r="E461" s="49"/>
      <c r="F461" s="49"/>
      <c r="G461" s="49"/>
      <c r="H461" s="49"/>
      <c r="I461" s="49"/>
    </row>
    <row r="462">
      <c r="A462" s="49"/>
      <c r="B462" s="49"/>
      <c r="C462" s="49"/>
      <c r="D462" s="49"/>
      <c r="E462" s="49"/>
      <c r="F462" s="49"/>
      <c r="G462" s="49"/>
      <c r="H462" s="49"/>
      <c r="I462" s="49"/>
    </row>
    <row r="463">
      <c r="A463" s="49"/>
      <c r="B463" s="49"/>
      <c r="C463" s="49"/>
      <c r="D463" s="49"/>
      <c r="E463" s="49"/>
      <c r="F463" s="49"/>
      <c r="G463" s="49"/>
      <c r="H463" s="49"/>
      <c r="I463" s="49"/>
    </row>
    <row r="464">
      <c r="A464" s="49"/>
      <c r="B464" s="49"/>
      <c r="C464" s="49"/>
      <c r="D464" s="49"/>
      <c r="E464" s="49"/>
      <c r="F464" s="49"/>
      <c r="G464" s="49"/>
      <c r="H464" s="49"/>
      <c r="I464" s="49"/>
    </row>
    <row r="465">
      <c r="A465" s="49"/>
      <c r="B465" s="49"/>
      <c r="C465" s="49"/>
      <c r="D465" s="49"/>
      <c r="E465" s="49"/>
      <c r="F465" s="49"/>
      <c r="G465" s="49"/>
      <c r="H465" s="49"/>
      <c r="I465" s="49"/>
    </row>
    <row r="466">
      <c r="A466" s="49"/>
      <c r="B466" s="49"/>
      <c r="C466" s="49"/>
      <c r="D466" s="49"/>
      <c r="E466" s="49"/>
      <c r="F466" s="49"/>
      <c r="G466" s="49"/>
      <c r="H466" s="49"/>
      <c r="I466" s="49"/>
    </row>
    <row r="467">
      <c r="A467" s="49"/>
      <c r="B467" s="49"/>
      <c r="C467" s="49"/>
      <c r="D467" s="49"/>
      <c r="E467" s="49"/>
      <c r="F467" s="49"/>
      <c r="G467" s="49"/>
      <c r="H467" s="49"/>
      <c r="I467" s="49"/>
    </row>
    <row r="468">
      <c r="A468" s="49"/>
      <c r="B468" s="49"/>
      <c r="C468" s="49"/>
      <c r="D468" s="49"/>
      <c r="E468" s="49"/>
      <c r="F468" s="49"/>
      <c r="G468" s="49"/>
      <c r="H468" s="49"/>
      <c r="I468" s="49"/>
    </row>
    <row r="469">
      <c r="A469" s="49"/>
      <c r="B469" s="49"/>
      <c r="C469" s="49"/>
      <c r="D469" s="49"/>
      <c r="E469" s="49"/>
      <c r="F469" s="49"/>
      <c r="G469" s="49"/>
      <c r="H469" s="49"/>
      <c r="I469" s="49"/>
    </row>
    <row r="470">
      <c r="A470" s="49"/>
      <c r="B470" s="49"/>
      <c r="C470" s="49"/>
      <c r="D470" s="49"/>
      <c r="E470" s="49"/>
      <c r="F470" s="49"/>
      <c r="G470" s="49"/>
      <c r="H470" s="49"/>
      <c r="I470" s="49"/>
    </row>
    <row r="471">
      <c r="A471" s="49"/>
      <c r="B471" s="49"/>
      <c r="C471" s="49"/>
      <c r="D471" s="49"/>
      <c r="E471" s="49"/>
      <c r="F471" s="49"/>
      <c r="G471" s="49"/>
      <c r="H471" s="49"/>
      <c r="I471" s="49"/>
    </row>
    <row r="472">
      <c r="A472" s="49"/>
      <c r="B472" s="49"/>
      <c r="C472" s="49"/>
      <c r="D472" s="49"/>
      <c r="E472" s="49"/>
      <c r="F472" s="49"/>
      <c r="G472" s="49"/>
      <c r="H472" s="49"/>
      <c r="I472" s="49"/>
    </row>
    <row r="473">
      <c r="A473" s="49"/>
      <c r="B473" s="49"/>
      <c r="C473" s="49"/>
      <c r="D473" s="49"/>
      <c r="E473" s="49"/>
      <c r="F473" s="49"/>
      <c r="G473" s="49"/>
      <c r="H473" s="49"/>
      <c r="I473" s="49"/>
    </row>
    <row r="474">
      <c r="A474" s="49"/>
      <c r="B474" s="49"/>
      <c r="C474" s="49"/>
      <c r="D474" s="49"/>
      <c r="E474" s="49"/>
      <c r="F474" s="49"/>
      <c r="G474" s="49"/>
      <c r="H474" s="49"/>
      <c r="I474" s="49"/>
    </row>
    <row r="475">
      <c r="A475" s="49"/>
      <c r="B475" s="49"/>
      <c r="C475" s="49"/>
      <c r="D475" s="49"/>
      <c r="E475" s="49"/>
      <c r="F475" s="49"/>
      <c r="G475" s="49"/>
      <c r="H475" s="49"/>
      <c r="I475" s="49"/>
    </row>
    <row r="476">
      <c r="A476" s="49"/>
      <c r="B476" s="49"/>
      <c r="C476" s="49"/>
      <c r="D476" s="49"/>
      <c r="E476" s="49"/>
      <c r="F476" s="49"/>
      <c r="G476" s="49"/>
      <c r="H476" s="49"/>
      <c r="I476" s="49"/>
    </row>
    <row r="477">
      <c r="A477" s="49"/>
      <c r="B477" s="49"/>
      <c r="C477" s="49"/>
      <c r="D477" s="49"/>
      <c r="E477" s="49"/>
      <c r="F477" s="49"/>
      <c r="G477" s="49"/>
      <c r="H477" s="49"/>
      <c r="I477" s="49"/>
    </row>
    <row r="478">
      <c r="A478" s="49"/>
      <c r="B478" s="49"/>
      <c r="C478" s="49"/>
      <c r="D478" s="49"/>
      <c r="E478" s="49"/>
      <c r="F478" s="49"/>
      <c r="G478" s="49"/>
      <c r="H478" s="49"/>
      <c r="I478" s="49"/>
    </row>
    <row r="479">
      <c r="A479" s="49"/>
      <c r="B479" s="49"/>
      <c r="C479" s="49"/>
      <c r="D479" s="49"/>
      <c r="E479" s="49"/>
      <c r="F479" s="49"/>
      <c r="G479" s="49"/>
      <c r="H479" s="49"/>
      <c r="I479" s="49"/>
    </row>
    <row r="480">
      <c r="A480" s="49"/>
      <c r="B480" s="49"/>
      <c r="C480" s="49"/>
      <c r="D480" s="49"/>
      <c r="E480" s="49"/>
      <c r="F480" s="49"/>
      <c r="G480" s="49"/>
      <c r="H480" s="49"/>
      <c r="I480" s="49"/>
    </row>
    <row r="481">
      <c r="A481" s="49"/>
      <c r="B481" s="49"/>
      <c r="C481" s="49"/>
      <c r="D481" s="49"/>
      <c r="E481" s="49"/>
      <c r="F481" s="49"/>
      <c r="G481" s="49"/>
      <c r="H481" s="49"/>
      <c r="I481" s="49"/>
    </row>
    <row r="482">
      <c r="A482" s="49"/>
      <c r="B482" s="49"/>
      <c r="C482" s="49"/>
      <c r="D482" s="49"/>
      <c r="E482" s="49"/>
      <c r="F482" s="49"/>
      <c r="G482" s="49"/>
      <c r="H482" s="49"/>
      <c r="I482" s="49"/>
    </row>
    <row r="483">
      <c r="A483" s="49"/>
      <c r="B483" s="49"/>
      <c r="C483" s="49"/>
      <c r="D483" s="49"/>
      <c r="E483" s="49"/>
      <c r="F483" s="49"/>
      <c r="G483" s="49"/>
      <c r="H483" s="49"/>
      <c r="I483" s="49"/>
    </row>
    <row r="484">
      <c r="A484" s="49"/>
      <c r="B484" s="49"/>
      <c r="C484" s="49"/>
      <c r="D484" s="49"/>
      <c r="E484" s="49"/>
      <c r="F484" s="49"/>
      <c r="G484" s="49"/>
      <c r="H484" s="49"/>
      <c r="I484" s="49"/>
    </row>
    <row r="485">
      <c r="A485" s="49"/>
      <c r="B485" s="49"/>
      <c r="C485" s="49"/>
      <c r="D485" s="49"/>
      <c r="E485" s="49"/>
      <c r="F485" s="49"/>
      <c r="G485" s="49"/>
      <c r="H485" s="49"/>
      <c r="I485" s="49"/>
    </row>
    <row r="486">
      <c r="A486" s="49"/>
      <c r="B486" s="49"/>
      <c r="C486" s="49"/>
      <c r="D486" s="49"/>
      <c r="E486" s="49"/>
      <c r="F486" s="49"/>
      <c r="G486" s="49"/>
      <c r="H486" s="49"/>
      <c r="I486" s="49"/>
    </row>
    <row r="487">
      <c r="A487" s="49"/>
      <c r="B487" s="49"/>
      <c r="C487" s="49"/>
      <c r="D487" s="49"/>
      <c r="E487" s="49"/>
      <c r="F487" s="49"/>
      <c r="G487" s="49"/>
      <c r="H487" s="49"/>
      <c r="I487" s="49"/>
    </row>
    <row r="488">
      <c r="A488" s="49"/>
      <c r="B488" s="49"/>
      <c r="C488" s="49"/>
      <c r="D488" s="49"/>
      <c r="E488" s="49"/>
      <c r="F488" s="49"/>
      <c r="G488" s="49"/>
      <c r="H488" s="49"/>
      <c r="I488" s="49"/>
    </row>
    <row r="489">
      <c r="A489" s="49"/>
      <c r="B489" s="49"/>
      <c r="C489" s="49"/>
      <c r="D489" s="49"/>
      <c r="E489" s="49"/>
      <c r="F489" s="49"/>
      <c r="G489" s="49"/>
      <c r="H489" s="49"/>
      <c r="I489" s="49"/>
    </row>
    <row r="490">
      <c r="A490" s="49"/>
      <c r="B490" s="49"/>
      <c r="C490" s="49"/>
      <c r="D490" s="49"/>
      <c r="E490" s="49"/>
      <c r="F490" s="49"/>
      <c r="G490" s="49"/>
      <c r="H490" s="49"/>
      <c r="I490" s="49"/>
    </row>
    <row r="491">
      <c r="A491" s="49"/>
      <c r="B491" s="49"/>
      <c r="C491" s="49"/>
      <c r="D491" s="49"/>
      <c r="E491" s="49"/>
      <c r="F491" s="49"/>
      <c r="G491" s="49"/>
      <c r="H491" s="49"/>
      <c r="I491" s="49"/>
    </row>
    <row r="492">
      <c r="A492" s="49"/>
      <c r="B492" s="49"/>
      <c r="C492" s="49"/>
      <c r="D492" s="49"/>
      <c r="E492" s="49"/>
      <c r="F492" s="49"/>
      <c r="G492" s="49"/>
      <c r="H492" s="49"/>
      <c r="I492" s="49"/>
    </row>
    <row r="493">
      <c r="A493" s="49"/>
      <c r="B493" s="49"/>
      <c r="C493" s="49"/>
      <c r="D493" s="49"/>
      <c r="E493" s="49"/>
      <c r="F493" s="49"/>
      <c r="G493" s="49"/>
      <c r="H493" s="49"/>
      <c r="I493" s="49"/>
    </row>
    <row r="494">
      <c r="A494" s="49"/>
      <c r="B494" s="49"/>
      <c r="C494" s="49"/>
      <c r="D494" s="49"/>
      <c r="E494" s="49"/>
      <c r="F494" s="49"/>
      <c r="G494" s="49"/>
      <c r="H494" s="49"/>
      <c r="I494" s="49"/>
    </row>
    <row r="495">
      <c r="A495" s="49"/>
      <c r="B495" s="49"/>
      <c r="C495" s="49"/>
      <c r="D495" s="49"/>
      <c r="E495" s="49"/>
      <c r="F495" s="49"/>
      <c r="G495" s="49"/>
      <c r="H495" s="49"/>
      <c r="I495" s="49"/>
    </row>
    <row r="496">
      <c r="A496" s="49"/>
      <c r="B496" s="49"/>
      <c r="C496" s="49"/>
      <c r="D496" s="49"/>
      <c r="E496" s="49"/>
      <c r="F496" s="49"/>
      <c r="G496" s="49"/>
      <c r="H496" s="49"/>
      <c r="I496" s="49"/>
    </row>
    <row r="497">
      <c r="A497" s="49"/>
      <c r="B497" s="49"/>
      <c r="C497" s="49"/>
      <c r="D497" s="49"/>
      <c r="E497" s="49"/>
      <c r="F497" s="49"/>
      <c r="G497" s="49"/>
      <c r="H497" s="49"/>
      <c r="I497" s="49"/>
    </row>
    <row r="498">
      <c r="A498" s="49"/>
      <c r="B498" s="49"/>
      <c r="C498" s="49"/>
      <c r="D498" s="49"/>
      <c r="E498" s="49"/>
      <c r="F498" s="49"/>
      <c r="G498" s="49"/>
      <c r="H498" s="49"/>
      <c r="I498" s="49"/>
    </row>
    <row r="499">
      <c r="A499" s="49"/>
      <c r="B499" s="49"/>
      <c r="C499" s="49"/>
      <c r="D499" s="49"/>
      <c r="E499" s="49"/>
      <c r="F499" s="49"/>
      <c r="G499" s="49"/>
      <c r="H499" s="49"/>
      <c r="I499" s="49"/>
    </row>
    <row r="500">
      <c r="A500" s="49"/>
      <c r="B500" s="49"/>
      <c r="C500" s="49"/>
      <c r="D500" s="49"/>
      <c r="E500" s="49"/>
      <c r="F500" s="49"/>
      <c r="G500" s="49"/>
      <c r="H500" s="49"/>
      <c r="I500" s="49"/>
    </row>
    <row r="501">
      <c r="A501" s="49"/>
      <c r="B501" s="49"/>
      <c r="C501" s="49"/>
      <c r="D501" s="49"/>
      <c r="E501" s="49"/>
      <c r="F501" s="49"/>
      <c r="G501" s="49"/>
      <c r="H501" s="49"/>
      <c r="I501" s="49"/>
    </row>
    <row r="502">
      <c r="A502" s="49"/>
      <c r="B502" s="49"/>
      <c r="C502" s="49"/>
      <c r="D502" s="49"/>
      <c r="E502" s="49"/>
      <c r="F502" s="49"/>
      <c r="G502" s="49"/>
      <c r="H502" s="49"/>
      <c r="I502" s="49"/>
    </row>
    <row r="503">
      <c r="A503" s="49"/>
      <c r="B503" s="49"/>
      <c r="C503" s="49"/>
      <c r="D503" s="49"/>
      <c r="E503" s="49"/>
      <c r="F503" s="49"/>
      <c r="G503" s="49"/>
      <c r="H503" s="49"/>
      <c r="I503" s="49"/>
    </row>
    <row r="504">
      <c r="A504" s="49"/>
      <c r="B504" s="49"/>
      <c r="C504" s="49"/>
      <c r="D504" s="49"/>
      <c r="E504" s="49"/>
      <c r="F504" s="49"/>
      <c r="G504" s="49"/>
      <c r="H504" s="49"/>
      <c r="I504" s="49"/>
    </row>
    <row r="505">
      <c r="A505" s="49"/>
      <c r="B505" s="49"/>
      <c r="C505" s="49"/>
      <c r="D505" s="49"/>
      <c r="E505" s="49"/>
      <c r="F505" s="49"/>
      <c r="G505" s="49"/>
      <c r="H505" s="49"/>
      <c r="I505" s="49"/>
    </row>
    <row r="506">
      <c r="A506" s="49"/>
      <c r="B506" s="49"/>
      <c r="C506" s="49"/>
      <c r="D506" s="49"/>
      <c r="E506" s="49"/>
      <c r="F506" s="49"/>
      <c r="G506" s="49"/>
      <c r="H506" s="49"/>
      <c r="I506" s="49"/>
    </row>
    <row r="507">
      <c r="A507" s="49"/>
      <c r="B507" s="49"/>
      <c r="C507" s="49"/>
      <c r="D507" s="49"/>
      <c r="E507" s="49"/>
      <c r="F507" s="49"/>
      <c r="G507" s="49"/>
      <c r="H507" s="49"/>
      <c r="I507" s="49"/>
    </row>
    <row r="508">
      <c r="A508" s="49"/>
      <c r="B508" s="49"/>
      <c r="C508" s="49"/>
      <c r="D508" s="49"/>
      <c r="E508" s="49"/>
      <c r="F508" s="49"/>
      <c r="G508" s="49"/>
      <c r="H508" s="49"/>
      <c r="I508" s="49"/>
    </row>
    <row r="509">
      <c r="A509" s="49"/>
      <c r="B509" s="49"/>
      <c r="C509" s="49"/>
      <c r="D509" s="49"/>
      <c r="E509" s="49"/>
      <c r="F509" s="49"/>
      <c r="G509" s="49"/>
      <c r="H509" s="49"/>
      <c r="I509" s="49"/>
    </row>
    <row r="510">
      <c r="A510" s="49"/>
      <c r="B510" s="49"/>
      <c r="C510" s="49"/>
      <c r="D510" s="49"/>
      <c r="E510" s="49"/>
      <c r="F510" s="49"/>
      <c r="G510" s="49"/>
      <c r="H510" s="49"/>
      <c r="I510" s="49"/>
    </row>
    <row r="511">
      <c r="A511" s="49"/>
      <c r="B511" s="49"/>
      <c r="C511" s="49"/>
      <c r="D511" s="49"/>
      <c r="E511" s="49"/>
      <c r="F511" s="49"/>
      <c r="G511" s="49"/>
      <c r="H511" s="49"/>
      <c r="I511" s="49"/>
    </row>
    <row r="512">
      <c r="A512" s="49"/>
      <c r="B512" s="49"/>
      <c r="C512" s="49"/>
      <c r="D512" s="49"/>
      <c r="E512" s="49"/>
      <c r="F512" s="49"/>
      <c r="G512" s="49"/>
      <c r="H512" s="49"/>
      <c r="I512" s="49"/>
    </row>
    <row r="513">
      <c r="A513" s="49"/>
      <c r="B513" s="49"/>
      <c r="C513" s="49"/>
      <c r="D513" s="49"/>
      <c r="E513" s="49"/>
      <c r="F513" s="49"/>
      <c r="G513" s="49"/>
      <c r="H513" s="49"/>
      <c r="I513" s="49"/>
    </row>
    <row r="514">
      <c r="A514" s="49"/>
      <c r="B514" s="49"/>
      <c r="C514" s="49"/>
      <c r="D514" s="49"/>
      <c r="E514" s="49"/>
      <c r="F514" s="49"/>
      <c r="G514" s="49"/>
      <c r="H514" s="49"/>
      <c r="I514" s="49"/>
    </row>
    <row r="515">
      <c r="A515" s="49"/>
      <c r="B515" s="49"/>
      <c r="C515" s="49"/>
      <c r="D515" s="49"/>
      <c r="E515" s="49"/>
      <c r="F515" s="49"/>
      <c r="G515" s="49"/>
      <c r="H515" s="49"/>
      <c r="I515" s="49"/>
    </row>
    <row r="516">
      <c r="A516" s="49"/>
      <c r="B516" s="49"/>
      <c r="C516" s="49"/>
      <c r="D516" s="49"/>
      <c r="E516" s="49"/>
      <c r="F516" s="49"/>
      <c r="G516" s="49"/>
      <c r="H516" s="49"/>
      <c r="I516" s="49"/>
    </row>
    <row r="517">
      <c r="A517" s="49"/>
      <c r="B517" s="49"/>
      <c r="C517" s="49"/>
      <c r="D517" s="49"/>
      <c r="E517" s="49"/>
      <c r="F517" s="49"/>
      <c r="G517" s="49"/>
      <c r="H517" s="49"/>
      <c r="I517" s="49"/>
    </row>
    <row r="518">
      <c r="A518" s="49"/>
      <c r="B518" s="49"/>
      <c r="C518" s="49"/>
      <c r="D518" s="49"/>
      <c r="E518" s="49"/>
      <c r="F518" s="49"/>
      <c r="G518" s="49"/>
      <c r="H518" s="49"/>
      <c r="I518" s="49"/>
    </row>
    <row r="519">
      <c r="A519" s="49"/>
      <c r="B519" s="49"/>
      <c r="C519" s="49"/>
      <c r="D519" s="49"/>
      <c r="E519" s="49"/>
      <c r="F519" s="49"/>
      <c r="G519" s="49"/>
      <c r="H519" s="49"/>
      <c r="I519" s="49"/>
    </row>
    <row r="520">
      <c r="A520" s="49"/>
      <c r="B520" s="49"/>
      <c r="C520" s="49"/>
      <c r="D520" s="49"/>
      <c r="E520" s="49"/>
      <c r="F520" s="49"/>
      <c r="G520" s="49"/>
      <c r="H520" s="49"/>
      <c r="I520" s="49"/>
    </row>
    <row r="521">
      <c r="A521" s="49"/>
      <c r="B521" s="49"/>
      <c r="C521" s="49"/>
      <c r="D521" s="49"/>
      <c r="E521" s="49"/>
      <c r="F521" s="49"/>
      <c r="G521" s="49"/>
      <c r="H521" s="49"/>
      <c r="I521" s="49"/>
    </row>
    <row r="522">
      <c r="A522" s="49"/>
      <c r="B522" s="49"/>
      <c r="C522" s="49"/>
      <c r="D522" s="49"/>
      <c r="E522" s="49"/>
      <c r="F522" s="49"/>
      <c r="G522" s="49"/>
      <c r="H522" s="49"/>
      <c r="I522" s="49"/>
    </row>
    <row r="523">
      <c r="A523" s="49"/>
      <c r="B523" s="49"/>
      <c r="C523" s="49"/>
      <c r="D523" s="49"/>
      <c r="E523" s="49"/>
      <c r="F523" s="49"/>
      <c r="G523" s="49"/>
      <c r="H523" s="49"/>
      <c r="I523" s="49"/>
    </row>
    <row r="524">
      <c r="A524" s="49"/>
      <c r="B524" s="49"/>
      <c r="C524" s="49"/>
      <c r="D524" s="49"/>
      <c r="E524" s="49"/>
      <c r="F524" s="49"/>
      <c r="G524" s="49"/>
      <c r="H524" s="49"/>
      <c r="I524" s="49"/>
    </row>
    <row r="525">
      <c r="A525" s="49"/>
      <c r="B525" s="49"/>
      <c r="C525" s="49"/>
      <c r="D525" s="49"/>
      <c r="E525" s="49"/>
      <c r="F525" s="49"/>
      <c r="G525" s="49"/>
      <c r="H525" s="49"/>
      <c r="I525" s="49"/>
    </row>
    <row r="526">
      <c r="A526" s="49"/>
      <c r="B526" s="49"/>
      <c r="C526" s="49"/>
      <c r="D526" s="49"/>
      <c r="E526" s="49"/>
      <c r="F526" s="49"/>
      <c r="G526" s="49"/>
      <c r="H526" s="49"/>
      <c r="I526" s="49"/>
    </row>
    <row r="527">
      <c r="A527" s="49"/>
      <c r="B527" s="49"/>
      <c r="C527" s="49"/>
      <c r="D527" s="49"/>
      <c r="E527" s="49"/>
      <c r="F527" s="49"/>
      <c r="G527" s="49"/>
      <c r="H527" s="49"/>
      <c r="I527" s="49"/>
    </row>
    <row r="528">
      <c r="A528" s="49"/>
      <c r="B528" s="49"/>
      <c r="C528" s="49"/>
      <c r="D528" s="49"/>
      <c r="E528" s="49"/>
      <c r="F528" s="49"/>
      <c r="G528" s="49"/>
      <c r="H528" s="49"/>
      <c r="I528" s="49"/>
    </row>
    <row r="529">
      <c r="A529" s="49"/>
      <c r="B529" s="49"/>
      <c r="C529" s="49"/>
      <c r="D529" s="49"/>
      <c r="E529" s="49"/>
      <c r="F529" s="49"/>
      <c r="G529" s="49"/>
      <c r="H529" s="49"/>
      <c r="I529" s="49"/>
    </row>
    <row r="530">
      <c r="A530" s="49"/>
      <c r="B530" s="49"/>
      <c r="C530" s="49"/>
      <c r="D530" s="49"/>
      <c r="E530" s="49"/>
      <c r="F530" s="49"/>
      <c r="G530" s="49"/>
      <c r="H530" s="49"/>
      <c r="I530" s="49"/>
    </row>
    <row r="531">
      <c r="A531" s="49"/>
      <c r="B531" s="49"/>
      <c r="C531" s="49"/>
      <c r="D531" s="49"/>
      <c r="E531" s="49"/>
      <c r="F531" s="49"/>
      <c r="G531" s="49"/>
      <c r="H531" s="49"/>
      <c r="I531" s="49"/>
    </row>
    <row r="532">
      <c r="A532" s="49"/>
      <c r="B532" s="49"/>
      <c r="C532" s="49"/>
      <c r="D532" s="49"/>
      <c r="E532" s="49"/>
      <c r="F532" s="49"/>
      <c r="G532" s="49"/>
      <c r="H532" s="49"/>
      <c r="I532" s="49"/>
    </row>
    <row r="533">
      <c r="A533" s="49"/>
      <c r="B533" s="49"/>
      <c r="C533" s="49"/>
      <c r="D533" s="49"/>
      <c r="E533" s="49"/>
      <c r="F533" s="49"/>
      <c r="G533" s="49"/>
      <c r="H533" s="49"/>
      <c r="I533" s="49"/>
    </row>
    <row r="534">
      <c r="A534" s="49"/>
      <c r="B534" s="49"/>
      <c r="C534" s="49"/>
      <c r="D534" s="49"/>
      <c r="E534" s="49"/>
      <c r="F534" s="49"/>
      <c r="G534" s="49"/>
      <c r="H534" s="49"/>
      <c r="I534" s="49"/>
    </row>
    <row r="535">
      <c r="A535" s="49"/>
      <c r="B535" s="49"/>
      <c r="C535" s="49"/>
      <c r="D535" s="49"/>
      <c r="E535" s="49"/>
      <c r="F535" s="49"/>
      <c r="G535" s="49"/>
      <c r="H535" s="49"/>
      <c r="I535" s="49"/>
    </row>
    <row r="536">
      <c r="A536" s="49"/>
      <c r="B536" s="49"/>
      <c r="C536" s="49"/>
      <c r="D536" s="49"/>
      <c r="E536" s="49"/>
      <c r="F536" s="49"/>
      <c r="G536" s="49"/>
      <c r="H536" s="49"/>
      <c r="I536" s="49"/>
    </row>
    <row r="537">
      <c r="A537" s="49"/>
      <c r="B537" s="49"/>
      <c r="C537" s="49"/>
      <c r="D537" s="49"/>
      <c r="E537" s="49"/>
      <c r="F537" s="49"/>
      <c r="G537" s="49"/>
      <c r="H537" s="49"/>
      <c r="I537" s="49"/>
    </row>
    <row r="538">
      <c r="A538" s="49"/>
      <c r="B538" s="49"/>
      <c r="C538" s="49"/>
      <c r="D538" s="49"/>
      <c r="E538" s="49"/>
      <c r="F538" s="49"/>
      <c r="G538" s="49"/>
      <c r="H538" s="49"/>
      <c r="I538" s="49"/>
    </row>
    <row r="539">
      <c r="A539" s="49"/>
      <c r="B539" s="49"/>
      <c r="C539" s="49"/>
      <c r="D539" s="49"/>
      <c r="E539" s="49"/>
      <c r="F539" s="49"/>
      <c r="G539" s="49"/>
      <c r="H539" s="49"/>
      <c r="I539" s="49"/>
    </row>
    <row r="540">
      <c r="A540" s="49"/>
      <c r="B540" s="49"/>
      <c r="C540" s="49"/>
      <c r="D540" s="49"/>
      <c r="E540" s="49"/>
      <c r="F540" s="49"/>
      <c r="G540" s="49"/>
      <c r="H540" s="49"/>
      <c r="I540" s="49"/>
    </row>
    <row r="541">
      <c r="A541" s="49"/>
      <c r="B541" s="49"/>
      <c r="C541" s="49"/>
      <c r="D541" s="49"/>
      <c r="E541" s="49"/>
      <c r="F541" s="49"/>
      <c r="G541" s="49"/>
      <c r="H541" s="49"/>
      <c r="I541" s="49"/>
    </row>
    <row r="542">
      <c r="A542" s="49"/>
      <c r="B542" s="49"/>
      <c r="C542" s="49"/>
      <c r="D542" s="49"/>
      <c r="E542" s="49"/>
      <c r="F542" s="49"/>
      <c r="G542" s="49"/>
      <c r="H542" s="49"/>
      <c r="I542" s="49"/>
    </row>
    <row r="543">
      <c r="A543" s="49"/>
      <c r="B543" s="49"/>
      <c r="C543" s="49"/>
      <c r="D543" s="49"/>
      <c r="E543" s="49"/>
      <c r="F543" s="49"/>
      <c r="G543" s="49"/>
      <c r="H543" s="49"/>
      <c r="I543" s="49"/>
    </row>
    <row r="544">
      <c r="A544" s="49"/>
      <c r="B544" s="49"/>
      <c r="C544" s="49"/>
      <c r="D544" s="49"/>
      <c r="E544" s="49"/>
      <c r="F544" s="49"/>
      <c r="G544" s="49"/>
      <c r="H544" s="49"/>
      <c r="I544" s="49"/>
    </row>
    <row r="545">
      <c r="A545" s="49"/>
      <c r="B545" s="49"/>
      <c r="C545" s="49"/>
      <c r="D545" s="49"/>
      <c r="E545" s="49"/>
      <c r="F545" s="49"/>
      <c r="G545" s="49"/>
      <c r="H545" s="49"/>
      <c r="I545" s="49"/>
    </row>
    <row r="546">
      <c r="A546" s="49"/>
      <c r="B546" s="49"/>
      <c r="C546" s="49"/>
      <c r="D546" s="49"/>
      <c r="E546" s="49"/>
      <c r="F546" s="49"/>
      <c r="G546" s="49"/>
      <c r="H546" s="49"/>
      <c r="I546" s="49"/>
    </row>
    <row r="547">
      <c r="A547" s="49"/>
      <c r="B547" s="49"/>
      <c r="C547" s="49"/>
      <c r="D547" s="49"/>
      <c r="E547" s="49"/>
      <c r="F547" s="49"/>
      <c r="G547" s="49"/>
      <c r="H547" s="49"/>
      <c r="I547" s="49"/>
    </row>
    <row r="548">
      <c r="A548" s="49"/>
      <c r="B548" s="49"/>
      <c r="C548" s="49"/>
      <c r="D548" s="49"/>
      <c r="E548" s="49"/>
      <c r="F548" s="49"/>
      <c r="G548" s="49"/>
      <c r="H548" s="49"/>
      <c r="I548" s="49"/>
    </row>
    <row r="549">
      <c r="A549" s="49"/>
      <c r="B549" s="49"/>
      <c r="C549" s="49"/>
      <c r="D549" s="49"/>
      <c r="E549" s="49"/>
      <c r="F549" s="49"/>
      <c r="G549" s="49"/>
      <c r="H549" s="49"/>
      <c r="I549" s="49"/>
    </row>
    <row r="550">
      <c r="A550" s="49"/>
      <c r="B550" s="49"/>
      <c r="C550" s="49"/>
      <c r="D550" s="49"/>
      <c r="E550" s="49"/>
      <c r="F550" s="49"/>
      <c r="G550" s="49"/>
      <c r="H550" s="49"/>
      <c r="I550" s="49"/>
    </row>
    <row r="551">
      <c r="A551" s="49"/>
      <c r="B551" s="49"/>
      <c r="C551" s="49"/>
      <c r="D551" s="49"/>
      <c r="E551" s="49"/>
      <c r="F551" s="49"/>
      <c r="G551" s="49"/>
      <c r="H551" s="49"/>
      <c r="I551" s="49"/>
    </row>
    <row r="552">
      <c r="A552" s="49"/>
      <c r="B552" s="49"/>
      <c r="C552" s="49"/>
      <c r="D552" s="49"/>
      <c r="E552" s="49"/>
      <c r="F552" s="49"/>
      <c r="G552" s="49"/>
      <c r="H552" s="49"/>
      <c r="I552" s="49"/>
    </row>
    <row r="553">
      <c r="A553" s="49"/>
      <c r="B553" s="49"/>
      <c r="C553" s="49"/>
      <c r="D553" s="49"/>
      <c r="E553" s="49"/>
      <c r="F553" s="49"/>
      <c r="G553" s="49"/>
      <c r="H553" s="49"/>
      <c r="I553" s="49"/>
    </row>
    <row r="554">
      <c r="A554" s="49"/>
      <c r="B554" s="49"/>
      <c r="C554" s="49"/>
      <c r="D554" s="49"/>
      <c r="E554" s="49"/>
      <c r="F554" s="49"/>
      <c r="G554" s="49"/>
      <c r="H554" s="49"/>
      <c r="I554" s="49"/>
    </row>
    <row r="555">
      <c r="A555" s="49"/>
      <c r="B555" s="49"/>
      <c r="C555" s="49"/>
      <c r="D555" s="49"/>
      <c r="E555" s="49"/>
      <c r="F555" s="49"/>
      <c r="G555" s="49"/>
      <c r="H555" s="49"/>
      <c r="I555" s="49"/>
    </row>
    <row r="556">
      <c r="A556" s="49"/>
      <c r="B556" s="49"/>
      <c r="C556" s="49"/>
      <c r="D556" s="49"/>
      <c r="E556" s="49"/>
      <c r="F556" s="49"/>
      <c r="G556" s="49"/>
      <c r="H556" s="49"/>
      <c r="I556" s="49"/>
    </row>
    <row r="557">
      <c r="A557" s="49"/>
      <c r="B557" s="49"/>
      <c r="C557" s="49"/>
      <c r="D557" s="49"/>
      <c r="E557" s="49"/>
      <c r="F557" s="49"/>
      <c r="G557" s="49"/>
      <c r="H557" s="49"/>
      <c r="I557" s="49"/>
    </row>
    <row r="558">
      <c r="A558" s="49"/>
      <c r="B558" s="49"/>
      <c r="C558" s="49"/>
      <c r="D558" s="49"/>
      <c r="E558" s="49"/>
      <c r="F558" s="49"/>
      <c r="G558" s="49"/>
      <c r="H558" s="49"/>
      <c r="I558" s="49"/>
    </row>
    <row r="559">
      <c r="A559" s="49"/>
      <c r="B559" s="49"/>
      <c r="C559" s="49"/>
      <c r="D559" s="49"/>
      <c r="E559" s="49"/>
      <c r="F559" s="49"/>
      <c r="G559" s="49"/>
      <c r="H559" s="49"/>
      <c r="I559" s="49"/>
    </row>
    <row r="560">
      <c r="A560" s="49"/>
      <c r="B560" s="49"/>
      <c r="C560" s="49"/>
      <c r="D560" s="49"/>
      <c r="E560" s="49"/>
      <c r="F560" s="49"/>
      <c r="G560" s="49"/>
      <c r="H560" s="49"/>
      <c r="I560" s="49"/>
    </row>
    <row r="561">
      <c r="A561" s="49"/>
      <c r="B561" s="49"/>
      <c r="C561" s="49"/>
      <c r="D561" s="49"/>
      <c r="E561" s="49"/>
      <c r="F561" s="49"/>
      <c r="G561" s="49"/>
      <c r="H561" s="49"/>
      <c r="I561" s="49"/>
    </row>
    <row r="562">
      <c r="A562" s="49"/>
      <c r="B562" s="49"/>
      <c r="C562" s="49"/>
      <c r="D562" s="49"/>
      <c r="E562" s="49"/>
      <c r="F562" s="49"/>
      <c r="G562" s="49"/>
      <c r="H562" s="49"/>
      <c r="I562" s="49"/>
    </row>
    <row r="563">
      <c r="A563" s="49"/>
      <c r="B563" s="49"/>
      <c r="C563" s="49"/>
      <c r="D563" s="49"/>
      <c r="E563" s="49"/>
      <c r="F563" s="49"/>
      <c r="G563" s="49"/>
      <c r="H563" s="49"/>
      <c r="I563" s="49"/>
    </row>
    <row r="564">
      <c r="A564" s="49"/>
      <c r="B564" s="49"/>
      <c r="C564" s="49"/>
      <c r="D564" s="49"/>
      <c r="E564" s="49"/>
      <c r="F564" s="49"/>
      <c r="G564" s="49"/>
      <c r="H564" s="49"/>
      <c r="I564" s="49"/>
    </row>
    <row r="565">
      <c r="A565" s="49"/>
      <c r="B565" s="49"/>
      <c r="C565" s="49"/>
      <c r="D565" s="49"/>
      <c r="E565" s="49"/>
      <c r="F565" s="49"/>
      <c r="G565" s="49"/>
      <c r="H565" s="49"/>
      <c r="I565" s="49"/>
    </row>
    <row r="566">
      <c r="A566" s="49"/>
      <c r="B566" s="49"/>
      <c r="C566" s="49"/>
      <c r="D566" s="49"/>
      <c r="E566" s="49"/>
      <c r="F566" s="49"/>
      <c r="G566" s="49"/>
      <c r="H566" s="49"/>
      <c r="I566" s="49"/>
    </row>
    <row r="567">
      <c r="A567" s="49"/>
      <c r="B567" s="49"/>
      <c r="C567" s="49"/>
      <c r="D567" s="49"/>
      <c r="E567" s="49"/>
      <c r="F567" s="49"/>
      <c r="G567" s="49"/>
      <c r="H567" s="49"/>
      <c r="I567" s="49"/>
    </row>
    <row r="568">
      <c r="A568" s="49"/>
      <c r="B568" s="49"/>
      <c r="C568" s="49"/>
      <c r="D568" s="49"/>
      <c r="E568" s="49"/>
      <c r="F568" s="49"/>
      <c r="G568" s="49"/>
      <c r="H568" s="49"/>
      <c r="I568" s="49"/>
    </row>
    <row r="569">
      <c r="A569" s="49"/>
      <c r="B569" s="49"/>
      <c r="C569" s="49"/>
      <c r="D569" s="49"/>
      <c r="E569" s="49"/>
      <c r="F569" s="49"/>
      <c r="G569" s="49"/>
      <c r="H569" s="49"/>
      <c r="I569" s="49"/>
    </row>
    <row r="570">
      <c r="A570" s="49"/>
      <c r="B570" s="49"/>
      <c r="C570" s="49"/>
      <c r="D570" s="49"/>
      <c r="E570" s="49"/>
      <c r="F570" s="49"/>
      <c r="G570" s="49"/>
      <c r="H570" s="49"/>
      <c r="I570" s="49"/>
    </row>
    <row r="571">
      <c r="A571" s="49"/>
      <c r="B571" s="49"/>
      <c r="C571" s="49"/>
      <c r="D571" s="49"/>
      <c r="E571" s="49"/>
      <c r="F571" s="49"/>
      <c r="G571" s="49"/>
      <c r="H571" s="49"/>
      <c r="I571" s="49"/>
    </row>
    <row r="572">
      <c r="A572" s="49"/>
      <c r="B572" s="49"/>
      <c r="C572" s="49"/>
      <c r="D572" s="49"/>
      <c r="E572" s="49"/>
      <c r="F572" s="49"/>
      <c r="G572" s="49"/>
      <c r="H572" s="49"/>
      <c r="I572" s="49"/>
    </row>
    <row r="573">
      <c r="A573" s="49"/>
      <c r="B573" s="49"/>
      <c r="C573" s="49"/>
      <c r="D573" s="49"/>
      <c r="E573" s="49"/>
      <c r="F573" s="49"/>
      <c r="G573" s="49"/>
      <c r="H573" s="49"/>
      <c r="I573" s="49"/>
    </row>
    <row r="574">
      <c r="A574" s="49"/>
      <c r="B574" s="49"/>
      <c r="C574" s="49"/>
      <c r="D574" s="49"/>
      <c r="E574" s="49"/>
      <c r="F574" s="49"/>
      <c r="G574" s="49"/>
      <c r="H574" s="49"/>
      <c r="I574" s="49"/>
    </row>
    <row r="575">
      <c r="A575" s="49"/>
      <c r="B575" s="49"/>
      <c r="C575" s="49"/>
      <c r="D575" s="49"/>
      <c r="E575" s="49"/>
      <c r="F575" s="49"/>
      <c r="G575" s="49"/>
      <c r="H575" s="49"/>
      <c r="I575" s="49"/>
    </row>
    <row r="576">
      <c r="A576" s="49"/>
      <c r="B576" s="49"/>
      <c r="C576" s="49"/>
      <c r="D576" s="49"/>
      <c r="E576" s="49"/>
      <c r="F576" s="49"/>
      <c r="G576" s="49"/>
      <c r="H576" s="49"/>
      <c r="I576" s="49"/>
    </row>
    <row r="577">
      <c r="A577" s="49"/>
      <c r="B577" s="49"/>
      <c r="C577" s="49"/>
      <c r="D577" s="49"/>
      <c r="E577" s="49"/>
      <c r="F577" s="49"/>
      <c r="G577" s="49"/>
      <c r="H577" s="49"/>
      <c r="I577" s="49"/>
    </row>
    <row r="578">
      <c r="A578" s="49"/>
      <c r="B578" s="49"/>
      <c r="C578" s="49"/>
      <c r="D578" s="49"/>
      <c r="E578" s="49"/>
      <c r="F578" s="49"/>
      <c r="G578" s="49"/>
      <c r="H578" s="49"/>
      <c r="I578" s="49"/>
    </row>
    <row r="579">
      <c r="A579" s="49"/>
      <c r="B579" s="49"/>
      <c r="C579" s="49"/>
      <c r="D579" s="49"/>
      <c r="E579" s="49"/>
      <c r="F579" s="49"/>
      <c r="G579" s="49"/>
      <c r="H579" s="49"/>
      <c r="I579" s="49"/>
    </row>
    <row r="580">
      <c r="A580" s="49"/>
      <c r="B580" s="49"/>
      <c r="C580" s="49"/>
      <c r="D580" s="49"/>
      <c r="E580" s="49"/>
      <c r="F580" s="49"/>
      <c r="G580" s="49"/>
      <c r="H580" s="49"/>
      <c r="I580" s="49"/>
    </row>
    <row r="581">
      <c r="A581" s="49"/>
      <c r="B581" s="49"/>
      <c r="C581" s="49"/>
      <c r="D581" s="49"/>
      <c r="E581" s="49"/>
      <c r="F581" s="49"/>
      <c r="G581" s="49"/>
      <c r="H581" s="49"/>
      <c r="I581" s="49"/>
    </row>
    <row r="582">
      <c r="A582" s="49"/>
      <c r="B582" s="49"/>
      <c r="C582" s="49"/>
      <c r="D582" s="49"/>
      <c r="E582" s="49"/>
      <c r="F582" s="49"/>
      <c r="G582" s="49"/>
      <c r="H582" s="49"/>
      <c r="I582" s="49"/>
    </row>
    <row r="583">
      <c r="A583" s="49"/>
      <c r="B583" s="49"/>
      <c r="C583" s="49"/>
      <c r="D583" s="49"/>
      <c r="E583" s="49"/>
      <c r="F583" s="49"/>
      <c r="G583" s="49"/>
      <c r="H583" s="49"/>
      <c r="I583" s="49"/>
    </row>
    <row r="584">
      <c r="A584" s="49"/>
      <c r="B584" s="49"/>
      <c r="C584" s="49"/>
      <c r="D584" s="49"/>
      <c r="E584" s="49"/>
      <c r="F584" s="49"/>
      <c r="G584" s="49"/>
      <c r="H584" s="49"/>
      <c r="I584" s="49"/>
    </row>
    <row r="585">
      <c r="A585" s="49"/>
      <c r="B585" s="49"/>
      <c r="C585" s="49"/>
      <c r="D585" s="49"/>
      <c r="E585" s="49"/>
      <c r="F585" s="49"/>
      <c r="G585" s="49"/>
      <c r="H585" s="49"/>
      <c r="I585" s="49"/>
    </row>
    <row r="586">
      <c r="A586" s="49"/>
      <c r="B586" s="49"/>
      <c r="C586" s="49"/>
      <c r="D586" s="49"/>
      <c r="E586" s="49"/>
      <c r="F586" s="49"/>
      <c r="G586" s="49"/>
      <c r="H586" s="49"/>
      <c r="I586" s="49"/>
    </row>
    <row r="587">
      <c r="A587" s="49"/>
      <c r="B587" s="49"/>
      <c r="C587" s="49"/>
      <c r="D587" s="49"/>
      <c r="E587" s="49"/>
      <c r="F587" s="49"/>
      <c r="G587" s="49"/>
      <c r="H587" s="49"/>
      <c r="I587" s="49"/>
    </row>
    <row r="588">
      <c r="A588" s="49"/>
      <c r="B588" s="49"/>
      <c r="C588" s="49"/>
      <c r="D588" s="49"/>
      <c r="E588" s="49"/>
      <c r="F588" s="49"/>
      <c r="G588" s="49"/>
      <c r="H588" s="49"/>
      <c r="I588" s="49"/>
    </row>
    <row r="589">
      <c r="A589" s="49"/>
      <c r="B589" s="49"/>
      <c r="C589" s="49"/>
      <c r="D589" s="49"/>
      <c r="E589" s="49"/>
      <c r="F589" s="49"/>
      <c r="G589" s="49"/>
      <c r="H589" s="49"/>
      <c r="I589" s="49"/>
    </row>
    <row r="590">
      <c r="A590" s="49"/>
      <c r="B590" s="49"/>
      <c r="C590" s="49"/>
      <c r="D590" s="49"/>
      <c r="E590" s="49"/>
      <c r="F590" s="49"/>
      <c r="G590" s="49"/>
      <c r="H590" s="49"/>
      <c r="I590" s="49"/>
    </row>
    <row r="591">
      <c r="A591" s="49"/>
      <c r="B591" s="49"/>
      <c r="C591" s="49"/>
      <c r="D591" s="49"/>
      <c r="E591" s="49"/>
      <c r="F591" s="49"/>
      <c r="G591" s="49"/>
      <c r="H591" s="49"/>
      <c r="I591" s="49"/>
    </row>
    <row r="592">
      <c r="A592" s="49"/>
      <c r="B592" s="49"/>
      <c r="C592" s="49"/>
      <c r="D592" s="49"/>
      <c r="E592" s="49"/>
      <c r="F592" s="49"/>
      <c r="G592" s="49"/>
      <c r="H592" s="49"/>
      <c r="I592" s="49"/>
    </row>
    <row r="593">
      <c r="A593" s="49"/>
      <c r="B593" s="49"/>
      <c r="C593" s="49"/>
      <c r="D593" s="49"/>
      <c r="E593" s="49"/>
      <c r="F593" s="49"/>
      <c r="G593" s="49"/>
      <c r="H593" s="49"/>
      <c r="I593" s="49"/>
    </row>
    <row r="594">
      <c r="A594" s="49"/>
      <c r="B594" s="49"/>
      <c r="C594" s="49"/>
      <c r="D594" s="49"/>
      <c r="E594" s="49"/>
      <c r="F594" s="49"/>
      <c r="G594" s="49"/>
      <c r="H594" s="49"/>
      <c r="I594" s="49"/>
    </row>
    <row r="595">
      <c r="A595" s="49"/>
      <c r="B595" s="49"/>
      <c r="C595" s="49"/>
      <c r="D595" s="49"/>
      <c r="E595" s="49"/>
      <c r="F595" s="49"/>
      <c r="G595" s="49"/>
      <c r="H595" s="49"/>
      <c r="I595" s="49"/>
    </row>
    <row r="596">
      <c r="A596" s="49"/>
      <c r="B596" s="49"/>
      <c r="C596" s="49"/>
      <c r="D596" s="49"/>
      <c r="E596" s="49"/>
      <c r="F596" s="49"/>
      <c r="G596" s="49"/>
      <c r="H596" s="49"/>
      <c r="I596" s="49"/>
    </row>
    <row r="597">
      <c r="A597" s="49"/>
      <c r="B597" s="49"/>
      <c r="C597" s="49"/>
      <c r="D597" s="49"/>
      <c r="E597" s="49"/>
      <c r="F597" s="49"/>
      <c r="G597" s="49"/>
      <c r="H597" s="49"/>
      <c r="I597" s="49"/>
    </row>
    <row r="598">
      <c r="A598" s="49"/>
      <c r="B598" s="49"/>
      <c r="C598" s="49"/>
      <c r="D598" s="49"/>
      <c r="E598" s="49"/>
      <c r="F598" s="49"/>
      <c r="G598" s="49"/>
      <c r="H598" s="49"/>
      <c r="I598" s="49"/>
    </row>
    <row r="599">
      <c r="A599" s="49"/>
      <c r="B599" s="49"/>
      <c r="C599" s="49"/>
      <c r="D599" s="49"/>
      <c r="E599" s="49"/>
      <c r="F599" s="49"/>
      <c r="G599" s="49"/>
      <c r="H599" s="49"/>
      <c r="I599" s="49"/>
    </row>
    <row r="600">
      <c r="A600" s="49"/>
      <c r="B600" s="49"/>
      <c r="C600" s="49"/>
      <c r="D600" s="49"/>
      <c r="E600" s="49"/>
      <c r="F600" s="49"/>
      <c r="G600" s="49"/>
      <c r="H600" s="49"/>
      <c r="I600" s="49"/>
    </row>
    <row r="601">
      <c r="A601" s="49"/>
      <c r="B601" s="49"/>
      <c r="C601" s="49"/>
      <c r="D601" s="49"/>
      <c r="E601" s="49"/>
      <c r="F601" s="49"/>
      <c r="G601" s="49"/>
      <c r="H601" s="49"/>
      <c r="I601" s="49"/>
    </row>
    <row r="602">
      <c r="A602" s="49"/>
      <c r="B602" s="49"/>
      <c r="C602" s="49"/>
      <c r="D602" s="49"/>
      <c r="E602" s="49"/>
      <c r="F602" s="49"/>
      <c r="G602" s="49"/>
      <c r="H602" s="49"/>
      <c r="I602" s="49"/>
    </row>
    <row r="603">
      <c r="A603" s="49"/>
      <c r="B603" s="49"/>
      <c r="C603" s="49"/>
      <c r="D603" s="49"/>
      <c r="E603" s="49"/>
      <c r="F603" s="49"/>
      <c r="G603" s="49"/>
      <c r="H603" s="49"/>
      <c r="I603" s="49"/>
    </row>
    <row r="604">
      <c r="A604" s="49"/>
      <c r="B604" s="49"/>
      <c r="C604" s="49"/>
      <c r="D604" s="49"/>
      <c r="E604" s="49"/>
      <c r="F604" s="49"/>
      <c r="G604" s="49"/>
      <c r="H604" s="49"/>
      <c r="I604" s="49"/>
    </row>
    <row r="605">
      <c r="A605" s="49"/>
      <c r="B605" s="49"/>
      <c r="C605" s="49"/>
      <c r="D605" s="49"/>
      <c r="E605" s="49"/>
      <c r="F605" s="49"/>
      <c r="G605" s="49"/>
      <c r="H605" s="49"/>
      <c r="I605" s="49"/>
    </row>
    <row r="606">
      <c r="A606" s="49"/>
      <c r="B606" s="49"/>
      <c r="C606" s="49"/>
      <c r="D606" s="49"/>
      <c r="E606" s="49"/>
      <c r="F606" s="49"/>
      <c r="G606" s="49"/>
      <c r="H606" s="49"/>
      <c r="I606" s="49"/>
    </row>
    <row r="607">
      <c r="A607" s="49"/>
      <c r="B607" s="49"/>
      <c r="C607" s="49"/>
      <c r="D607" s="49"/>
      <c r="E607" s="49"/>
      <c r="F607" s="49"/>
      <c r="G607" s="49"/>
      <c r="H607" s="49"/>
      <c r="I607" s="49"/>
    </row>
    <row r="608">
      <c r="A608" s="49"/>
      <c r="B608" s="49"/>
      <c r="C608" s="49"/>
      <c r="D608" s="49"/>
      <c r="E608" s="49"/>
      <c r="F608" s="49"/>
      <c r="G608" s="49"/>
      <c r="H608" s="49"/>
      <c r="I608" s="49"/>
    </row>
    <row r="609">
      <c r="A609" s="49"/>
      <c r="B609" s="49"/>
      <c r="C609" s="49"/>
      <c r="D609" s="49"/>
      <c r="E609" s="49"/>
      <c r="F609" s="49"/>
      <c r="G609" s="49"/>
      <c r="H609" s="49"/>
      <c r="I609" s="49"/>
    </row>
    <row r="610">
      <c r="A610" s="49"/>
      <c r="B610" s="49"/>
      <c r="C610" s="49"/>
      <c r="D610" s="49"/>
      <c r="E610" s="49"/>
      <c r="F610" s="49"/>
      <c r="G610" s="49"/>
      <c r="H610" s="49"/>
      <c r="I610" s="49"/>
    </row>
    <row r="611">
      <c r="A611" s="49"/>
      <c r="B611" s="49"/>
      <c r="C611" s="49"/>
      <c r="D611" s="49"/>
      <c r="E611" s="49"/>
      <c r="F611" s="49"/>
      <c r="G611" s="49"/>
      <c r="H611" s="49"/>
      <c r="I611" s="49"/>
    </row>
    <row r="612">
      <c r="A612" s="49"/>
      <c r="B612" s="49"/>
      <c r="C612" s="49"/>
      <c r="D612" s="49"/>
      <c r="E612" s="49"/>
      <c r="F612" s="49"/>
      <c r="G612" s="49"/>
      <c r="H612" s="49"/>
      <c r="I612" s="49"/>
    </row>
    <row r="613">
      <c r="A613" s="49"/>
      <c r="B613" s="49"/>
      <c r="C613" s="49"/>
      <c r="D613" s="49"/>
      <c r="E613" s="49"/>
      <c r="F613" s="49"/>
      <c r="G613" s="49"/>
      <c r="H613" s="49"/>
      <c r="I613" s="49"/>
    </row>
    <row r="614">
      <c r="A614" s="49"/>
      <c r="B614" s="49"/>
      <c r="C614" s="49"/>
      <c r="D614" s="49"/>
      <c r="E614" s="49"/>
      <c r="F614" s="49"/>
      <c r="G614" s="49"/>
      <c r="H614" s="49"/>
      <c r="I614" s="49"/>
    </row>
    <row r="615">
      <c r="A615" s="49"/>
      <c r="B615" s="49"/>
      <c r="C615" s="49"/>
      <c r="D615" s="49"/>
      <c r="E615" s="49"/>
      <c r="F615" s="49"/>
      <c r="G615" s="49"/>
      <c r="H615" s="49"/>
      <c r="I615" s="49"/>
    </row>
    <row r="616">
      <c r="A616" s="49"/>
      <c r="B616" s="49"/>
      <c r="C616" s="49"/>
      <c r="D616" s="49"/>
      <c r="E616" s="49"/>
      <c r="F616" s="49"/>
      <c r="G616" s="49"/>
      <c r="H616" s="49"/>
      <c r="I616" s="49"/>
    </row>
    <row r="617">
      <c r="A617" s="49"/>
      <c r="B617" s="49"/>
      <c r="C617" s="49"/>
      <c r="D617" s="49"/>
      <c r="E617" s="49"/>
      <c r="F617" s="49"/>
      <c r="G617" s="49"/>
      <c r="H617" s="49"/>
      <c r="I617" s="49"/>
    </row>
    <row r="618">
      <c r="A618" s="49"/>
      <c r="B618" s="49"/>
      <c r="C618" s="49"/>
      <c r="D618" s="49"/>
      <c r="E618" s="49"/>
      <c r="F618" s="49"/>
      <c r="G618" s="49"/>
      <c r="H618" s="49"/>
      <c r="I618" s="49"/>
    </row>
    <row r="619">
      <c r="A619" s="49"/>
      <c r="B619" s="49"/>
      <c r="C619" s="49"/>
      <c r="D619" s="49"/>
      <c r="E619" s="49"/>
      <c r="F619" s="49"/>
      <c r="G619" s="49"/>
      <c r="H619" s="49"/>
      <c r="I619" s="49"/>
    </row>
    <row r="620">
      <c r="A620" s="49"/>
      <c r="B620" s="49"/>
      <c r="C620" s="49"/>
      <c r="D620" s="49"/>
      <c r="E620" s="49"/>
      <c r="F620" s="49"/>
      <c r="G620" s="49"/>
      <c r="H620" s="49"/>
      <c r="I620" s="49"/>
    </row>
    <row r="621">
      <c r="A621" s="49"/>
      <c r="B621" s="49"/>
      <c r="C621" s="49"/>
      <c r="D621" s="49"/>
      <c r="E621" s="49"/>
      <c r="F621" s="49"/>
      <c r="G621" s="49"/>
      <c r="H621" s="49"/>
      <c r="I621" s="49"/>
    </row>
    <row r="622">
      <c r="A622" s="49"/>
      <c r="B622" s="49"/>
      <c r="C622" s="49"/>
      <c r="D622" s="49"/>
      <c r="E622" s="49"/>
      <c r="F622" s="49"/>
      <c r="G622" s="49"/>
      <c r="H622" s="49"/>
      <c r="I622" s="49"/>
    </row>
    <row r="623">
      <c r="A623" s="49"/>
      <c r="B623" s="49"/>
      <c r="C623" s="49"/>
      <c r="D623" s="49"/>
      <c r="E623" s="49"/>
      <c r="F623" s="49"/>
      <c r="G623" s="49"/>
      <c r="H623" s="49"/>
      <c r="I623" s="49"/>
    </row>
    <row r="624">
      <c r="A624" s="49"/>
      <c r="B624" s="49"/>
      <c r="C624" s="49"/>
      <c r="D624" s="49"/>
      <c r="E624" s="49"/>
      <c r="F624" s="49"/>
      <c r="G624" s="49"/>
      <c r="H624" s="49"/>
      <c r="I624" s="49"/>
    </row>
    <row r="625">
      <c r="A625" s="49"/>
      <c r="B625" s="49"/>
      <c r="C625" s="49"/>
      <c r="D625" s="49"/>
      <c r="E625" s="49"/>
      <c r="F625" s="49"/>
      <c r="G625" s="49"/>
      <c r="H625" s="49"/>
      <c r="I625" s="49"/>
    </row>
    <row r="626">
      <c r="A626" s="49"/>
      <c r="B626" s="49"/>
      <c r="C626" s="49"/>
      <c r="D626" s="49"/>
      <c r="E626" s="49"/>
      <c r="F626" s="49"/>
      <c r="G626" s="49"/>
      <c r="H626" s="49"/>
      <c r="I626" s="49"/>
    </row>
    <row r="627">
      <c r="A627" s="49"/>
      <c r="B627" s="49"/>
      <c r="C627" s="49"/>
      <c r="D627" s="49"/>
      <c r="E627" s="49"/>
      <c r="F627" s="49"/>
      <c r="G627" s="49"/>
      <c r="H627" s="49"/>
      <c r="I627" s="49"/>
    </row>
    <row r="628">
      <c r="A628" s="49"/>
      <c r="B628" s="49"/>
      <c r="C628" s="49"/>
      <c r="D628" s="49"/>
      <c r="E628" s="49"/>
      <c r="F628" s="49"/>
      <c r="G628" s="49"/>
      <c r="H628" s="49"/>
      <c r="I628" s="49"/>
    </row>
    <row r="629">
      <c r="A629" s="49"/>
      <c r="B629" s="49"/>
      <c r="C629" s="49"/>
      <c r="D629" s="49"/>
      <c r="E629" s="49"/>
      <c r="F629" s="49"/>
      <c r="G629" s="49"/>
      <c r="H629" s="49"/>
      <c r="I629" s="49"/>
    </row>
    <row r="630">
      <c r="A630" s="49"/>
      <c r="B630" s="49"/>
      <c r="C630" s="49"/>
      <c r="D630" s="49"/>
      <c r="E630" s="49"/>
      <c r="F630" s="49"/>
      <c r="G630" s="49"/>
      <c r="H630" s="49"/>
      <c r="I630" s="49"/>
    </row>
    <row r="631">
      <c r="A631" s="49"/>
      <c r="B631" s="49"/>
      <c r="C631" s="49"/>
      <c r="D631" s="49"/>
      <c r="E631" s="49"/>
      <c r="F631" s="49"/>
      <c r="G631" s="49"/>
      <c r="H631" s="49"/>
      <c r="I631" s="49"/>
    </row>
    <row r="632">
      <c r="A632" s="49"/>
      <c r="B632" s="49"/>
      <c r="C632" s="49"/>
      <c r="D632" s="49"/>
      <c r="E632" s="49"/>
      <c r="F632" s="49"/>
      <c r="G632" s="49"/>
      <c r="H632" s="49"/>
      <c r="I632" s="49"/>
    </row>
    <row r="633">
      <c r="A633" s="49"/>
      <c r="B633" s="49"/>
      <c r="C633" s="49"/>
      <c r="D633" s="49"/>
      <c r="E633" s="49"/>
      <c r="F633" s="49"/>
      <c r="G633" s="49"/>
      <c r="H633" s="49"/>
      <c r="I633" s="49"/>
    </row>
    <row r="634">
      <c r="A634" s="49"/>
      <c r="B634" s="49"/>
      <c r="C634" s="49"/>
      <c r="D634" s="49"/>
      <c r="E634" s="49"/>
      <c r="F634" s="49"/>
      <c r="G634" s="49"/>
      <c r="H634" s="49"/>
      <c r="I634" s="49"/>
    </row>
    <row r="635">
      <c r="A635" s="49"/>
      <c r="B635" s="49"/>
      <c r="C635" s="49"/>
      <c r="D635" s="49"/>
      <c r="E635" s="49"/>
      <c r="F635" s="49"/>
      <c r="G635" s="49"/>
      <c r="H635" s="49"/>
      <c r="I635" s="49"/>
    </row>
    <row r="636">
      <c r="A636" s="49"/>
      <c r="B636" s="49"/>
      <c r="C636" s="49"/>
      <c r="D636" s="49"/>
      <c r="E636" s="49"/>
      <c r="F636" s="49"/>
      <c r="G636" s="49"/>
      <c r="H636" s="49"/>
      <c r="I636" s="49"/>
    </row>
    <row r="637">
      <c r="A637" s="49"/>
      <c r="B637" s="49"/>
      <c r="C637" s="49"/>
      <c r="D637" s="49"/>
      <c r="E637" s="49"/>
      <c r="F637" s="49"/>
      <c r="G637" s="49"/>
      <c r="H637" s="49"/>
      <c r="I637" s="49"/>
    </row>
    <row r="638">
      <c r="A638" s="49"/>
      <c r="B638" s="49"/>
      <c r="C638" s="49"/>
      <c r="D638" s="49"/>
      <c r="E638" s="49"/>
      <c r="F638" s="49"/>
      <c r="G638" s="49"/>
      <c r="H638" s="49"/>
      <c r="I638" s="49"/>
    </row>
    <row r="639">
      <c r="A639" s="49"/>
      <c r="B639" s="49"/>
      <c r="C639" s="49"/>
      <c r="D639" s="49"/>
      <c r="E639" s="49"/>
      <c r="F639" s="49"/>
      <c r="G639" s="49"/>
      <c r="H639" s="49"/>
      <c r="I639" s="49"/>
    </row>
    <row r="640">
      <c r="A640" s="49"/>
      <c r="B640" s="49"/>
      <c r="C640" s="49"/>
      <c r="D640" s="49"/>
      <c r="E640" s="49"/>
      <c r="F640" s="49"/>
      <c r="G640" s="49"/>
      <c r="H640" s="49"/>
      <c r="I640" s="49"/>
    </row>
    <row r="641">
      <c r="A641" s="49"/>
      <c r="B641" s="49"/>
      <c r="C641" s="49"/>
      <c r="D641" s="49"/>
      <c r="E641" s="49"/>
      <c r="F641" s="49"/>
      <c r="G641" s="49"/>
      <c r="H641" s="49"/>
      <c r="I641" s="49"/>
    </row>
    <row r="642">
      <c r="A642" s="49"/>
      <c r="B642" s="49"/>
      <c r="C642" s="49"/>
      <c r="D642" s="49"/>
      <c r="E642" s="49"/>
      <c r="F642" s="49"/>
      <c r="G642" s="49"/>
      <c r="H642" s="49"/>
      <c r="I642" s="49"/>
    </row>
    <row r="643">
      <c r="A643" s="49"/>
      <c r="B643" s="49"/>
      <c r="C643" s="49"/>
      <c r="D643" s="49"/>
      <c r="E643" s="49"/>
      <c r="F643" s="49"/>
      <c r="G643" s="49"/>
      <c r="H643" s="49"/>
      <c r="I643" s="49"/>
    </row>
    <row r="644">
      <c r="A644" s="49"/>
      <c r="B644" s="49"/>
      <c r="C644" s="49"/>
      <c r="D644" s="49"/>
      <c r="E644" s="49"/>
      <c r="F644" s="49"/>
      <c r="G644" s="49"/>
      <c r="H644" s="49"/>
      <c r="I644" s="49"/>
    </row>
    <row r="645">
      <c r="A645" s="49"/>
      <c r="B645" s="49"/>
      <c r="C645" s="49"/>
      <c r="D645" s="49"/>
      <c r="E645" s="49"/>
      <c r="F645" s="49"/>
      <c r="G645" s="49"/>
      <c r="H645" s="49"/>
      <c r="I645" s="49"/>
    </row>
    <row r="646">
      <c r="A646" s="49"/>
      <c r="B646" s="49"/>
      <c r="C646" s="49"/>
      <c r="D646" s="49"/>
      <c r="E646" s="49"/>
      <c r="F646" s="49"/>
      <c r="G646" s="49"/>
      <c r="H646" s="49"/>
      <c r="I646" s="49"/>
    </row>
    <row r="647">
      <c r="A647" s="49"/>
      <c r="B647" s="49"/>
      <c r="C647" s="49"/>
      <c r="D647" s="49"/>
      <c r="E647" s="49"/>
      <c r="F647" s="49"/>
      <c r="G647" s="49"/>
      <c r="H647" s="49"/>
      <c r="I647" s="49"/>
    </row>
    <row r="648">
      <c r="A648" s="49"/>
      <c r="B648" s="49"/>
      <c r="C648" s="49"/>
      <c r="D648" s="49"/>
      <c r="E648" s="49"/>
      <c r="F648" s="49"/>
      <c r="G648" s="49"/>
      <c r="H648" s="49"/>
      <c r="I648" s="49"/>
    </row>
    <row r="649">
      <c r="A649" s="49"/>
      <c r="B649" s="49"/>
      <c r="C649" s="49"/>
      <c r="D649" s="49"/>
      <c r="E649" s="49"/>
      <c r="F649" s="49"/>
      <c r="G649" s="49"/>
      <c r="H649" s="49"/>
      <c r="I649" s="49"/>
    </row>
    <row r="650">
      <c r="A650" s="49"/>
      <c r="B650" s="49"/>
      <c r="C650" s="49"/>
      <c r="D650" s="49"/>
      <c r="E650" s="49"/>
      <c r="F650" s="49"/>
      <c r="G650" s="49"/>
      <c r="H650" s="49"/>
      <c r="I650" s="49"/>
    </row>
    <row r="651">
      <c r="A651" s="49"/>
      <c r="B651" s="49"/>
      <c r="C651" s="49"/>
      <c r="D651" s="49"/>
      <c r="E651" s="49"/>
      <c r="F651" s="49"/>
      <c r="G651" s="49"/>
      <c r="H651" s="49"/>
      <c r="I651" s="49"/>
    </row>
    <row r="652">
      <c r="A652" s="49"/>
      <c r="B652" s="49"/>
      <c r="C652" s="49"/>
      <c r="D652" s="49"/>
      <c r="E652" s="49"/>
      <c r="F652" s="49"/>
      <c r="G652" s="49"/>
      <c r="H652" s="49"/>
      <c r="I652" s="49"/>
    </row>
    <row r="653">
      <c r="A653" s="49"/>
      <c r="B653" s="49"/>
      <c r="C653" s="49"/>
      <c r="D653" s="49"/>
      <c r="E653" s="49"/>
      <c r="F653" s="49"/>
      <c r="G653" s="49"/>
      <c r="H653" s="49"/>
      <c r="I653" s="49"/>
    </row>
    <row r="654">
      <c r="A654" s="49"/>
      <c r="B654" s="49"/>
      <c r="C654" s="49"/>
      <c r="D654" s="49"/>
      <c r="E654" s="49"/>
      <c r="F654" s="49"/>
      <c r="G654" s="49"/>
      <c r="H654" s="49"/>
      <c r="I654" s="49"/>
    </row>
    <row r="655">
      <c r="A655" s="49"/>
      <c r="B655" s="49"/>
      <c r="C655" s="49"/>
      <c r="D655" s="49"/>
      <c r="E655" s="49"/>
      <c r="F655" s="49"/>
      <c r="G655" s="49"/>
      <c r="H655" s="49"/>
      <c r="I655" s="49"/>
    </row>
    <row r="656">
      <c r="A656" s="49"/>
      <c r="B656" s="49"/>
      <c r="C656" s="49"/>
      <c r="D656" s="49"/>
      <c r="E656" s="49"/>
      <c r="F656" s="49"/>
      <c r="G656" s="49"/>
      <c r="H656" s="49"/>
      <c r="I656" s="49"/>
    </row>
    <row r="657">
      <c r="A657" s="49"/>
      <c r="B657" s="49"/>
      <c r="C657" s="49"/>
      <c r="D657" s="49"/>
      <c r="E657" s="49"/>
      <c r="F657" s="49"/>
      <c r="G657" s="49"/>
      <c r="H657" s="49"/>
      <c r="I657" s="49"/>
    </row>
    <row r="658">
      <c r="A658" s="49"/>
      <c r="B658" s="49"/>
      <c r="C658" s="49"/>
      <c r="D658" s="49"/>
      <c r="E658" s="49"/>
      <c r="F658" s="49"/>
      <c r="G658" s="49"/>
      <c r="H658" s="49"/>
      <c r="I658" s="49"/>
    </row>
    <row r="659">
      <c r="A659" s="49"/>
      <c r="B659" s="49"/>
      <c r="C659" s="49"/>
      <c r="D659" s="49"/>
      <c r="E659" s="49"/>
      <c r="F659" s="49"/>
      <c r="G659" s="49"/>
      <c r="H659" s="49"/>
      <c r="I659" s="49"/>
    </row>
    <row r="660">
      <c r="A660" s="49"/>
      <c r="B660" s="49"/>
      <c r="C660" s="49"/>
      <c r="D660" s="49"/>
      <c r="E660" s="49"/>
      <c r="F660" s="49"/>
      <c r="G660" s="49"/>
      <c r="H660" s="49"/>
      <c r="I660" s="49"/>
    </row>
    <row r="661">
      <c r="A661" s="49"/>
      <c r="B661" s="49"/>
      <c r="C661" s="49"/>
      <c r="D661" s="49"/>
      <c r="E661" s="49"/>
      <c r="F661" s="49"/>
      <c r="G661" s="49"/>
      <c r="H661" s="49"/>
      <c r="I661" s="49"/>
    </row>
    <row r="662">
      <c r="A662" s="49"/>
      <c r="B662" s="49"/>
      <c r="C662" s="49"/>
      <c r="D662" s="49"/>
      <c r="E662" s="49"/>
      <c r="F662" s="49"/>
      <c r="G662" s="49"/>
      <c r="H662" s="49"/>
      <c r="I662" s="49"/>
    </row>
    <row r="663">
      <c r="A663" s="49"/>
      <c r="B663" s="49"/>
      <c r="C663" s="49"/>
      <c r="D663" s="49"/>
      <c r="E663" s="49"/>
      <c r="F663" s="49"/>
      <c r="G663" s="49"/>
      <c r="H663" s="49"/>
      <c r="I663" s="49"/>
    </row>
    <row r="664">
      <c r="A664" s="49"/>
      <c r="B664" s="49"/>
      <c r="C664" s="49"/>
      <c r="D664" s="49"/>
      <c r="E664" s="49"/>
      <c r="F664" s="49"/>
      <c r="G664" s="49"/>
      <c r="H664" s="49"/>
      <c r="I664" s="49"/>
    </row>
    <row r="665">
      <c r="A665" s="49"/>
      <c r="B665" s="49"/>
      <c r="C665" s="49"/>
      <c r="D665" s="49"/>
      <c r="E665" s="49"/>
      <c r="F665" s="49"/>
      <c r="G665" s="49"/>
      <c r="H665" s="49"/>
      <c r="I665" s="49"/>
    </row>
    <row r="666">
      <c r="A666" s="49"/>
      <c r="B666" s="49"/>
      <c r="C666" s="49"/>
      <c r="D666" s="49"/>
      <c r="E666" s="49"/>
      <c r="F666" s="49"/>
      <c r="G666" s="49"/>
      <c r="H666" s="49"/>
      <c r="I666" s="49"/>
    </row>
    <row r="667">
      <c r="A667" s="49"/>
      <c r="B667" s="49"/>
      <c r="C667" s="49"/>
      <c r="D667" s="49"/>
      <c r="E667" s="49"/>
      <c r="F667" s="49"/>
      <c r="G667" s="49"/>
      <c r="H667" s="49"/>
      <c r="I667" s="49"/>
    </row>
    <row r="668">
      <c r="A668" s="49"/>
      <c r="B668" s="49"/>
      <c r="C668" s="49"/>
      <c r="D668" s="49"/>
      <c r="E668" s="49"/>
      <c r="F668" s="49"/>
      <c r="G668" s="49"/>
      <c r="H668" s="49"/>
      <c r="I668" s="49"/>
    </row>
    <row r="669">
      <c r="A669" s="49"/>
      <c r="B669" s="49"/>
      <c r="C669" s="49"/>
      <c r="D669" s="49"/>
      <c r="E669" s="49"/>
      <c r="F669" s="49"/>
      <c r="G669" s="49"/>
      <c r="H669" s="49"/>
      <c r="I669" s="49"/>
    </row>
    <row r="670">
      <c r="A670" s="49"/>
      <c r="B670" s="49"/>
      <c r="C670" s="49"/>
      <c r="D670" s="49"/>
      <c r="E670" s="49"/>
      <c r="F670" s="49"/>
      <c r="G670" s="49"/>
      <c r="H670" s="49"/>
      <c r="I670" s="49"/>
    </row>
    <row r="671">
      <c r="A671" s="49"/>
      <c r="B671" s="49"/>
      <c r="C671" s="49"/>
      <c r="D671" s="49"/>
      <c r="E671" s="49"/>
      <c r="F671" s="49"/>
      <c r="G671" s="49"/>
      <c r="H671" s="49"/>
      <c r="I671" s="49"/>
    </row>
    <row r="672">
      <c r="A672" s="49"/>
      <c r="B672" s="49"/>
      <c r="C672" s="49"/>
      <c r="D672" s="49"/>
      <c r="E672" s="49"/>
      <c r="F672" s="49"/>
      <c r="G672" s="49"/>
      <c r="H672" s="49"/>
      <c r="I672" s="49"/>
    </row>
    <row r="673">
      <c r="A673" s="49"/>
      <c r="B673" s="49"/>
      <c r="C673" s="49"/>
      <c r="D673" s="49"/>
      <c r="E673" s="49"/>
      <c r="F673" s="49"/>
      <c r="G673" s="49"/>
      <c r="H673" s="49"/>
      <c r="I673" s="49"/>
    </row>
    <row r="674">
      <c r="A674" s="49"/>
      <c r="B674" s="49"/>
      <c r="C674" s="49"/>
      <c r="D674" s="49"/>
      <c r="E674" s="49"/>
      <c r="F674" s="49"/>
      <c r="G674" s="49"/>
      <c r="H674" s="49"/>
      <c r="I674" s="49"/>
    </row>
    <row r="675">
      <c r="A675" s="49"/>
      <c r="B675" s="49"/>
      <c r="C675" s="49"/>
      <c r="D675" s="49"/>
      <c r="E675" s="49"/>
      <c r="F675" s="49"/>
      <c r="G675" s="49"/>
      <c r="H675" s="49"/>
      <c r="I675" s="49"/>
    </row>
    <row r="676">
      <c r="A676" s="49"/>
      <c r="B676" s="49"/>
      <c r="C676" s="49"/>
      <c r="D676" s="49"/>
      <c r="E676" s="49"/>
      <c r="F676" s="49"/>
      <c r="G676" s="49"/>
      <c r="H676" s="49"/>
      <c r="I676" s="49"/>
    </row>
    <row r="677">
      <c r="A677" s="49"/>
      <c r="B677" s="49"/>
      <c r="C677" s="49"/>
      <c r="D677" s="49"/>
      <c r="E677" s="49"/>
      <c r="F677" s="49"/>
      <c r="G677" s="49"/>
      <c r="H677" s="49"/>
      <c r="I677" s="49"/>
    </row>
    <row r="678">
      <c r="A678" s="49"/>
      <c r="B678" s="49"/>
      <c r="C678" s="49"/>
      <c r="D678" s="49"/>
      <c r="E678" s="49"/>
      <c r="F678" s="49"/>
      <c r="G678" s="49"/>
      <c r="H678" s="49"/>
      <c r="I678" s="49"/>
    </row>
    <row r="679">
      <c r="A679" s="49"/>
      <c r="B679" s="49"/>
      <c r="C679" s="49"/>
      <c r="D679" s="49"/>
      <c r="E679" s="49"/>
      <c r="F679" s="49"/>
      <c r="G679" s="49"/>
      <c r="H679" s="49"/>
      <c r="I679" s="49"/>
    </row>
    <row r="680">
      <c r="A680" s="49"/>
      <c r="B680" s="49"/>
      <c r="C680" s="49"/>
      <c r="D680" s="49"/>
      <c r="E680" s="49"/>
      <c r="F680" s="49"/>
      <c r="G680" s="49"/>
      <c r="H680" s="49"/>
      <c r="I680" s="49"/>
    </row>
    <row r="681">
      <c r="A681" s="49"/>
      <c r="B681" s="49"/>
      <c r="C681" s="49"/>
      <c r="D681" s="49"/>
      <c r="E681" s="49"/>
      <c r="F681" s="49"/>
      <c r="G681" s="49"/>
      <c r="H681" s="49"/>
      <c r="I681" s="49"/>
    </row>
    <row r="682">
      <c r="A682" s="49"/>
      <c r="B682" s="49"/>
      <c r="C682" s="49"/>
      <c r="D682" s="49"/>
      <c r="E682" s="49"/>
      <c r="F682" s="49"/>
      <c r="G682" s="49"/>
      <c r="H682" s="49"/>
      <c r="I682" s="49"/>
    </row>
    <row r="683">
      <c r="A683" s="49"/>
      <c r="B683" s="49"/>
      <c r="C683" s="49"/>
      <c r="D683" s="49"/>
      <c r="E683" s="49"/>
      <c r="F683" s="49"/>
      <c r="G683" s="49"/>
      <c r="H683" s="49"/>
      <c r="I683" s="49"/>
    </row>
    <row r="684">
      <c r="A684" s="49"/>
      <c r="B684" s="49"/>
      <c r="C684" s="49"/>
      <c r="D684" s="49"/>
      <c r="E684" s="49"/>
      <c r="F684" s="49"/>
      <c r="G684" s="49"/>
      <c r="H684" s="49"/>
      <c r="I684" s="49"/>
    </row>
    <row r="685">
      <c r="A685" s="49"/>
      <c r="B685" s="49"/>
      <c r="C685" s="49"/>
      <c r="D685" s="49"/>
      <c r="E685" s="49"/>
      <c r="F685" s="49"/>
      <c r="G685" s="49"/>
      <c r="H685" s="49"/>
      <c r="I685" s="49"/>
    </row>
    <row r="686">
      <c r="A686" s="49"/>
      <c r="B686" s="49"/>
      <c r="C686" s="49"/>
      <c r="D686" s="49"/>
      <c r="E686" s="49"/>
      <c r="F686" s="49"/>
      <c r="G686" s="49"/>
      <c r="H686" s="49"/>
      <c r="I686" s="49"/>
    </row>
    <row r="687">
      <c r="A687" s="49"/>
      <c r="B687" s="49"/>
      <c r="C687" s="49"/>
      <c r="D687" s="49"/>
      <c r="E687" s="49"/>
      <c r="F687" s="49"/>
      <c r="G687" s="49"/>
      <c r="H687" s="49"/>
      <c r="I687" s="49"/>
    </row>
    <row r="688">
      <c r="A688" s="49"/>
      <c r="B688" s="49"/>
      <c r="C688" s="49"/>
      <c r="D688" s="49"/>
      <c r="E688" s="49"/>
      <c r="F688" s="49"/>
      <c r="G688" s="49"/>
      <c r="H688" s="49"/>
      <c r="I688" s="49"/>
    </row>
    <row r="689">
      <c r="A689" s="49"/>
      <c r="B689" s="49"/>
      <c r="C689" s="49"/>
      <c r="D689" s="49"/>
      <c r="E689" s="49"/>
      <c r="F689" s="49"/>
      <c r="G689" s="49"/>
      <c r="H689" s="49"/>
      <c r="I689" s="49"/>
    </row>
    <row r="690">
      <c r="A690" s="49"/>
      <c r="B690" s="49"/>
      <c r="C690" s="49"/>
      <c r="D690" s="49"/>
      <c r="E690" s="49"/>
      <c r="F690" s="49"/>
      <c r="G690" s="49"/>
      <c r="H690" s="49"/>
      <c r="I690" s="49"/>
    </row>
    <row r="691">
      <c r="A691" s="49"/>
      <c r="B691" s="49"/>
      <c r="C691" s="49"/>
      <c r="D691" s="49"/>
      <c r="E691" s="49"/>
      <c r="F691" s="49"/>
      <c r="G691" s="49"/>
      <c r="H691" s="49"/>
      <c r="I691" s="49"/>
    </row>
    <row r="692">
      <c r="A692" s="49"/>
      <c r="B692" s="49"/>
      <c r="C692" s="49"/>
      <c r="D692" s="49"/>
      <c r="E692" s="49"/>
      <c r="F692" s="49"/>
      <c r="G692" s="49"/>
      <c r="H692" s="49"/>
      <c r="I692" s="49"/>
    </row>
    <row r="693">
      <c r="A693" s="49"/>
      <c r="B693" s="49"/>
      <c r="C693" s="49"/>
      <c r="D693" s="49"/>
      <c r="E693" s="49"/>
      <c r="F693" s="49"/>
      <c r="G693" s="49"/>
      <c r="H693" s="49"/>
      <c r="I693" s="49"/>
    </row>
    <row r="694">
      <c r="A694" s="49"/>
      <c r="B694" s="49"/>
      <c r="C694" s="49"/>
      <c r="D694" s="49"/>
      <c r="E694" s="49"/>
      <c r="F694" s="49"/>
      <c r="G694" s="49"/>
      <c r="H694" s="49"/>
      <c r="I694" s="49"/>
    </row>
    <row r="695">
      <c r="A695" s="49"/>
      <c r="B695" s="49"/>
      <c r="C695" s="49"/>
      <c r="D695" s="49"/>
      <c r="E695" s="49"/>
      <c r="F695" s="49"/>
      <c r="G695" s="49"/>
      <c r="H695" s="49"/>
      <c r="I695" s="49"/>
    </row>
    <row r="696">
      <c r="A696" s="49"/>
      <c r="B696" s="49"/>
      <c r="C696" s="49"/>
      <c r="D696" s="49"/>
      <c r="E696" s="49"/>
      <c r="F696" s="49"/>
      <c r="G696" s="49"/>
      <c r="H696" s="49"/>
      <c r="I696" s="49"/>
    </row>
    <row r="697">
      <c r="A697" s="49"/>
      <c r="B697" s="49"/>
      <c r="C697" s="49"/>
      <c r="D697" s="49"/>
      <c r="E697" s="49"/>
      <c r="F697" s="49"/>
      <c r="G697" s="49"/>
      <c r="H697" s="49"/>
      <c r="I697" s="49"/>
    </row>
    <row r="698">
      <c r="A698" s="49"/>
      <c r="B698" s="49"/>
      <c r="C698" s="49"/>
      <c r="D698" s="49"/>
      <c r="E698" s="49"/>
      <c r="F698" s="49"/>
      <c r="G698" s="49"/>
      <c r="H698" s="49"/>
      <c r="I698" s="49"/>
    </row>
    <row r="699">
      <c r="A699" s="49"/>
      <c r="B699" s="49"/>
      <c r="C699" s="49"/>
      <c r="D699" s="49"/>
      <c r="E699" s="49"/>
      <c r="F699" s="49"/>
      <c r="G699" s="49"/>
      <c r="H699" s="49"/>
      <c r="I699" s="49"/>
    </row>
    <row r="700">
      <c r="A700" s="49"/>
      <c r="B700" s="49"/>
      <c r="C700" s="49"/>
      <c r="D700" s="49"/>
      <c r="E700" s="49"/>
      <c r="F700" s="49"/>
      <c r="G700" s="49"/>
      <c r="H700" s="49"/>
      <c r="I700" s="49"/>
    </row>
    <row r="701">
      <c r="A701" s="49"/>
      <c r="B701" s="49"/>
      <c r="C701" s="49"/>
      <c r="D701" s="49"/>
      <c r="E701" s="49"/>
      <c r="F701" s="49"/>
      <c r="G701" s="49"/>
      <c r="H701" s="49"/>
      <c r="I701" s="49"/>
    </row>
    <row r="702">
      <c r="A702" s="49"/>
      <c r="B702" s="49"/>
      <c r="C702" s="49"/>
      <c r="D702" s="49"/>
      <c r="E702" s="49"/>
      <c r="F702" s="49"/>
      <c r="G702" s="49"/>
      <c r="H702" s="49"/>
      <c r="I702" s="49"/>
    </row>
    <row r="703">
      <c r="A703" s="49"/>
      <c r="B703" s="49"/>
      <c r="C703" s="49"/>
      <c r="D703" s="49"/>
      <c r="E703" s="49"/>
      <c r="F703" s="49"/>
      <c r="G703" s="49"/>
      <c r="H703" s="49"/>
      <c r="I703" s="49"/>
    </row>
    <row r="704">
      <c r="A704" s="49"/>
      <c r="B704" s="49"/>
      <c r="C704" s="49"/>
      <c r="D704" s="49"/>
      <c r="E704" s="49"/>
      <c r="F704" s="49"/>
      <c r="G704" s="49"/>
      <c r="H704" s="49"/>
      <c r="I704" s="49"/>
    </row>
    <row r="705">
      <c r="A705" s="49"/>
      <c r="B705" s="49"/>
      <c r="C705" s="49"/>
      <c r="D705" s="49"/>
      <c r="E705" s="49"/>
      <c r="F705" s="49"/>
      <c r="G705" s="49"/>
      <c r="H705" s="49"/>
      <c r="I705" s="49"/>
    </row>
    <row r="706">
      <c r="A706" s="49"/>
      <c r="B706" s="49"/>
      <c r="C706" s="49"/>
      <c r="D706" s="49"/>
      <c r="E706" s="49"/>
      <c r="F706" s="49"/>
      <c r="G706" s="49"/>
      <c r="H706" s="49"/>
      <c r="I706" s="49"/>
    </row>
    <row r="707">
      <c r="A707" s="49"/>
      <c r="B707" s="49"/>
      <c r="C707" s="49"/>
      <c r="D707" s="49"/>
      <c r="E707" s="49"/>
      <c r="F707" s="49"/>
      <c r="G707" s="49"/>
      <c r="H707" s="49"/>
      <c r="I707" s="49"/>
    </row>
    <row r="708">
      <c r="A708" s="49"/>
      <c r="B708" s="49"/>
      <c r="C708" s="49"/>
      <c r="D708" s="49"/>
      <c r="E708" s="49"/>
      <c r="F708" s="49"/>
      <c r="G708" s="49"/>
      <c r="H708" s="49"/>
      <c r="I708" s="49"/>
    </row>
    <row r="709">
      <c r="A709" s="49"/>
      <c r="B709" s="49"/>
      <c r="C709" s="49"/>
      <c r="D709" s="49"/>
      <c r="E709" s="49"/>
      <c r="F709" s="49"/>
      <c r="G709" s="49"/>
      <c r="H709" s="49"/>
      <c r="I709" s="49"/>
    </row>
    <row r="710">
      <c r="A710" s="49"/>
      <c r="B710" s="49"/>
      <c r="C710" s="49"/>
      <c r="D710" s="49"/>
      <c r="E710" s="49"/>
      <c r="F710" s="49"/>
      <c r="G710" s="49"/>
      <c r="H710" s="49"/>
      <c r="I710" s="49"/>
    </row>
    <row r="711">
      <c r="A711" s="49"/>
      <c r="B711" s="49"/>
      <c r="C711" s="49"/>
      <c r="D711" s="49"/>
      <c r="E711" s="49"/>
      <c r="F711" s="49"/>
      <c r="G711" s="49"/>
      <c r="H711" s="49"/>
      <c r="I711" s="49"/>
    </row>
    <row r="712">
      <c r="A712" s="49"/>
      <c r="B712" s="49"/>
      <c r="C712" s="49"/>
      <c r="D712" s="49"/>
      <c r="E712" s="49"/>
      <c r="F712" s="49"/>
      <c r="G712" s="49"/>
      <c r="H712" s="49"/>
      <c r="I712" s="49"/>
    </row>
    <row r="713">
      <c r="A713" s="49"/>
      <c r="B713" s="49"/>
      <c r="C713" s="49"/>
      <c r="D713" s="49"/>
      <c r="E713" s="49"/>
      <c r="F713" s="49"/>
      <c r="G713" s="49"/>
      <c r="H713" s="49"/>
      <c r="I713" s="49"/>
    </row>
    <row r="714">
      <c r="A714" s="49"/>
      <c r="B714" s="49"/>
      <c r="C714" s="49"/>
      <c r="D714" s="49"/>
      <c r="E714" s="49"/>
      <c r="F714" s="49"/>
      <c r="G714" s="49"/>
      <c r="H714" s="49"/>
      <c r="I714" s="49"/>
    </row>
    <row r="715">
      <c r="A715" s="49"/>
      <c r="B715" s="49"/>
      <c r="C715" s="49"/>
      <c r="D715" s="49"/>
      <c r="E715" s="49"/>
      <c r="F715" s="49"/>
      <c r="G715" s="49"/>
      <c r="H715" s="49"/>
      <c r="I715" s="49"/>
    </row>
    <row r="716">
      <c r="A716" s="49"/>
      <c r="B716" s="49"/>
      <c r="C716" s="49"/>
      <c r="D716" s="49"/>
      <c r="E716" s="49"/>
      <c r="F716" s="49"/>
      <c r="G716" s="49"/>
      <c r="H716" s="49"/>
      <c r="I716" s="49"/>
    </row>
    <row r="717">
      <c r="A717" s="49"/>
      <c r="B717" s="49"/>
      <c r="C717" s="49"/>
      <c r="D717" s="49"/>
      <c r="E717" s="49"/>
      <c r="F717" s="49"/>
      <c r="G717" s="49"/>
      <c r="H717" s="49"/>
      <c r="I717" s="49"/>
    </row>
    <row r="718">
      <c r="A718" s="49"/>
      <c r="B718" s="49"/>
      <c r="C718" s="49"/>
      <c r="D718" s="49"/>
      <c r="E718" s="49"/>
      <c r="F718" s="49"/>
      <c r="G718" s="49"/>
      <c r="H718" s="49"/>
      <c r="I718" s="49"/>
    </row>
    <row r="719">
      <c r="A719" s="49"/>
      <c r="B719" s="49"/>
      <c r="C719" s="49"/>
      <c r="D719" s="49"/>
      <c r="E719" s="49"/>
      <c r="F719" s="49"/>
      <c r="G719" s="49"/>
      <c r="H719" s="49"/>
      <c r="I719" s="49"/>
    </row>
    <row r="720">
      <c r="A720" s="49"/>
      <c r="B720" s="49"/>
      <c r="C720" s="49"/>
      <c r="D720" s="49"/>
      <c r="E720" s="49"/>
      <c r="F720" s="49"/>
      <c r="G720" s="49"/>
      <c r="H720" s="49"/>
      <c r="I720" s="49"/>
    </row>
    <row r="721">
      <c r="A721" s="49"/>
      <c r="B721" s="49"/>
      <c r="C721" s="49"/>
      <c r="D721" s="49"/>
      <c r="E721" s="49"/>
      <c r="F721" s="49"/>
      <c r="G721" s="49"/>
      <c r="H721" s="49"/>
      <c r="I721" s="49"/>
    </row>
    <row r="722">
      <c r="A722" s="49"/>
      <c r="B722" s="49"/>
      <c r="C722" s="49"/>
      <c r="D722" s="49"/>
      <c r="E722" s="49"/>
      <c r="F722" s="49"/>
      <c r="G722" s="49"/>
      <c r="H722" s="49"/>
      <c r="I722" s="49"/>
    </row>
    <row r="723">
      <c r="A723" s="49"/>
      <c r="B723" s="49"/>
      <c r="C723" s="49"/>
      <c r="D723" s="49"/>
      <c r="E723" s="49"/>
      <c r="F723" s="49"/>
      <c r="G723" s="49"/>
      <c r="H723" s="49"/>
      <c r="I723" s="49"/>
    </row>
    <row r="724">
      <c r="A724" s="49"/>
      <c r="B724" s="49"/>
      <c r="C724" s="49"/>
      <c r="D724" s="49"/>
      <c r="E724" s="49"/>
      <c r="F724" s="49"/>
      <c r="G724" s="49"/>
      <c r="H724" s="49"/>
      <c r="I724" s="49"/>
    </row>
    <row r="725">
      <c r="A725" s="49"/>
      <c r="B725" s="49"/>
      <c r="C725" s="49"/>
      <c r="D725" s="49"/>
      <c r="E725" s="49"/>
      <c r="F725" s="49"/>
      <c r="G725" s="49"/>
      <c r="H725" s="49"/>
      <c r="I725" s="49"/>
    </row>
    <row r="726">
      <c r="A726" s="49"/>
      <c r="B726" s="49"/>
      <c r="C726" s="49"/>
      <c r="D726" s="49"/>
      <c r="E726" s="49"/>
      <c r="F726" s="49"/>
      <c r="G726" s="49"/>
      <c r="H726" s="49"/>
      <c r="I726" s="49"/>
    </row>
    <row r="727">
      <c r="A727" s="49"/>
      <c r="B727" s="49"/>
      <c r="C727" s="49"/>
      <c r="D727" s="49"/>
      <c r="E727" s="49"/>
      <c r="F727" s="49"/>
      <c r="G727" s="49"/>
      <c r="H727" s="49"/>
      <c r="I727" s="49"/>
    </row>
    <row r="728">
      <c r="A728" s="49"/>
      <c r="B728" s="49"/>
      <c r="C728" s="49"/>
      <c r="D728" s="49"/>
      <c r="E728" s="49"/>
      <c r="F728" s="49"/>
      <c r="G728" s="49"/>
      <c r="H728" s="49"/>
      <c r="I728" s="49"/>
    </row>
    <row r="729">
      <c r="A729" s="49"/>
      <c r="B729" s="49"/>
      <c r="C729" s="49"/>
      <c r="D729" s="49"/>
      <c r="E729" s="49"/>
      <c r="F729" s="49"/>
      <c r="G729" s="49"/>
      <c r="H729" s="49"/>
      <c r="I729" s="49"/>
    </row>
    <row r="730">
      <c r="A730" s="49"/>
      <c r="B730" s="49"/>
      <c r="C730" s="49"/>
      <c r="D730" s="49"/>
      <c r="E730" s="49"/>
      <c r="F730" s="49"/>
      <c r="G730" s="49"/>
      <c r="H730" s="49"/>
      <c r="I730" s="49"/>
    </row>
    <row r="731">
      <c r="A731" s="49"/>
      <c r="B731" s="49"/>
      <c r="C731" s="49"/>
      <c r="D731" s="49"/>
      <c r="E731" s="49"/>
      <c r="F731" s="49"/>
      <c r="G731" s="49"/>
      <c r="H731" s="49"/>
      <c r="I731" s="49"/>
    </row>
    <row r="732">
      <c r="A732" s="49"/>
      <c r="B732" s="49"/>
      <c r="C732" s="49"/>
      <c r="D732" s="49"/>
      <c r="E732" s="49"/>
      <c r="F732" s="49"/>
      <c r="G732" s="49"/>
      <c r="H732" s="49"/>
      <c r="I732" s="49"/>
    </row>
    <row r="733">
      <c r="A733" s="49"/>
      <c r="B733" s="49"/>
      <c r="C733" s="49"/>
      <c r="D733" s="49"/>
      <c r="E733" s="49"/>
      <c r="F733" s="49"/>
      <c r="G733" s="49"/>
      <c r="H733" s="49"/>
      <c r="I733" s="49"/>
    </row>
    <row r="734">
      <c r="A734" s="49"/>
      <c r="B734" s="49"/>
      <c r="C734" s="49"/>
      <c r="D734" s="49"/>
      <c r="E734" s="49"/>
      <c r="F734" s="49"/>
      <c r="G734" s="49"/>
      <c r="H734" s="49"/>
      <c r="I734" s="49"/>
    </row>
    <row r="735">
      <c r="A735" s="49"/>
      <c r="B735" s="49"/>
      <c r="C735" s="49"/>
      <c r="D735" s="49"/>
      <c r="E735" s="49"/>
      <c r="F735" s="49"/>
      <c r="G735" s="49"/>
      <c r="H735" s="49"/>
      <c r="I735" s="49"/>
    </row>
    <row r="736">
      <c r="A736" s="49"/>
      <c r="B736" s="49"/>
      <c r="C736" s="49"/>
      <c r="D736" s="49"/>
      <c r="E736" s="49"/>
      <c r="F736" s="49"/>
      <c r="G736" s="49"/>
      <c r="H736" s="49"/>
      <c r="I736" s="49"/>
    </row>
    <row r="737">
      <c r="A737" s="49"/>
      <c r="B737" s="49"/>
      <c r="C737" s="49"/>
      <c r="D737" s="49"/>
      <c r="E737" s="49"/>
      <c r="F737" s="49"/>
      <c r="G737" s="49"/>
      <c r="H737" s="49"/>
      <c r="I737" s="49"/>
    </row>
    <row r="738">
      <c r="A738" s="49"/>
      <c r="B738" s="49"/>
      <c r="C738" s="49"/>
      <c r="D738" s="49"/>
      <c r="E738" s="49"/>
      <c r="F738" s="49"/>
      <c r="G738" s="49"/>
      <c r="H738" s="49"/>
      <c r="I738" s="49"/>
    </row>
    <row r="739">
      <c r="A739" s="49"/>
      <c r="B739" s="49"/>
      <c r="C739" s="49"/>
      <c r="D739" s="49"/>
      <c r="E739" s="49"/>
      <c r="F739" s="49"/>
      <c r="G739" s="49"/>
      <c r="H739" s="49"/>
      <c r="I739" s="49"/>
    </row>
    <row r="740">
      <c r="A740" s="49"/>
      <c r="B740" s="49"/>
      <c r="C740" s="49"/>
      <c r="D740" s="49"/>
      <c r="E740" s="49"/>
      <c r="F740" s="49"/>
      <c r="G740" s="49"/>
      <c r="H740" s="49"/>
      <c r="I740" s="49"/>
    </row>
    <row r="741">
      <c r="A741" s="49"/>
      <c r="B741" s="49"/>
      <c r="C741" s="49"/>
      <c r="D741" s="49"/>
      <c r="E741" s="49"/>
      <c r="F741" s="49"/>
      <c r="G741" s="49"/>
      <c r="H741" s="49"/>
      <c r="I741" s="49"/>
    </row>
    <row r="742">
      <c r="A742" s="49"/>
      <c r="B742" s="49"/>
      <c r="C742" s="49"/>
      <c r="D742" s="49"/>
      <c r="E742" s="49"/>
      <c r="F742" s="49"/>
      <c r="G742" s="49"/>
      <c r="H742" s="49"/>
      <c r="I742" s="49"/>
    </row>
    <row r="743">
      <c r="A743" s="49"/>
      <c r="B743" s="49"/>
      <c r="C743" s="49"/>
      <c r="D743" s="49"/>
      <c r="E743" s="49"/>
      <c r="F743" s="49"/>
      <c r="G743" s="49"/>
      <c r="H743" s="49"/>
      <c r="I743" s="49"/>
    </row>
    <row r="744">
      <c r="A744" s="49"/>
      <c r="B744" s="49"/>
      <c r="C744" s="49"/>
      <c r="D744" s="49"/>
      <c r="E744" s="49"/>
      <c r="F744" s="49"/>
      <c r="G744" s="49"/>
      <c r="H744" s="49"/>
      <c r="I744" s="49"/>
    </row>
    <row r="745">
      <c r="A745" s="49"/>
      <c r="B745" s="49"/>
      <c r="C745" s="49"/>
      <c r="D745" s="49"/>
      <c r="E745" s="49"/>
      <c r="F745" s="49"/>
      <c r="G745" s="49"/>
      <c r="H745" s="49"/>
      <c r="I745" s="49"/>
    </row>
    <row r="746">
      <c r="A746" s="49"/>
      <c r="B746" s="49"/>
      <c r="C746" s="49"/>
      <c r="D746" s="49"/>
      <c r="E746" s="49"/>
      <c r="F746" s="49"/>
      <c r="G746" s="49"/>
      <c r="H746" s="49"/>
      <c r="I746" s="49"/>
    </row>
    <row r="747">
      <c r="A747" s="49"/>
      <c r="B747" s="49"/>
      <c r="C747" s="49"/>
      <c r="D747" s="49"/>
      <c r="E747" s="49"/>
      <c r="F747" s="49"/>
      <c r="G747" s="49"/>
      <c r="H747" s="49"/>
      <c r="I747" s="49"/>
    </row>
    <row r="748">
      <c r="A748" s="49"/>
      <c r="B748" s="49"/>
      <c r="C748" s="49"/>
      <c r="D748" s="49"/>
      <c r="E748" s="49"/>
      <c r="F748" s="49"/>
      <c r="G748" s="49"/>
      <c r="H748" s="49"/>
      <c r="I748" s="49"/>
    </row>
    <row r="749">
      <c r="A749" s="49"/>
      <c r="B749" s="49"/>
      <c r="C749" s="49"/>
      <c r="D749" s="49"/>
      <c r="E749" s="49"/>
      <c r="F749" s="49"/>
      <c r="G749" s="49"/>
      <c r="H749" s="49"/>
      <c r="I749" s="49"/>
    </row>
    <row r="750">
      <c r="A750" s="49"/>
      <c r="B750" s="49"/>
      <c r="C750" s="49"/>
      <c r="D750" s="49"/>
      <c r="E750" s="49"/>
      <c r="F750" s="49"/>
      <c r="G750" s="49"/>
      <c r="H750" s="49"/>
      <c r="I750" s="49"/>
    </row>
    <row r="751">
      <c r="A751" s="49"/>
      <c r="B751" s="49"/>
      <c r="C751" s="49"/>
      <c r="D751" s="49"/>
      <c r="E751" s="49"/>
      <c r="F751" s="49"/>
      <c r="G751" s="49"/>
      <c r="H751" s="49"/>
      <c r="I751" s="49"/>
    </row>
    <row r="752">
      <c r="A752" s="49"/>
      <c r="B752" s="49"/>
      <c r="C752" s="49"/>
      <c r="D752" s="49"/>
      <c r="E752" s="49"/>
      <c r="F752" s="49"/>
      <c r="G752" s="49"/>
      <c r="H752" s="49"/>
      <c r="I752" s="49"/>
    </row>
    <row r="753">
      <c r="A753" s="49"/>
      <c r="B753" s="49"/>
      <c r="C753" s="49"/>
      <c r="D753" s="49"/>
      <c r="E753" s="49"/>
      <c r="F753" s="49"/>
      <c r="G753" s="49"/>
      <c r="H753" s="49"/>
      <c r="I753" s="49"/>
    </row>
    <row r="754">
      <c r="A754" s="49"/>
      <c r="B754" s="49"/>
      <c r="C754" s="49"/>
      <c r="D754" s="49"/>
      <c r="E754" s="49"/>
      <c r="F754" s="49"/>
      <c r="G754" s="49"/>
      <c r="H754" s="49"/>
      <c r="I754" s="49"/>
    </row>
    <row r="755">
      <c r="A755" s="49"/>
      <c r="B755" s="49"/>
      <c r="C755" s="49"/>
      <c r="D755" s="49"/>
      <c r="E755" s="49"/>
      <c r="F755" s="49"/>
      <c r="G755" s="49"/>
      <c r="H755" s="49"/>
      <c r="I755" s="49"/>
    </row>
    <row r="756">
      <c r="A756" s="49"/>
      <c r="B756" s="49"/>
      <c r="C756" s="49"/>
      <c r="D756" s="49"/>
      <c r="E756" s="49"/>
      <c r="F756" s="49"/>
      <c r="G756" s="49"/>
      <c r="H756" s="49"/>
      <c r="I756" s="49"/>
    </row>
    <row r="757">
      <c r="A757" s="49"/>
      <c r="B757" s="49"/>
      <c r="C757" s="49"/>
      <c r="D757" s="49"/>
      <c r="E757" s="49"/>
      <c r="F757" s="49"/>
      <c r="G757" s="49"/>
      <c r="H757" s="49"/>
      <c r="I757" s="49"/>
    </row>
    <row r="758">
      <c r="A758" s="49"/>
      <c r="B758" s="49"/>
      <c r="C758" s="49"/>
      <c r="D758" s="49"/>
      <c r="E758" s="49"/>
      <c r="F758" s="49"/>
      <c r="G758" s="49"/>
      <c r="H758" s="49"/>
      <c r="I758" s="49"/>
    </row>
    <row r="759">
      <c r="A759" s="49"/>
      <c r="B759" s="49"/>
      <c r="C759" s="49"/>
      <c r="D759" s="49"/>
      <c r="E759" s="49"/>
      <c r="F759" s="49"/>
      <c r="G759" s="49"/>
      <c r="H759" s="49"/>
      <c r="I759" s="49"/>
    </row>
    <row r="760">
      <c r="A760" s="49"/>
      <c r="B760" s="49"/>
      <c r="C760" s="49"/>
      <c r="D760" s="49"/>
      <c r="E760" s="49"/>
      <c r="F760" s="49"/>
      <c r="G760" s="49"/>
      <c r="H760" s="49"/>
      <c r="I760" s="49"/>
    </row>
    <row r="761">
      <c r="A761" s="49"/>
      <c r="B761" s="49"/>
      <c r="C761" s="49"/>
      <c r="D761" s="49"/>
      <c r="E761" s="49"/>
      <c r="F761" s="49"/>
      <c r="G761" s="49"/>
      <c r="H761" s="49"/>
      <c r="I761" s="49"/>
    </row>
    <row r="762">
      <c r="A762" s="49"/>
      <c r="B762" s="49"/>
      <c r="C762" s="49"/>
      <c r="D762" s="49"/>
      <c r="E762" s="49"/>
      <c r="F762" s="49"/>
      <c r="G762" s="49"/>
      <c r="H762" s="49"/>
      <c r="I762" s="49"/>
    </row>
    <row r="763">
      <c r="A763" s="49"/>
      <c r="B763" s="49"/>
      <c r="C763" s="49"/>
      <c r="D763" s="49"/>
      <c r="E763" s="49"/>
      <c r="F763" s="49"/>
      <c r="G763" s="49"/>
      <c r="H763" s="49"/>
      <c r="I763" s="49"/>
    </row>
    <row r="764">
      <c r="A764" s="49"/>
      <c r="B764" s="49"/>
      <c r="C764" s="49"/>
      <c r="D764" s="49"/>
      <c r="E764" s="49"/>
      <c r="F764" s="49"/>
      <c r="G764" s="49"/>
      <c r="H764" s="49"/>
      <c r="I764" s="49"/>
    </row>
    <row r="765">
      <c r="A765" s="49"/>
      <c r="B765" s="49"/>
      <c r="C765" s="49"/>
      <c r="D765" s="49"/>
      <c r="E765" s="49"/>
      <c r="F765" s="49"/>
      <c r="G765" s="49"/>
      <c r="H765" s="49"/>
      <c r="I765" s="49"/>
    </row>
    <row r="766">
      <c r="A766" s="49"/>
      <c r="B766" s="49"/>
      <c r="C766" s="49"/>
      <c r="D766" s="49"/>
      <c r="E766" s="49"/>
      <c r="F766" s="49"/>
      <c r="G766" s="49"/>
      <c r="H766" s="49"/>
      <c r="I766" s="49"/>
    </row>
    <row r="767">
      <c r="A767" s="49"/>
      <c r="B767" s="49"/>
      <c r="C767" s="49"/>
      <c r="D767" s="49"/>
      <c r="E767" s="49"/>
      <c r="F767" s="49"/>
      <c r="G767" s="49"/>
      <c r="H767" s="49"/>
      <c r="I767" s="49"/>
    </row>
    <row r="768">
      <c r="A768" s="49"/>
      <c r="B768" s="49"/>
      <c r="C768" s="49"/>
      <c r="D768" s="49"/>
      <c r="E768" s="49"/>
      <c r="F768" s="49"/>
      <c r="G768" s="49"/>
      <c r="H768" s="49"/>
      <c r="I768" s="49"/>
    </row>
    <row r="769">
      <c r="A769" s="49"/>
      <c r="B769" s="49"/>
      <c r="C769" s="49"/>
      <c r="D769" s="49"/>
      <c r="E769" s="49"/>
      <c r="F769" s="49"/>
      <c r="G769" s="49"/>
      <c r="H769" s="49"/>
      <c r="I769" s="49"/>
    </row>
    <row r="770">
      <c r="A770" s="49"/>
      <c r="B770" s="49"/>
      <c r="C770" s="49"/>
      <c r="D770" s="49"/>
      <c r="E770" s="49"/>
      <c r="F770" s="49"/>
      <c r="G770" s="49"/>
      <c r="H770" s="49"/>
      <c r="I770" s="49"/>
    </row>
    <row r="771">
      <c r="A771" s="49"/>
      <c r="B771" s="49"/>
      <c r="C771" s="49"/>
      <c r="D771" s="49"/>
      <c r="E771" s="49"/>
      <c r="F771" s="49"/>
      <c r="G771" s="49"/>
      <c r="H771" s="49"/>
      <c r="I771" s="49"/>
    </row>
    <row r="772">
      <c r="A772" s="49"/>
      <c r="B772" s="49"/>
      <c r="C772" s="49"/>
      <c r="D772" s="49"/>
      <c r="E772" s="49"/>
      <c r="F772" s="49"/>
      <c r="G772" s="49"/>
      <c r="H772" s="49"/>
      <c r="I772" s="49"/>
    </row>
    <row r="773">
      <c r="A773" s="49"/>
      <c r="B773" s="49"/>
      <c r="C773" s="49"/>
      <c r="D773" s="49"/>
      <c r="E773" s="49"/>
      <c r="F773" s="49"/>
      <c r="G773" s="49"/>
      <c r="H773" s="49"/>
      <c r="I773" s="49"/>
    </row>
    <row r="774">
      <c r="A774" s="49"/>
      <c r="B774" s="49"/>
      <c r="C774" s="49"/>
      <c r="D774" s="49"/>
      <c r="E774" s="49"/>
      <c r="F774" s="49"/>
      <c r="G774" s="49"/>
      <c r="H774" s="49"/>
      <c r="I774" s="49"/>
    </row>
    <row r="775">
      <c r="A775" s="49"/>
      <c r="B775" s="49"/>
      <c r="C775" s="49"/>
      <c r="D775" s="49"/>
      <c r="E775" s="49"/>
      <c r="F775" s="49"/>
      <c r="G775" s="49"/>
      <c r="H775" s="49"/>
      <c r="I775" s="49"/>
    </row>
    <row r="776">
      <c r="A776" s="49"/>
      <c r="B776" s="49"/>
      <c r="C776" s="49"/>
      <c r="D776" s="49"/>
      <c r="E776" s="49"/>
      <c r="F776" s="49"/>
      <c r="G776" s="49"/>
      <c r="H776" s="49"/>
      <c r="I776" s="49"/>
    </row>
    <row r="777">
      <c r="A777" s="49"/>
      <c r="B777" s="49"/>
      <c r="C777" s="49"/>
      <c r="D777" s="49"/>
      <c r="E777" s="49"/>
      <c r="F777" s="49"/>
      <c r="G777" s="49"/>
      <c r="H777" s="49"/>
      <c r="I777" s="49"/>
    </row>
    <row r="778">
      <c r="A778" s="49"/>
      <c r="B778" s="49"/>
      <c r="C778" s="49"/>
      <c r="D778" s="49"/>
      <c r="E778" s="49"/>
      <c r="F778" s="49"/>
      <c r="G778" s="49"/>
      <c r="H778" s="49"/>
      <c r="I778" s="49"/>
    </row>
    <row r="779">
      <c r="A779" s="49"/>
      <c r="B779" s="49"/>
      <c r="C779" s="49"/>
      <c r="D779" s="49"/>
      <c r="E779" s="49"/>
      <c r="F779" s="49"/>
      <c r="G779" s="49"/>
      <c r="H779" s="49"/>
      <c r="I779" s="49"/>
    </row>
    <row r="780">
      <c r="A780" s="49"/>
      <c r="B780" s="49"/>
      <c r="C780" s="49"/>
      <c r="D780" s="49"/>
      <c r="E780" s="49"/>
      <c r="F780" s="49"/>
      <c r="G780" s="49"/>
      <c r="H780" s="49"/>
      <c r="I780" s="49"/>
    </row>
    <row r="781">
      <c r="A781" s="49"/>
      <c r="B781" s="49"/>
      <c r="C781" s="49"/>
      <c r="D781" s="49"/>
      <c r="E781" s="49"/>
      <c r="F781" s="49"/>
      <c r="G781" s="49"/>
      <c r="H781" s="49"/>
      <c r="I781" s="49"/>
    </row>
    <row r="782">
      <c r="A782" s="49"/>
      <c r="B782" s="49"/>
      <c r="C782" s="49"/>
      <c r="D782" s="49"/>
      <c r="E782" s="49"/>
      <c r="F782" s="49"/>
      <c r="G782" s="49"/>
      <c r="H782" s="49"/>
      <c r="I782" s="49"/>
    </row>
    <row r="783">
      <c r="A783" s="49"/>
      <c r="B783" s="49"/>
      <c r="C783" s="49"/>
      <c r="D783" s="49"/>
      <c r="E783" s="49"/>
      <c r="F783" s="49"/>
      <c r="G783" s="49"/>
      <c r="H783" s="49"/>
      <c r="I783" s="49"/>
    </row>
    <row r="784">
      <c r="A784" s="49"/>
      <c r="B784" s="49"/>
      <c r="C784" s="49"/>
      <c r="D784" s="49"/>
      <c r="E784" s="49"/>
      <c r="F784" s="49"/>
      <c r="G784" s="49"/>
      <c r="H784" s="49"/>
      <c r="I784" s="49"/>
    </row>
    <row r="785">
      <c r="A785" s="49"/>
      <c r="B785" s="49"/>
      <c r="C785" s="49"/>
      <c r="D785" s="49"/>
      <c r="E785" s="49"/>
      <c r="F785" s="49"/>
      <c r="G785" s="49"/>
      <c r="H785" s="49"/>
      <c r="I785" s="49"/>
    </row>
    <row r="786">
      <c r="A786" s="49"/>
      <c r="B786" s="49"/>
      <c r="C786" s="49"/>
      <c r="D786" s="49"/>
      <c r="E786" s="49"/>
      <c r="F786" s="49"/>
      <c r="G786" s="49"/>
      <c r="H786" s="49"/>
      <c r="I786" s="49"/>
    </row>
    <row r="787">
      <c r="A787" s="49"/>
      <c r="B787" s="49"/>
      <c r="C787" s="49"/>
      <c r="D787" s="49"/>
      <c r="E787" s="49"/>
      <c r="F787" s="49"/>
      <c r="G787" s="49"/>
      <c r="H787" s="49"/>
      <c r="I787" s="49"/>
    </row>
    <row r="788">
      <c r="A788" s="49"/>
      <c r="B788" s="49"/>
      <c r="C788" s="49"/>
      <c r="D788" s="49"/>
      <c r="E788" s="49"/>
      <c r="F788" s="49"/>
      <c r="G788" s="49"/>
      <c r="H788" s="49"/>
      <c r="I788" s="49"/>
    </row>
    <row r="789">
      <c r="A789" s="49"/>
      <c r="B789" s="49"/>
      <c r="C789" s="49"/>
      <c r="D789" s="49"/>
      <c r="E789" s="49"/>
      <c r="F789" s="49"/>
      <c r="G789" s="49"/>
      <c r="H789" s="49"/>
      <c r="I789" s="49"/>
    </row>
    <row r="790">
      <c r="A790" s="49"/>
      <c r="B790" s="49"/>
      <c r="C790" s="49"/>
      <c r="D790" s="49"/>
      <c r="E790" s="49"/>
      <c r="F790" s="49"/>
      <c r="G790" s="49"/>
      <c r="H790" s="49"/>
      <c r="I790" s="49"/>
    </row>
    <row r="791">
      <c r="A791" s="49"/>
      <c r="B791" s="49"/>
      <c r="C791" s="49"/>
      <c r="D791" s="49"/>
      <c r="E791" s="49"/>
      <c r="F791" s="49"/>
      <c r="G791" s="49"/>
      <c r="H791" s="49"/>
      <c r="I791" s="49"/>
    </row>
    <row r="792">
      <c r="A792" s="49"/>
      <c r="B792" s="49"/>
      <c r="C792" s="49"/>
      <c r="D792" s="49"/>
      <c r="E792" s="49"/>
      <c r="F792" s="49"/>
      <c r="G792" s="49"/>
      <c r="H792" s="49"/>
      <c r="I792" s="49"/>
    </row>
    <row r="793">
      <c r="A793" s="49"/>
      <c r="B793" s="49"/>
      <c r="C793" s="49"/>
      <c r="D793" s="49"/>
      <c r="E793" s="49"/>
      <c r="F793" s="49"/>
      <c r="G793" s="49"/>
      <c r="H793" s="49"/>
      <c r="I793" s="49"/>
    </row>
    <row r="794">
      <c r="A794" s="49"/>
      <c r="B794" s="49"/>
      <c r="C794" s="49"/>
      <c r="D794" s="49"/>
      <c r="E794" s="49"/>
      <c r="F794" s="49"/>
      <c r="G794" s="49"/>
      <c r="H794" s="49"/>
      <c r="I794" s="49"/>
    </row>
    <row r="795">
      <c r="A795" s="49"/>
      <c r="B795" s="49"/>
      <c r="C795" s="49"/>
      <c r="D795" s="49"/>
      <c r="E795" s="49"/>
      <c r="F795" s="49"/>
      <c r="G795" s="49"/>
      <c r="H795" s="49"/>
      <c r="I795" s="49"/>
    </row>
    <row r="796">
      <c r="A796" s="49"/>
      <c r="B796" s="49"/>
      <c r="C796" s="49"/>
      <c r="D796" s="49"/>
      <c r="E796" s="49"/>
      <c r="F796" s="49"/>
      <c r="G796" s="49"/>
      <c r="H796" s="49"/>
      <c r="I796" s="49"/>
    </row>
    <row r="797">
      <c r="A797" s="49"/>
      <c r="B797" s="49"/>
      <c r="C797" s="49"/>
      <c r="D797" s="49"/>
      <c r="E797" s="49"/>
      <c r="F797" s="49"/>
      <c r="G797" s="49"/>
      <c r="H797" s="49"/>
      <c r="I797" s="49"/>
    </row>
    <row r="798">
      <c r="A798" s="49"/>
      <c r="B798" s="49"/>
      <c r="C798" s="49"/>
      <c r="D798" s="49"/>
      <c r="E798" s="49"/>
      <c r="F798" s="49"/>
      <c r="G798" s="49"/>
      <c r="H798" s="49"/>
      <c r="I798" s="49"/>
    </row>
    <row r="799">
      <c r="A799" s="49"/>
      <c r="B799" s="49"/>
      <c r="C799" s="49"/>
      <c r="D799" s="49"/>
      <c r="E799" s="49"/>
      <c r="F799" s="49"/>
      <c r="G799" s="49"/>
      <c r="H799" s="49"/>
      <c r="I799" s="49"/>
    </row>
    <row r="800">
      <c r="A800" s="49"/>
      <c r="B800" s="49"/>
      <c r="C800" s="49"/>
      <c r="D800" s="49"/>
      <c r="E800" s="49"/>
      <c r="F800" s="49"/>
      <c r="G800" s="49"/>
      <c r="H800" s="49"/>
      <c r="I800" s="49"/>
    </row>
    <row r="801">
      <c r="A801" s="49"/>
      <c r="B801" s="49"/>
      <c r="C801" s="49"/>
      <c r="D801" s="49"/>
      <c r="E801" s="49"/>
      <c r="F801" s="49"/>
      <c r="G801" s="49"/>
      <c r="H801" s="49"/>
      <c r="I801" s="49"/>
    </row>
    <row r="802">
      <c r="A802" s="49"/>
      <c r="B802" s="49"/>
      <c r="C802" s="49"/>
      <c r="D802" s="49"/>
      <c r="E802" s="49"/>
      <c r="F802" s="49"/>
      <c r="G802" s="49"/>
      <c r="H802" s="49"/>
      <c r="I802" s="49"/>
    </row>
    <row r="803">
      <c r="A803" s="49"/>
      <c r="B803" s="49"/>
      <c r="C803" s="49"/>
      <c r="D803" s="49"/>
      <c r="E803" s="49"/>
      <c r="F803" s="49"/>
      <c r="G803" s="49"/>
      <c r="H803" s="49"/>
      <c r="I803" s="49"/>
    </row>
    <row r="804">
      <c r="A804" s="49"/>
      <c r="B804" s="49"/>
      <c r="C804" s="49"/>
      <c r="D804" s="49"/>
      <c r="E804" s="49"/>
      <c r="F804" s="49"/>
      <c r="G804" s="49"/>
      <c r="H804" s="49"/>
      <c r="I804" s="49"/>
    </row>
    <row r="805">
      <c r="A805" s="49"/>
      <c r="B805" s="49"/>
      <c r="C805" s="49"/>
      <c r="D805" s="49"/>
      <c r="E805" s="49"/>
      <c r="F805" s="49"/>
      <c r="G805" s="49"/>
      <c r="H805" s="49"/>
      <c r="I805" s="49"/>
    </row>
    <row r="806">
      <c r="A806" s="49"/>
      <c r="B806" s="49"/>
      <c r="C806" s="49"/>
      <c r="D806" s="49"/>
      <c r="E806" s="49"/>
      <c r="F806" s="49"/>
      <c r="G806" s="49"/>
      <c r="H806" s="49"/>
      <c r="I806" s="49"/>
    </row>
    <row r="807">
      <c r="A807" s="49"/>
      <c r="B807" s="49"/>
      <c r="C807" s="49"/>
      <c r="D807" s="49"/>
      <c r="E807" s="49"/>
      <c r="F807" s="49"/>
      <c r="G807" s="49"/>
      <c r="H807" s="49"/>
      <c r="I807" s="49"/>
    </row>
    <row r="808">
      <c r="A808" s="49"/>
      <c r="B808" s="49"/>
      <c r="C808" s="49"/>
      <c r="D808" s="49"/>
      <c r="E808" s="49"/>
      <c r="F808" s="49"/>
      <c r="G808" s="49"/>
      <c r="H808" s="49"/>
      <c r="I808" s="49"/>
    </row>
    <row r="809">
      <c r="A809" s="49"/>
      <c r="B809" s="49"/>
      <c r="C809" s="49"/>
      <c r="D809" s="49"/>
      <c r="E809" s="49"/>
      <c r="F809" s="49"/>
      <c r="G809" s="49"/>
      <c r="H809" s="49"/>
      <c r="I809" s="49"/>
    </row>
    <row r="810">
      <c r="A810" s="49"/>
      <c r="B810" s="49"/>
      <c r="C810" s="49"/>
      <c r="D810" s="49"/>
      <c r="E810" s="49"/>
      <c r="F810" s="49"/>
      <c r="G810" s="49"/>
      <c r="H810" s="49"/>
      <c r="I810" s="49"/>
    </row>
    <row r="811">
      <c r="A811" s="49"/>
      <c r="B811" s="49"/>
      <c r="C811" s="49"/>
      <c r="D811" s="49"/>
      <c r="E811" s="49"/>
      <c r="F811" s="49"/>
      <c r="G811" s="49"/>
      <c r="H811" s="49"/>
      <c r="I811" s="49"/>
    </row>
    <row r="812">
      <c r="A812" s="49"/>
      <c r="B812" s="49"/>
      <c r="C812" s="49"/>
      <c r="D812" s="49"/>
      <c r="E812" s="49"/>
      <c r="F812" s="49"/>
      <c r="G812" s="49"/>
      <c r="H812" s="49"/>
      <c r="I812" s="49"/>
    </row>
    <row r="813">
      <c r="A813" s="49"/>
      <c r="B813" s="49"/>
      <c r="C813" s="49"/>
      <c r="D813" s="49"/>
      <c r="E813" s="49"/>
      <c r="F813" s="49"/>
      <c r="G813" s="49"/>
      <c r="H813" s="49"/>
      <c r="I813" s="49"/>
    </row>
    <row r="814">
      <c r="A814" s="49"/>
      <c r="B814" s="49"/>
      <c r="C814" s="49"/>
      <c r="D814" s="49"/>
      <c r="E814" s="49"/>
      <c r="F814" s="49"/>
      <c r="G814" s="49"/>
      <c r="H814" s="49"/>
      <c r="I814" s="49"/>
    </row>
    <row r="815">
      <c r="A815" s="49"/>
      <c r="B815" s="49"/>
      <c r="C815" s="49"/>
      <c r="D815" s="49"/>
      <c r="E815" s="49"/>
      <c r="F815" s="49"/>
      <c r="G815" s="49"/>
      <c r="H815" s="49"/>
      <c r="I815" s="49"/>
    </row>
    <row r="816">
      <c r="A816" s="49"/>
      <c r="B816" s="49"/>
      <c r="C816" s="49"/>
      <c r="D816" s="49"/>
      <c r="E816" s="49"/>
      <c r="F816" s="49"/>
      <c r="G816" s="49"/>
      <c r="H816" s="49"/>
      <c r="I816" s="49"/>
    </row>
    <row r="817">
      <c r="A817" s="49"/>
      <c r="B817" s="49"/>
      <c r="C817" s="49"/>
      <c r="D817" s="49"/>
      <c r="E817" s="49"/>
      <c r="F817" s="49"/>
      <c r="G817" s="49"/>
      <c r="H817" s="49"/>
      <c r="I817" s="49"/>
    </row>
    <row r="818">
      <c r="A818" s="49"/>
      <c r="B818" s="49"/>
      <c r="C818" s="49"/>
      <c r="D818" s="49"/>
      <c r="E818" s="49"/>
      <c r="F818" s="49"/>
      <c r="G818" s="49"/>
      <c r="H818" s="49"/>
      <c r="I818" s="49"/>
    </row>
    <row r="819">
      <c r="A819" s="49"/>
      <c r="B819" s="49"/>
      <c r="C819" s="49"/>
      <c r="D819" s="49"/>
      <c r="E819" s="49"/>
      <c r="F819" s="49"/>
      <c r="G819" s="49"/>
      <c r="H819" s="49"/>
      <c r="I819" s="49"/>
    </row>
    <row r="820">
      <c r="A820" s="49"/>
      <c r="B820" s="49"/>
      <c r="C820" s="49"/>
      <c r="D820" s="49"/>
      <c r="E820" s="49"/>
      <c r="F820" s="49"/>
      <c r="G820" s="49"/>
      <c r="H820" s="49"/>
      <c r="I820" s="49"/>
    </row>
    <row r="821">
      <c r="A821" s="49"/>
      <c r="B821" s="49"/>
      <c r="C821" s="49"/>
      <c r="D821" s="49"/>
      <c r="E821" s="49"/>
      <c r="F821" s="49"/>
      <c r="G821" s="49"/>
      <c r="H821" s="49"/>
      <c r="I821" s="49"/>
    </row>
    <row r="822">
      <c r="A822" s="49"/>
      <c r="B822" s="49"/>
      <c r="C822" s="49"/>
      <c r="D822" s="49"/>
      <c r="E822" s="49"/>
      <c r="F822" s="49"/>
      <c r="G822" s="49"/>
      <c r="H822" s="49"/>
      <c r="I822" s="49"/>
    </row>
    <row r="823">
      <c r="A823" s="49"/>
      <c r="B823" s="49"/>
      <c r="C823" s="49"/>
      <c r="D823" s="49"/>
      <c r="E823" s="49"/>
      <c r="F823" s="49"/>
      <c r="G823" s="49"/>
      <c r="H823" s="49"/>
      <c r="I823" s="49"/>
    </row>
    <row r="824">
      <c r="A824" s="49"/>
      <c r="B824" s="49"/>
      <c r="C824" s="49"/>
      <c r="D824" s="49"/>
      <c r="E824" s="49"/>
      <c r="F824" s="49"/>
      <c r="G824" s="49"/>
      <c r="H824" s="49"/>
      <c r="I824" s="49"/>
    </row>
    <row r="825">
      <c r="A825" s="49"/>
      <c r="B825" s="49"/>
      <c r="C825" s="49"/>
      <c r="D825" s="49"/>
      <c r="E825" s="49"/>
      <c r="F825" s="49"/>
      <c r="G825" s="49"/>
      <c r="H825" s="49"/>
      <c r="I825" s="49"/>
    </row>
    <row r="826">
      <c r="A826" s="49"/>
      <c r="B826" s="49"/>
      <c r="C826" s="49"/>
      <c r="D826" s="49"/>
      <c r="E826" s="49"/>
      <c r="F826" s="49"/>
      <c r="G826" s="49"/>
      <c r="H826" s="49"/>
      <c r="I826" s="49"/>
    </row>
    <row r="827">
      <c r="A827" s="49"/>
      <c r="B827" s="49"/>
      <c r="C827" s="49"/>
      <c r="D827" s="49"/>
      <c r="E827" s="49"/>
      <c r="F827" s="49"/>
      <c r="G827" s="49"/>
      <c r="H827" s="49"/>
      <c r="I827" s="49"/>
    </row>
    <row r="828">
      <c r="A828" s="49"/>
      <c r="B828" s="49"/>
      <c r="C828" s="49"/>
      <c r="D828" s="49"/>
      <c r="E828" s="49"/>
      <c r="F828" s="49"/>
      <c r="G828" s="49"/>
      <c r="H828" s="49"/>
      <c r="I828" s="49"/>
    </row>
    <row r="829">
      <c r="A829" s="49"/>
      <c r="B829" s="49"/>
      <c r="C829" s="49"/>
      <c r="D829" s="49"/>
      <c r="E829" s="49"/>
      <c r="F829" s="49"/>
      <c r="G829" s="49"/>
      <c r="H829" s="49"/>
      <c r="I829" s="49"/>
    </row>
    <row r="830">
      <c r="A830" s="49"/>
      <c r="B830" s="49"/>
      <c r="C830" s="49"/>
      <c r="D830" s="49"/>
      <c r="E830" s="49"/>
      <c r="F830" s="49"/>
      <c r="G830" s="49"/>
      <c r="H830" s="49"/>
      <c r="I830" s="49"/>
    </row>
    <row r="831">
      <c r="A831" s="49"/>
      <c r="B831" s="49"/>
      <c r="C831" s="49"/>
      <c r="D831" s="49"/>
      <c r="E831" s="49"/>
      <c r="F831" s="49"/>
      <c r="G831" s="49"/>
      <c r="H831" s="49"/>
      <c r="I831" s="49"/>
    </row>
    <row r="832">
      <c r="A832" s="49"/>
      <c r="B832" s="49"/>
      <c r="C832" s="49"/>
      <c r="D832" s="49"/>
      <c r="E832" s="49"/>
      <c r="F832" s="49"/>
      <c r="G832" s="49"/>
      <c r="H832" s="49"/>
      <c r="I832" s="49"/>
    </row>
    <row r="833">
      <c r="A833" s="49"/>
      <c r="B833" s="49"/>
      <c r="C833" s="49"/>
      <c r="D833" s="49"/>
      <c r="E833" s="49"/>
      <c r="F833" s="49"/>
      <c r="G833" s="49"/>
      <c r="H833" s="49"/>
      <c r="I833" s="49"/>
    </row>
    <row r="834">
      <c r="A834" s="49"/>
      <c r="B834" s="49"/>
      <c r="C834" s="49"/>
      <c r="D834" s="49"/>
      <c r="E834" s="49"/>
      <c r="F834" s="49"/>
      <c r="G834" s="49"/>
      <c r="H834" s="49"/>
      <c r="I834" s="49"/>
    </row>
    <row r="835">
      <c r="A835" s="49"/>
      <c r="B835" s="49"/>
      <c r="C835" s="49"/>
      <c r="D835" s="49"/>
      <c r="E835" s="49"/>
      <c r="F835" s="49"/>
      <c r="G835" s="49"/>
      <c r="H835" s="49"/>
      <c r="I835" s="49"/>
    </row>
    <row r="836">
      <c r="A836" s="49"/>
      <c r="B836" s="49"/>
      <c r="C836" s="49"/>
      <c r="D836" s="49"/>
      <c r="E836" s="49"/>
      <c r="F836" s="49"/>
      <c r="G836" s="49"/>
      <c r="H836" s="49"/>
      <c r="I836" s="49"/>
    </row>
    <row r="837">
      <c r="A837" s="49"/>
      <c r="B837" s="49"/>
      <c r="C837" s="49"/>
      <c r="D837" s="49"/>
      <c r="E837" s="49"/>
      <c r="F837" s="49"/>
      <c r="G837" s="49"/>
      <c r="H837" s="49"/>
      <c r="I837" s="49"/>
    </row>
    <row r="838">
      <c r="A838" s="49"/>
      <c r="B838" s="49"/>
      <c r="C838" s="49"/>
      <c r="D838" s="49"/>
      <c r="E838" s="49"/>
      <c r="F838" s="49"/>
      <c r="G838" s="49"/>
      <c r="H838" s="49"/>
      <c r="I838" s="49"/>
    </row>
    <row r="839">
      <c r="A839" s="49"/>
      <c r="B839" s="49"/>
      <c r="C839" s="49"/>
      <c r="D839" s="49"/>
      <c r="E839" s="49"/>
      <c r="F839" s="49"/>
      <c r="G839" s="49"/>
      <c r="H839" s="49"/>
      <c r="I839" s="49"/>
    </row>
    <row r="840">
      <c r="A840" s="49"/>
      <c r="B840" s="49"/>
      <c r="C840" s="49"/>
      <c r="D840" s="49"/>
      <c r="E840" s="49"/>
      <c r="F840" s="49"/>
      <c r="G840" s="49"/>
      <c r="H840" s="49"/>
      <c r="I840" s="49"/>
    </row>
    <row r="841">
      <c r="A841" s="49"/>
      <c r="B841" s="49"/>
      <c r="C841" s="49"/>
      <c r="D841" s="49"/>
      <c r="E841" s="49"/>
      <c r="F841" s="49"/>
      <c r="G841" s="49"/>
      <c r="H841" s="49"/>
      <c r="I841" s="49"/>
    </row>
    <row r="842">
      <c r="A842" s="49"/>
      <c r="B842" s="49"/>
      <c r="C842" s="49"/>
      <c r="D842" s="49"/>
      <c r="E842" s="49"/>
      <c r="F842" s="49"/>
      <c r="G842" s="49"/>
      <c r="H842" s="49"/>
      <c r="I842" s="49"/>
    </row>
    <row r="843">
      <c r="A843" s="49"/>
      <c r="B843" s="49"/>
      <c r="C843" s="49"/>
      <c r="D843" s="49"/>
      <c r="E843" s="49"/>
      <c r="F843" s="49"/>
      <c r="G843" s="49"/>
      <c r="H843" s="49"/>
      <c r="I843" s="49"/>
    </row>
    <row r="844">
      <c r="A844" s="49"/>
      <c r="B844" s="49"/>
      <c r="C844" s="49"/>
      <c r="D844" s="49"/>
      <c r="E844" s="49"/>
      <c r="F844" s="49"/>
      <c r="G844" s="49"/>
      <c r="H844" s="49"/>
      <c r="I844" s="49"/>
    </row>
    <row r="845">
      <c r="A845" s="49"/>
      <c r="B845" s="49"/>
      <c r="C845" s="49"/>
      <c r="D845" s="49"/>
      <c r="E845" s="49"/>
      <c r="F845" s="49"/>
      <c r="G845" s="49"/>
      <c r="H845" s="49"/>
      <c r="I845" s="49"/>
    </row>
    <row r="846">
      <c r="A846" s="49"/>
      <c r="B846" s="49"/>
      <c r="C846" s="49"/>
      <c r="D846" s="49"/>
      <c r="E846" s="49"/>
      <c r="F846" s="49"/>
      <c r="G846" s="49"/>
      <c r="H846" s="49"/>
      <c r="I846" s="49"/>
    </row>
    <row r="847">
      <c r="A847" s="49"/>
      <c r="B847" s="49"/>
      <c r="C847" s="49"/>
      <c r="D847" s="49"/>
      <c r="E847" s="49"/>
      <c r="F847" s="49"/>
      <c r="G847" s="49"/>
      <c r="H847" s="49"/>
      <c r="I847" s="49"/>
    </row>
    <row r="848">
      <c r="A848" s="49"/>
      <c r="B848" s="49"/>
      <c r="C848" s="49"/>
      <c r="D848" s="49"/>
      <c r="E848" s="49"/>
      <c r="F848" s="49"/>
      <c r="G848" s="49"/>
      <c r="H848" s="49"/>
      <c r="I848" s="49"/>
    </row>
    <row r="849">
      <c r="A849" s="49"/>
      <c r="B849" s="49"/>
      <c r="C849" s="49"/>
      <c r="D849" s="49"/>
      <c r="E849" s="49"/>
      <c r="F849" s="49"/>
      <c r="G849" s="49"/>
      <c r="H849" s="49"/>
      <c r="I849" s="49"/>
    </row>
    <row r="850">
      <c r="A850" s="49"/>
      <c r="B850" s="49"/>
      <c r="C850" s="49"/>
      <c r="D850" s="49"/>
      <c r="E850" s="49"/>
      <c r="F850" s="49"/>
      <c r="G850" s="49"/>
      <c r="H850" s="49"/>
      <c r="I850" s="49"/>
    </row>
    <row r="851">
      <c r="A851" s="49"/>
      <c r="B851" s="49"/>
      <c r="C851" s="49"/>
      <c r="D851" s="49"/>
      <c r="E851" s="49"/>
      <c r="F851" s="49"/>
      <c r="G851" s="49"/>
      <c r="H851" s="49"/>
      <c r="I851" s="49"/>
    </row>
    <row r="852">
      <c r="A852" s="49"/>
      <c r="B852" s="49"/>
      <c r="C852" s="49"/>
      <c r="D852" s="49"/>
      <c r="E852" s="49"/>
      <c r="F852" s="49"/>
      <c r="G852" s="49"/>
      <c r="H852" s="49"/>
      <c r="I852" s="49"/>
    </row>
    <row r="853">
      <c r="A853" s="49"/>
      <c r="B853" s="49"/>
      <c r="C853" s="49"/>
      <c r="D853" s="49"/>
      <c r="E853" s="49"/>
      <c r="F853" s="49"/>
      <c r="G853" s="49"/>
      <c r="H853" s="49"/>
      <c r="I853" s="49"/>
    </row>
    <row r="854">
      <c r="A854" s="49"/>
      <c r="B854" s="49"/>
      <c r="C854" s="49"/>
      <c r="D854" s="49"/>
      <c r="E854" s="49"/>
      <c r="F854" s="49"/>
      <c r="G854" s="49"/>
      <c r="H854" s="49"/>
      <c r="I854" s="49"/>
    </row>
    <row r="855">
      <c r="A855" s="49"/>
      <c r="B855" s="49"/>
      <c r="C855" s="49"/>
      <c r="D855" s="49"/>
      <c r="E855" s="49"/>
      <c r="F855" s="49"/>
      <c r="G855" s="49"/>
      <c r="H855" s="49"/>
      <c r="I855" s="49"/>
    </row>
    <row r="856">
      <c r="A856" s="49"/>
      <c r="B856" s="49"/>
      <c r="C856" s="49"/>
      <c r="D856" s="49"/>
      <c r="E856" s="49"/>
      <c r="F856" s="49"/>
      <c r="G856" s="49"/>
      <c r="H856" s="49"/>
      <c r="I856" s="49"/>
    </row>
    <row r="857">
      <c r="A857" s="49"/>
      <c r="B857" s="49"/>
      <c r="C857" s="49"/>
      <c r="D857" s="49"/>
      <c r="E857" s="49"/>
      <c r="F857" s="49"/>
      <c r="G857" s="49"/>
      <c r="H857" s="49"/>
      <c r="I857" s="49"/>
    </row>
    <row r="858">
      <c r="A858" s="49"/>
      <c r="B858" s="49"/>
      <c r="C858" s="49"/>
      <c r="D858" s="49"/>
      <c r="E858" s="49"/>
      <c r="F858" s="49"/>
      <c r="G858" s="49"/>
      <c r="H858" s="49"/>
      <c r="I858" s="49"/>
    </row>
    <row r="859">
      <c r="A859" s="49"/>
      <c r="B859" s="49"/>
      <c r="C859" s="49"/>
      <c r="D859" s="49"/>
      <c r="E859" s="49"/>
      <c r="F859" s="49"/>
      <c r="G859" s="49"/>
      <c r="H859" s="49"/>
      <c r="I859" s="49"/>
    </row>
    <row r="860">
      <c r="A860" s="49"/>
      <c r="B860" s="49"/>
      <c r="C860" s="49"/>
      <c r="D860" s="49"/>
      <c r="E860" s="49"/>
      <c r="F860" s="49"/>
      <c r="G860" s="49"/>
      <c r="H860" s="49"/>
      <c r="I860" s="49"/>
    </row>
    <row r="861">
      <c r="A861" s="49"/>
      <c r="B861" s="49"/>
      <c r="C861" s="49"/>
      <c r="D861" s="49"/>
      <c r="E861" s="49"/>
      <c r="F861" s="49"/>
      <c r="G861" s="49"/>
      <c r="H861" s="49"/>
      <c r="I861" s="49"/>
    </row>
    <row r="862">
      <c r="A862" s="49"/>
      <c r="B862" s="49"/>
      <c r="C862" s="49"/>
      <c r="D862" s="49"/>
      <c r="E862" s="49"/>
      <c r="F862" s="49"/>
      <c r="G862" s="49"/>
      <c r="H862" s="49"/>
      <c r="I862" s="49"/>
    </row>
    <row r="863">
      <c r="A863" s="49"/>
      <c r="B863" s="49"/>
      <c r="C863" s="49"/>
      <c r="D863" s="49"/>
      <c r="E863" s="49"/>
      <c r="F863" s="49"/>
      <c r="G863" s="49"/>
      <c r="H863" s="49"/>
      <c r="I863" s="49"/>
    </row>
    <row r="864">
      <c r="A864" s="49"/>
      <c r="B864" s="49"/>
      <c r="C864" s="49"/>
      <c r="D864" s="49"/>
      <c r="E864" s="49"/>
      <c r="F864" s="49"/>
      <c r="G864" s="49"/>
      <c r="H864" s="49"/>
      <c r="I864" s="49"/>
    </row>
    <row r="865">
      <c r="A865" s="49"/>
      <c r="B865" s="49"/>
      <c r="C865" s="49"/>
      <c r="D865" s="49"/>
      <c r="E865" s="49"/>
      <c r="F865" s="49"/>
      <c r="G865" s="49"/>
      <c r="H865" s="49"/>
      <c r="I865" s="49"/>
    </row>
    <row r="866">
      <c r="A866" s="49"/>
      <c r="B866" s="49"/>
      <c r="C866" s="49"/>
      <c r="D866" s="49"/>
      <c r="E866" s="49"/>
      <c r="F866" s="49"/>
      <c r="G866" s="49"/>
      <c r="H866" s="49"/>
      <c r="I866" s="49"/>
    </row>
    <row r="867">
      <c r="A867" s="49"/>
      <c r="B867" s="49"/>
      <c r="C867" s="49"/>
      <c r="D867" s="49"/>
      <c r="E867" s="49"/>
      <c r="F867" s="49"/>
      <c r="G867" s="49"/>
      <c r="H867" s="49"/>
      <c r="I867" s="49"/>
    </row>
    <row r="868">
      <c r="A868" s="49"/>
      <c r="B868" s="49"/>
      <c r="C868" s="49"/>
      <c r="D868" s="49"/>
      <c r="E868" s="49"/>
      <c r="F868" s="49"/>
      <c r="G868" s="49"/>
      <c r="H868" s="49"/>
      <c r="I868" s="49"/>
    </row>
    <row r="869">
      <c r="A869" s="49"/>
      <c r="B869" s="49"/>
      <c r="C869" s="49"/>
      <c r="D869" s="49"/>
      <c r="E869" s="49"/>
      <c r="F869" s="49"/>
      <c r="G869" s="49"/>
      <c r="H869" s="49"/>
      <c r="I869" s="49"/>
    </row>
    <row r="870">
      <c r="A870" s="49"/>
      <c r="B870" s="49"/>
      <c r="C870" s="49"/>
      <c r="D870" s="49"/>
      <c r="E870" s="49"/>
      <c r="F870" s="49"/>
      <c r="G870" s="49"/>
      <c r="H870" s="49"/>
      <c r="I870" s="49"/>
    </row>
    <row r="871">
      <c r="A871" s="49"/>
      <c r="B871" s="49"/>
      <c r="C871" s="49"/>
      <c r="D871" s="49"/>
      <c r="E871" s="49"/>
      <c r="F871" s="49"/>
      <c r="G871" s="49"/>
      <c r="H871" s="49"/>
      <c r="I871" s="49"/>
    </row>
    <row r="872">
      <c r="A872" s="49"/>
      <c r="B872" s="49"/>
      <c r="C872" s="49"/>
      <c r="D872" s="49"/>
      <c r="E872" s="49"/>
      <c r="F872" s="49"/>
      <c r="G872" s="49"/>
      <c r="H872" s="49"/>
      <c r="I872" s="49"/>
    </row>
    <row r="873">
      <c r="A873" s="49"/>
      <c r="B873" s="49"/>
      <c r="C873" s="49"/>
      <c r="D873" s="49"/>
      <c r="E873" s="49"/>
      <c r="F873" s="49"/>
      <c r="G873" s="49"/>
      <c r="H873" s="49"/>
      <c r="I873" s="49"/>
    </row>
    <row r="874">
      <c r="A874" s="49"/>
      <c r="B874" s="49"/>
      <c r="C874" s="49"/>
      <c r="D874" s="49"/>
      <c r="E874" s="49"/>
      <c r="F874" s="49"/>
      <c r="G874" s="49"/>
      <c r="H874" s="49"/>
      <c r="I874" s="49"/>
    </row>
    <row r="875">
      <c r="A875" s="49"/>
      <c r="B875" s="49"/>
      <c r="C875" s="49"/>
      <c r="D875" s="49"/>
      <c r="E875" s="49"/>
      <c r="F875" s="49"/>
      <c r="G875" s="49"/>
      <c r="H875" s="49"/>
      <c r="I875" s="49"/>
    </row>
    <row r="876">
      <c r="A876" s="49"/>
      <c r="B876" s="49"/>
      <c r="C876" s="49"/>
      <c r="D876" s="49"/>
      <c r="E876" s="49"/>
      <c r="F876" s="49"/>
      <c r="G876" s="49"/>
      <c r="H876" s="49"/>
      <c r="I876" s="49"/>
    </row>
    <row r="877">
      <c r="A877" s="49"/>
      <c r="B877" s="49"/>
      <c r="C877" s="49"/>
      <c r="D877" s="49"/>
      <c r="E877" s="49"/>
      <c r="F877" s="49"/>
      <c r="G877" s="49"/>
      <c r="H877" s="49"/>
      <c r="I877" s="49"/>
    </row>
    <row r="878">
      <c r="A878" s="49"/>
      <c r="B878" s="49"/>
      <c r="C878" s="49"/>
      <c r="D878" s="49"/>
      <c r="E878" s="49"/>
      <c r="F878" s="49"/>
      <c r="G878" s="49"/>
      <c r="H878" s="49"/>
      <c r="I878" s="49"/>
    </row>
    <row r="879">
      <c r="A879" s="49"/>
      <c r="B879" s="49"/>
      <c r="C879" s="49"/>
      <c r="D879" s="49"/>
      <c r="E879" s="49"/>
      <c r="F879" s="49"/>
      <c r="G879" s="49"/>
      <c r="H879" s="49"/>
      <c r="I879" s="49"/>
    </row>
    <row r="880">
      <c r="A880" s="49"/>
      <c r="B880" s="49"/>
      <c r="C880" s="49"/>
      <c r="D880" s="49"/>
      <c r="E880" s="49"/>
      <c r="F880" s="49"/>
      <c r="G880" s="49"/>
      <c r="H880" s="49"/>
      <c r="I880" s="49"/>
    </row>
    <row r="881">
      <c r="A881" s="49"/>
      <c r="B881" s="49"/>
      <c r="C881" s="49"/>
      <c r="D881" s="49"/>
      <c r="E881" s="49"/>
      <c r="F881" s="49"/>
      <c r="G881" s="49"/>
      <c r="H881" s="49"/>
      <c r="I881" s="49"/>
    </row>
    <row r="882">
      <c r="A882" s="49"/>
      <c r="B882" s="49"/>
      <c r="C882" s="49"/>
      <c r="D882" s="49"/>
      <c r="E882" s="49"/>
      <c r="F882" s="49"/>
      <c r="G882" s="49"/>
      <c r="H882" s="49"/>
      <c r="I882" s="49"/>
    </row>
    <row r="883">
      <c r="A883" s="49"/>
      <c r="B883" s="49"/>
      <c r="C883" s="49"/>
      <c r="D883" s="49"/>
      <c r="E883" s="49"/>
      <c r="F883" s="49"/>
      <c r="G883" s="49"/>
      <c r="H883" s="49"/>
      <c r="I883" s="49"/>
    </row>
    <row r="884">
      <c r="A884" s="49"/>
      <c r="B884" s="49"/>
      <c r="C884" s="49"/>
      <c r="D884" s="49"/>
      <c r="E884" s="49"/>
      <c r="F884" s="49"/>
      <c r="G884" s="49"/>
      <c r="H884" s="49"/>
      <c r="I884" s="49"/>
    </row>
    <row r="885">
      <c r="A885" s="49"/>
      <c r="B885" s="49"/>
      <c r="C885" s="49"/>
      <c r="D885" s="49"/>
      <c r="E885" s="49"/>
      <c r="F885" s="49"/>
      <c r="G885" s="49"/>
      <c r="H885" s="49"/>
      <c r="I885" s="49"/>
    </row>
    <row r="886">
      <c r="A886" s="49"/>
      <c r="B886" s="49"/>
      <c r="C886" s="49"/>
      <c r="D886" s="49"/>
      <c r="E886" s="49"/>
      <c r="F886" s="49"/>
      <c r="G886" s="49"/>
      <c r="H886" s="49"/>
      <c r="I886" s="49"/>
    </row>
    <row r="887">
      <c r="A887" s="49"/>
      <c r="B887" s="49"/>
      <c r="C887" s="49"/>
      <c r="D887" s="49"/>
      <c r="E887" s="49"/>
      <c r="F887" s="49"/>
      <c r="G887" s="49"/>
      <c r="H887" s="49"/>
      <c r="I887" s="49"/>
    </row>
    <row r="888">
      <c r="A888" s="49"/>
      <c r="B888" s="49"/>
      <c r="C888" s="49"/>
      <c r="D888" s="49"/>
      <c r="E888" s="49"/>
      <c r="F888" s="49"/>
      <c r="G888" s="49"/>
      <c r="H888" s="49"/>
      <c r="I888" s="49"/>
    </row>
    <row r="889">
      <c r="A889" s="49"/>
      <c r="B889" s="49"/>
      <c r="C889" s="49"/>
      <c r="D889" s="49"/>
      <c r="E889" s="49"/>
      <c r="F889" s="49"/>
      <c r="G889" s="49"/>
      <c r="H889" s="49"/>
      <c r="I889" s="49"/>
    </row>
    <row r="890">
      <c r="A890" s="49"/>
      <c r="B890" s="49"/>
      <c r="C890" s="49"/>
      <c r="D890" s="49"/>
      <c r="E890" s="49"/>
      <c r="F890" s="49"/>
      <c r="G890" s="49"/>
      <c r="H890" s="49"/>
      <c r="I890" s="49"/>
    </row>
    <row r="891">
      <c r="A891" s="49"/>
      <c r="B891" s="49"/>
      <c r="C891" s="49"/>
      <c r="D891" s="49"/>
      <c r="E891" s="49"/>
      <c r="F891" s="49"/>
      <c r="G891" s="49"/>
      <c r="H891" s="49"/>
      <c r="I891" s="49"/>
    </row>
    <row r="892">
      <c r="A892" s="49"/>
      <c r="B892" s="49"/>
      <c r="C892" s="49"/>
      <c r="D892" s="49"/>
      <c r="E892" s="49"/>
      <c r="F892" s="49"/>
      <c r="G892" s="49"/>
      <c r="H892" s="49"/>
      <c r="I892" s="49"/>
    </row>
    <row r="893">
      <c r="A893" s="49"/>
      <c r="B893" s="49"/>
      <c r="C893" s="49"/>
      <c r="D893" s="49"/>
      <c r="E893" s="49"/>
      <c r="F893" s="49"/>
      <c r="G893" s="49"/>
      <c r="H893" s="49"/>
      <c r="I893" s="49"/>
    </row>
    <row r="894">
      <c r="A894" s="49"/>
      <c r="B894" s="49"/>
      <c r="C894" s="49"/>
      <c r="D894" s="49"/>
      <c r="E894" s="49"/>
      <c r="F894" s="49"/>
      <c r="G894" s="49"/>
      <c r="H894" s="49"/>
      <c r="I894" s="49"/>
    </row>
    <row r="895">
      <c r="A895" s="49"/>
      <c r="B895" s="49"/>
      <c r="C895" s="49"/>
      <c r="D895" s="49"/>
      <c r="E895" s="49"/>
      <c r="F895" s="49"/>
      <c r="G895" s="49"/>
      <c r="H895" s="49"/>
      <c r="I895" s="49"/>
    </row>
    <row r="896">
      <c r="A896" s="49"/>
      <c r="B896" s="49"/>
      <c r="C896" s="49"/>
      <c r="D896" s="49"/>
      <c r="E896" s="49"/>
      <c r="F896" s="49"/>
      <c r="G896" s="49"/>
      <c r="H896" s="49"/>
      <c r="I896" s="49"/>
    </row>
    <row r="897">
      <c r="A897" s="49"/>
      <c r="B897" s="49"/>
      <c r="C897" s="49"/>
      <c r="D897" s="49"/>
      <c r="E897" s="49"/>
      <c r="F897" s="49"/>
      <c r="G897" s="49"/>
      <c r="H897" s="49"/>
      <c r="I897" s="49"/>
    </row>
    <row r="898">
      <c r="A898" s="49"/>
      <c r="B898" s="49"/>
      <c r="C898" s="49"/>
      <c r="D898" s="49"/>
      <c r="E898" s="49"/>
      <c r="F898" s="49"/>
      <c r="G898" s="49"/>
      <c r="H898" s="49"/>
      <c r="I898" s="49"/>
    </row>
    <row r="899">
      <c r="A899" s="49"/>
      <c r="B899" s="49"/>
      <c r="C899" s="49"/>
      <c r="D899" s="49"/>
      <c r="E899" s="49"/>
      <c r="F899" s="49"/>
      <c r="G899" s="49"/>
      <c r="H899" s="49"/>
      <c r="I899" s="49"/>
    </row>
    <row r="900">
      <c r="A900" s="49"/>
      <c r="B900" s="49"/>
      <c r="C900" s="49"/>
      <c r="D900" s="49"/>
      <c r="E900" s="49"/>
      <c r="F900" s="49"/>
      <c r="G900" s="49"/>
      <c r="H900" s="49"/>
      <c r="I900" s="49"/>
    </row>
    <row r="901">
      <c r="A901" s="49"/>
      <c r="B901" s="49"/>
      <c r="C901" s="49"/>
      <c r="D901" s="49"/>
      <c r="E901" s="49"/>
      <c r="F901" s="49"/>
      <c r="G901" s="49"/>
      <c r="H901" s="49"/>
      <c r="I901" s="49"/>
    </row>
    <row r="902">
      <c r="A902" s="49"/>
      <c r="B902" s="49"/>
      <c r="C902" s="49"/>
      <c r="D902" s="49"/>
      <c r="E902" s="49"/>
      <c r="F902" s="49"/>
      <c r="G902" s="49"/>
      <c r="H902" s="49"/>
      <c r="I902" s="49"/>
    </row>
    <row r="903">
      <c r="A903" s="49"/>
      <c r="B903" s="49"/>
      <c r="C903" s="49"/>
      <c r="D903" s="49"/>
      <c r="E903" s="49"/>
      <c r="F903" s="49"/>
      <c r="G903" s="49"/>
      <c r="H903" s="49"/>
      <c r="I903" s="49"/>
    </row>
    <row r="904">
      <c r="A904" s="49"/>
      <c r="B904" s="49"/>
      <c r="C904" s="49"/>
      <c r="D904" s="49"/>
      <c r="E904" s="49"/>
      <c r="F904" s="49"/>
      <c r="G904" s="49"/>
      <c r="H904" s="49"/>
      <c r="I904" s="49"/>
    </row>
    <row r="905">
      <c r="A905" s="49"/>
      <c r="B905" s="49"/>
      <c r="C905" s="49"/>
      <c r="D905" s="49"/>
      <c r="E905" s="49"/>
      <c r="F905" s="49"/>
      <c r="G905" s="49"/>
      <c r="H905" s="49"/>
      <c r="I905" s="49"/>
    </row>
    <row r="906">
      <c r="A906" s="49"/>
      <c r="B906" s="49"/>
      <c r="C906" s="49"/>
      <c r="D906" s="49"/>
      <c r="E906" s="49"/>
      <c r="F906" s="49"/>
      <c r="G906" s="49"/>
      <c r="H906" s="49"/>
      <c r="I906" s="49"/>
    </row>
    <row r="907">
      <c r="A907" s="49"/>
      <c r="B907" s="49"/>
      <c r="C907" s="49"/>
      <c r="D907" s="49"/>
      <c r="E907" s="49"/>
      <c r="F907" s="49"/>
      <c r="G907" s="49"/>
      <c r="H907" s="49"/>
      <c r="I907" s="49"/>
    </row>
    <row r="908">
      <c r="A908" s="49"/>
      <c r="B908" s="49"/>
      <c r="C908" s="49"/>
      <c r="D908" s="49"/>
      <c r="E908" s="49"/>
      <c r="F908" s="49"/>
      <c r="G908" s="49"/>
      <c r="H908" s="49"/>
      <c r="I908" s="49"/>
    </row>
    <row r="909">
      <c r="A909" s="49"/>
      <c r="B909" s="49"/>
      <c r="C909" s="49"/>
      <c r="D909" s="49"/>
      <c r="E909" s="49"/>
      <c r="F909" s="49"/>
      <c r="G909" s="49"/>
      <c r="H909" s="49"/>
      <c r="I909" s="49"/>
    </row>
    <row r="910">
      <c r="A910" s="49"/>
      <c r="B910" s="49"/>
      <c r="C910" s="49"/>
      <c r="D910" s="49"/>
      <c r="E910" s="49"/>
      <c r="F910" s="49"/>
      <c r="G910" s="49"/>
      <c r="H910" s="49"/>
      <c r="I910" s="49"/>
    </row>
    <row r="911">
      <c r="A911" s="49"/>
      <c r="B911" s="49"/>
      <c r="C911" s="49"/>
      <c r="D911" s="49"/>
      <c r="E911" s="49"/>
      <c r="F911" s="49"/>
      <c r="G911" s="49"/>
      <c r="H911" s="49"/>
      <c r="I911" s="49"/>
    </row>
    <row r="912">
      <c r="A912" s="49"/>
      <c r="B912" s="49"/>
      <c r="C912" s="49"/>
      <c r="D912" s="49"/>
      <c r="E912" s="49"/>
      <c r="F912" s="49"/>
      <c r="G912" s="49"/>
      <c r="H912" s="49"/>
      <c r="I912" s="49"/>
    </row>
    <row r="913">
      <c r="A913" s="49"/>
      <c r="B913" s="49"/>
      <c r="C913" s="49"/>
      <c r="D913" s="49"/>
      <c r="E913" s="49"/>
      <c r="F913" s="49"/>
      <c r="G913" s="49"/>
      <c r="H913" s="49"/>
      <c r="I913" s="49"/>
    </row>
    <row r="914">
      <c r="A914" s="49"/>
      <c r="B914" s="49"/>
      <c r="C914" s="49"/>
      <c r="D914" s="49"/>
      <c r="E914" s="49"/>
      <c r="F914" s="49"/>
      <c r="G914" s="49"/>
      <c r="H914" s="49"/>
      <c r="I914" s="49"/>
    </row>
    <row r="915">
      <c r="A915" s="49"/>
      <c r="B915" s="49"/>
      <c r="C915" s="49"/>
      <c r="D915" s="49"/>
      <c r="E915" s="49"/>
      <c r="F915" s="49"/>
      <c r="G915" s="49"/>
      <c r="H915" s="49"/>
      <c r="I915" s="49"/>
    </row>
    <row r="916">
      <c r="A916" s="49"/>
      <c r="B916" s="49"/>
      <c r="C916" s="49"/>
      <c r="D916" s="49"/>
      <c r="E916" s="49"/>
      <c r="F916" s="49"/>
      <c r="G916" s="49"/>
      <c r="H916" s="49"/>
      <c r="I916" s="49"/>
    </row>
    <row r="917">
      <c r="A917" s="49"/>
      <c r="B917" s="49"/>
      <c r="C917" s="49"/>
      <c r="D917" s="49"/>
      <c r="E917" s="49"/>
      <c r="F917" s="49"/>
      <c r="G917" s="49"/>
      <c r="H917" s="49"/>
      <c r="I917" s="49"/>
    </row>
    <row r="918">
      <c r="A918" s="49"/>
      <c r="B918" s="49"/>
      <c r="C918" s="49"/>
      <c r="D918" s="49"/>
      <c r="E918" s="49"/>
      <c r="F918" s="49"/>
      <c r="G918" s="49"/>
      <c r="H918" s="49"/>
      <c r="I918" s="49"/>
    </row>
    <row r="919">
      <c r="A919" s="49"/>
      <c r="B919" s="49"/>
      <c r="C919" s="49"/>
      <c r="D919" s="49"/>
      <c r="E919" s="49"/>
      <c r="F919" s="49"/>
      <c r="G919" s="49"/>
      <c r="H919" s="49"/>
      <c r="I919" s="49"/>
    </row>
    <row r="920">
      <c r="A920" s="49"/>
      <c r="B920" s="49"/>
      <c r="C920" s="49"/>
      <c r="D920" s="49"/>
      <c r="E920" s="49"/>
      <c r="F920" s="49"/>
      <c r="G920" s="49"/>
      <c r="H920" s="49"/>
      <c r="I920" s="49"/>
    </row>
    <row r="921">
      <c r="A921" s="49"/>
      <c r="B921" s="49"/>
      <c r="C921" s="49"/>
      <c r="D921" s="49"/>
      <c r="E921" s="49"/>
      <c r="F921" s="49"/>
      <c r="G921" s="49"/>
      <c r="H921" s="49"/>
      <c r="I921" s="49"/>
    </row>
    <row r="922">
      <c r="A922" s="49"/>
      <c r="B922" s="49"/>
      <c r="C922" s="49"/>
      <c r="D922" s="49"/>
      <c r="E922" s="49"/>
      <c r="F922" s="49"/>
      <c r="G922" s="49"/>
      <c r="H922" s="49"/>
      <c r="I922" s="49"/>
    </row>
    <row r="923">
      <c r="A923" s="49"/>
      <c r="B923" s="49"/>
      <c r="C923" s="49"/>
      <c r="D923" s="49"/>
      <c r="E923" s="49"/>
      <c r="F923" s="49"/>
      <c r="G923" s="49"/>
      <c r="H923" s="49"/>
      <c r="I923" s="49"/>
    </row>
    <row r="924">
      <c r="A924" s="49"/>
      <c r="B924" s="49"/>
      <c r="C924" s="49"/>
      <c r="D924" s="49"/>
      <c r="E924" s="49"/>
      <c r="F924" s="49"/>
      <c r="G924" s="49"/>
      <c r="H924" s="49"/>
      <c r="I924" s="49"/>
    </row>
    <row r="925">
      <c r="A925" s="49"/>
      <c r="B925" s="49"/>
      <c r="C925" s="49"/>
      <c r="D925" s="49"/>
      <c r="E925" s="49"/>
      <c r="F925" s="49"/>
      <c r="G925" s="49"/>
      <c r="H925" s="49"/>
      <c r="I925" s="49"/>
    </row>
    <row r="926">
      <c r="A926" s="49"/>
      <c r="B926" s="49"/>
      <c r="C926" s="49"/>
      <c r="D926" s="49"/>
      <c r="E926" s="49"/>
      <c r="F926" s="49"/>
      <c r="G926" s="49"/>
      <c r="H926" s="49"/>
      <c r="I926" s="49"/>
    </row>
    <row r="927">
      <c r="A927" s="49"/>
      <c r="B927" s="49"/>
      <c r="C927" s="49"/>
      <c r="D927" s="49"/>
      <c r="E927" s="49"/>
      <c r="F927" s="49"/>
      <c r="G927" s="49"/>
      <c r="H927" s="49"/>
      <c r="I927" s="49"/>
    </row>
    <row r="928">
      <c r="A928" s="49"/>
      <c r="B928" s="49"/>
      <c r="C928" s="49"/>
      <c r="D928" s="49"/>
      <c r="E928" s="49"/>
      <c r="F928" s="49"/>
      <c r="G928" s="49"/>
      <c r="H928" s="49"/>
      <c r="I928" s="49"/>
    </row>
    <row r="929">
      <c r="A929" s="49"/>
      <c r="B929" s="49"/>
      <c r="C929" s="49"/>
      <c r="D929" s="49"/>
      <c r="E929" s="49"/>
      <c r="F929" s="49"/>
      <c r="G929" s="49"/>
      <c r="H929" s="49"/>
      <c r="I929" s="49"/>
    </row>
    <row r="930">
      <c r="A930" s="49"/>
      <c r="B930" s="49"/>
      <c r="C930" s="49"/>
      <c r="D930" s="49"/>
      <c r="E930" s="49"/>
      <c r="F930" s="49"/>
      <c r="G930" s="49"/>
      <c r="H930" s="49"/>
      <c r="I930" s="49"/>
    </row>
    <row r="931">
      <c r="A931" s="49"/>
      <c r="B931" s="49"/>
      <c r="C931" s="49"/>
      <c r="D931" s="49"/>
      <c r="E931" s="49"/>
      <c r="F931" s="49"/>
      <c r="G931" s="49"/>
      <c r="H931" s="49"/>
      <c r="I931" s="49"/>
    </row>
    <row r="932">
      <c r="A932" s="49"/>
      <c r="B932" s="49"/>
      <c r="C932" s="49"/>
      <c r="D932" s="49"/>
      <c r="E932" s="49"/>
      <c r="F932" s="49"/>
      <c r="G932" s="49"/>
      <c r="H932" s="49"/>
      <c r="I932" s="49"/>
    </row>
    <row r="933">
      <c r="A933" s="49"/>
      <c r="B933" s="49"/>
      <c r="C933" s="49"/>
      <c r="D933" s="49"/>
      <c r="E933" s="49"/>
      <c r="F933" s="49"/>
      <c r="G933" s="49"/>
      <c r="H933" s="49"/>
      <c r="I933" s="49"/>
    </row>
    <row r="934">
      <c r="A934" s="49"/>
      <c r="B934" s="49"/>
      <c r="C934" s="49"/>
      <c r="D934" s="49"/>
      <c r="E934" s="49"/>
      <c r="F934" s="49"/>
      <c r="G934" s="49"/>
      <c r="H934" s="49"/>
      <c r="I934" s="49"/>
    </row>
    <row r="935">
      <c r="A935" s="49"/>
      <c r="B935" s="49"/>
      <c r="C935" s="49"/>
      <c r="D935" s="49"/>
      <c r="E935" s="49"/>
      <c r="F935" s="49"/>
      <c r="G935" s="49"/>
      <c r="H935" s="49"/>
      <c r="I935" s="49"/>
    </row>
    <row r="936">
      <c r="A936" s="49"/>
      <c r="B936" s="49"/>
      <c r="C936" s="49"/>
      <c r="D936" s="49"/>
      <c r="E936" s="49"/>
      <c r="F936" s="49"/>
      <c r="G936" s="49"/>
      <c r="H936" s="49"/>
      <c r="I936" s="49"/>
    </row>
    <row r="937">
      <c r="A937" s="49"/>
      <c r="B937" s="49"/>
      <c r="C937" s="49"/>
      <c r="D937" s="49"/>
      <c r="E937" s="49"/>
      <c r="F937" s="49"/>
      <c r="G937" s="49"/>
      <c r="H937" s="49"/>
      <c r="I937" s="49"/>
    </row>
    <row r="938">
      <c r="A938" s="49"/>
      <c r="B938" s="49"/>
      <c r="C938" s="49"/>
      <c r="D938" s="49"/>
      <c r="E938" s="49"/>
      <c r="F938" s="49"/>
      <c r="G938" s="49"/>
      <c r="H938" s="49"/>
      <c r="I938" s="49"/>
    </row>
    <row r="939">
      <c r="A939" s="49"/>
      <c r="B939" s="49"/>
      <c r="C939" s="49"/>
      <c r="D939" s="49"/>
      <c r="E939" s="49"/>
      <c r="F939" s="49"/>
      <c r="G939" s="49"/>
      <c r="H939" s="49"/>
      <c r="I939" s="49"/>
    </row>
    <row r="940">
      <c r="A940" s="49"/>
      <c r="B940" s="49"/>
      <c r="C940" s="49"/>
      <c r="D940" s="49"/>
      <c r="E940" s="49"/>
      <c r="F940" s="49"/>
      <c r="G940" s="49"/>
      <c r="H940" s="49"/>
      <c r="I940" s="49"/>
    </row>
    <row r="941">
      <c r="A941" s="49"/>
      <c r="B941" s="49"/>
      <c r="C941" s="49"/>
      <c r="D941" s="49"/>
      <c r="E941" s="49"/>
      <c r="F941" s="49"/>
      <c r="G941" s="49"/>
      <c r="H941" s="49"/>
      <c r="I941" s="49"/>
    </row>
    <row r="942">
      <c r="A942" s="49"/>
      <c r="B942" s="49"/>
      <c r="C942" s="49"/>
      <c r="D942" s="49"/>
      <c r="E942" s="49"/>
      <c r="F942" s="49"/>
      <c r="G942" s="49"/>
      <c r="H942" s="49"/>
      <c r="I942" s="49"/>
    </row>
    <row r="943">
      <c r="A943" s="49"/>
      <c r="B943" s="49"/>
      <c r="C943" s="49"/>
      <c r="D943" s="49"/>
      <c r="E943" s="49"/>
      <c r="F943" s="49"/>
      <c r="G943" s="49"/>
      <c r="H943" s="49"/>
      <c r="I943" s="49"/>
    </row>
    <row r="944">
      <c r="A944" s="49"/>
      <c r="B944" s="49"/>
      <c r="C944" s="49"/>
      <c r="D944" s="49"/>
      <c r="E944" s="49"/>
      <c r="F944" s="49"/>
      <c r="G944" s="49"/>
      <c r="H944" s="49"/>
      <c r="I944" s="49"/>
    </row>
    <row r="945">
      <c r="A945" s="49"/>
      <c r="B945" s="49"/>
      <c r="C945" s="49"/>
      <c r="D945" s="49"/>
      <c r="E945" s="49"/>
      <c r="F945" s="49"/>
      <c r="G945" s="49"/>
      <c r="H945" s="49"/>
      <c r="I945" s="49"/>
    </row>
    <row r="946">
      <c r="A946" s="49"/>
      <c r="B946" s="49"/>
      <c r="C946" s="49"/>
      <c r="D946" s="49"/>
      <c r="E946" s="49"/>
      <c r="F946" s="49"/>
      <c r="G946" s="49"/>
      <c r="H946" s="49"/>
      <c r="I946" s="49"/>
    </row>
    <row r="947">
      <c r="A947" s="49"/>
      <c r="B947" s="49"/>
      <c r="C947" s="49"/>
      <c r="D947" s="49"/>
      <c r="E947" s="49"/>
      <c r="F947" s="49"/>
      <c r="G947" s="49"/>
      <c r="H947" s="49"/>
      <c r="I947" s="49"/>
    </row>
    <row r="948">
      <c r="A948" s="49"/>
      <c r="B948" s="49"/>
      <c r="C948" s="49"/>
      <c r="D948" s="49"/>
      <c r="E948" s="49"/>
      <c r="F948" s="49"/>
      <c r="G948" s="49"/>
      <c r="H948" s="49"/>
      <c r="I948" s="49"/>
    </row>
    <row r="949">
      <c r="A949" s="49"/>
      <c r="B949" s="49"/>
      <c r="C949" s="49"/>
      <c r="D949" s="49"/>
      <c r="E949" s="49"/>
      <c r="F949" s="49"/>
      <c r="G949" s="49"/>
      <c r="H949" s="49"/>
      <c r="I949" s="49"/>
    </row>
    <row r="950">
      <c r="A950" s="49"/>
      <c r="B950" s="49"/>
      <c r="C950" s="49"/>
      <c r="D950" s="49"/>
      <c r="E950" s="49"/>
      <c r="F950" s="49"/>
      <c r="G950" s="49"/>
      <c r="H950" s="49"/>
      <c r="I950" s="49"/>
    </row>
    <row r="951">
      <c r="A951" s="49"/>
      <c r="B951" s="49"/>
      <c r="C951" s="49"/>
      <c r="D951" s="49"/>
      <c r="E951" s="49"/>
      <c r="F951" s="49"/>
      <c r="G951" s="49"/>
      <c r="H951" s="49"/>
      <c r="I951" s="49"/>
    </row>
    <row r="952">
      <c r="A952" s="49"/>
      <c r="B952" s="49"/>
      <c r="C952" s="49"/>
      <c r="D952" s="49"/>
      <c r="E952" s="49"/>
      <c r="F952" s="49"/>
      <c r="G952" s="49"/>
      <c r="H952" s="49"/>
      <c r="I952" s="49"/>
    </row>
    <row r="953">
      <c r="A953" s="49"/>
      <c r="B953" s="49"/>
      <c r="C953" s="49"/>
      <c r="D953" s="49"/>
      <c r="E953" s="49"/>
      <c r="F953" s="49"/>
      <c r="G953" s="49"/>
      <c r="H953" s="49"/>
      <c r="I953" s="49"/>
    </row>
    <row r="954">
      <c r="A954" s="49"/>
      <c r="B954" s="49"/>
      <c r="C954" s="49"/>
      <c r="D954" s="49"/>
      <c r="E954" s="49"/>
      <c r="F954" s="49"/>
      <c r="G954" s="49"/>
      <c r="H954" s="49"/>
      <c r="I954" s="49"/>
    </row>
    <row r="955">
      <c r="A955" s="49"/>
      <c r="B955" s="49"/>
      <c r="C955" s="49"/>
      <c r="D955" s="49"/>
      <c r="E955" s="49"/>
      <c r="F955" s="49"/>
      <c r="G955" s="49"/>
      <c r="H955" s="49"/>
      <c r="I955" s="49"/>
    </row>
    <row r="956">
      <c r="A956" s="49"/>
      <c r="B956" s="49"/>
      <c r="C956" s="49"/>
      <c r="D956" s="49"/>
      <c r="E956" s="49"/>
      <c r="F956" s="49"/>
      <c r="G956" s="49"/>
      <c r="H956" s="49"/>
      <c r="I956" s="49"/>
    </row>
    <row r="957">
      <c r="A957" s="49"/>
      <c r="B957" s="49"/>
      <c r="C957" s="49"/>
      <c r="D957" s="49"/>
      <c r="E957" s="49"/>
      <c r="F957" s="49"/>
      <c r="G957" s="49"/>
      <c r="H957" s="49"/>
      <c r="I957" s="49"/>
    </row>
    <row r="958">
      <c r="A958" s="49"/>
      <c r="B958" s="49"/>
      <c r="C958" s="49"/>
      <c r="D958" s="49"/>
      <c r="E958" s="49"/>
      <c r="F958" s="49"/>
      <c r="G958" s="49"/>
      <c r="H958" s="49"/>
      <c r="I958" s="49"/>
    </row>
    <row r="959">
      <c r="A959" s="49"/>
      <c r="B959" s="49"/>
      <c r="C959" s="49"/>
      <c r="D959" s="49"/>
      <c r="E959" s="49"/>
      <c r="F959" s="49"/>
      <c r="G959" s="49"/>
      <c r="H959" s="49"/>
      <c r="I959" s="49"/>
    </row>
    <row r="960">
      <c r="A960" s="49"/>
      <c r="B960" s="49"/>
      <c r="C960" s="49"/>
      <c r="D960" s="49"/>
      <c r="E960" s="49"/>
      <c r="F960" s="49"/>
      <c r="G960" s="49"/>
      <c r="H960" s="49"/>
      <c r="I960" s="49"/>
    </row>
    <row r="961">
      <c r="A961" s="49"/>
      <c r="B961" s="49"/>
      <c r="C961" s="49"/>
      <c r="D961" s="49"/>
      <c r="E961" s="49"/>
      <c r="F961" s="49"/>
      <c r="G961" s="49"/>
      <c r="H961" s="49"/>
      <c r="I961" s="49"/>
    </row>
    <row r="962">
      <c r="A962" s="49"/>
      <c r="B962" s="49"/>
      <c r="C962" s="49"/>
      <c r="D962" s="49"/>
      <c r="E962" s="49"/>
      <c r="F962" s="49"/>
      <c r="G962" s="49"/>
      <c r="H962" s="49"/>
      <c r="I962" s="49"/>
    </row>
    <row r="963">
      <c r="A963" s="49"/>
      <c r="B963" s="49"/>
      <c r="C963" s="49"/>
      <c r="D963" s="49"/>
      <c r="E963" s="49"/>
      <c r="F963" s="49"/>
      <c r="G963" s="49"/>
      <c r="H963" s="49"/>
      <c r="I963" s="49"/>
    </row>
    <row r="964">
      <c r="A964" s="49"/>
      <c r="B964" s="49"/>
      <c r="C964" s="49"/>
      <c r="D964" s="49"/>
      <c r="E964" s="49"/>
      <c r="F964" s="49"/>
      <c r="G964" s="49"/>
      <c r="H964" s="49"/>
      <c r="I964" s="49"/>
    </row>
    <row r="965">
      <c r="A965" s="49"/>
      <c r="B965" s="49"/>
      <c r="C965" s="49"/>
      <c r="D965" s="49"/>
      <c r="E965" s="49"/>
      <c r="F965" s="49"/>
      <c r="G965" s="49"/>
      <c r="H965" s="49"/>
      <c r="I965" s="49"/>
    </row>
    <row r="966">
      <c r="A966" s="49"/>
      <c r="B966" s="49"/>
      <c r="C966" s="49"/>
      <c r="D966" s="49"/>
      <c r="E966" s="49"/>
      <c r="F966" s="49"/>
      <c r="G966" s="49"/>
      <c r="H966" s="49"/>
      <c r="I966" s="49"/>
    </row>
    <row r="967">
      <c r="A967" s="49"/>
      <c r="B967" s="49"/>
      <c r="C967" s="49"/>
      <c r="D967" s="49"/>
      <c r="E967" s="49"/>
      <c r="F967" s="49"/>
      <c r="G967" s="49"/>
      <c r="H967" s="49"/>
      <c r="I967" s="49"/>
    </row>
    <row r="968">
      <c r="A968" s="49"/>
      <c r="B968" s="49"/>
      <c r="C968" s="49"/>
      <c r="D968" s="49"/>
      <c r="E968" s="49"/>
      <c r="F968" s="49"/>
      <c r="G968" s="49"/>
      <c r="H968" s="49"/>
      <c r="I968" s="49"/>
    </row>
    <row r="969">
      <c r="A969" s="49"/>
      <c r="B969" s="49"/>
      <c r="C969" s="49"/>
      <c r="D969" s="49"/>
      <c r="E969" s="49"/>
      <c r="F969" s="49"/>
      <c r="G969" s="49"/>
      <c r="H969" s="49"/>
      <c r="I969" s="49"/>
    </row>
    <row r="970">
      <c r="A970" s="49"/>
      <c r="B970" s="49"/>
      <c r="C970" s="49"/>
      <c r="D970" s="49"/>
      <c r="E970" s="49"/>
      <c r="F970" s="49"/>
      <c r="G970" s="49"/>
      <c r="H970" s="49"/>
      <c r="I970" s="49"/>
    </row>
    <row r="971">
      <c r="A971" s="49"/>
      <c r="B971" s="49"/>
      <c r="C971" s="49"/>
      <c r="D971" s="49"/>
      <c r="E971" s="49"/>
      <c r="F971" s="49"/>
      <c r="G971" s="49"/>
      <c r="H971" s="49"/>
      <c r="I971" s="49"/>
    </row>
    <row r="972">
      <c r="A972" s="49"/>
      <c r="B972" s="49"/>
      <c r="C972" s="49"/>
      <c r="D972" s="49"/>
      <c r="E972" s="49"/>
      <c r="F972" s="49"/>
      <c r="G972" s="49"/>
      <c r="H972" s="49"/>
      <c r="I972" s="49"/>
    </row>
    <row r="973">
      <c r="A973" s="49"/>
      <c r="B973" s="49"/>
      <c r="C973" s="49"/>
      <c r="D973" s="49"/>
      <c r="E973" s="49"/>
      <c r="F973" s="49"/>
      <c r="G973" s="49"/>
      <c r="H973" s="49"/>
      <c r="I973" s="49"/>
    </row>
    <row r="974">
      <c r="A974" s="49"/>
      <c r="B974" s="49"/>
      <c r="C974" s="49"/>
      <c r="D974" s="49"/>
      <c r="E974" s="49"/>
      <c r="F974" s="49"/>
      <c r="G974" s="49"/>
      <c r="H974" s="49"/>
      <c r="I974" s="49"/>
    </row>
    <row r="975">
      <c r="A975" s="49"/>
      <c r="B975" s="49"/>
      <c r="C975" s="49"/>
      <c r="D975" s="49"/>
      <c r="E975" s="49"/>
      <c r="F975" s="49"/>
      <c r="G975" s="49"/>
      <c r="H975" s="49"/>
      <c r="I975" s="49"/>
    </row>
    <row r="976">
      <c r="A976" s="49"/>
      <c r="B976" s="49"/>
      <c r="C976" s="49"/>
      <c r="D976" s="49"/>
      <c r="E976" s="49"/>
      <c r="F976" s="49"/>
      <c r="G976" s="49"/>
      <c r="H976" s="49"/>
      <c r="I976" s="49"/>
    </row>
    <row r="977">
      <c r="A977" s="49"/>
      <c r="B977" s="49"/>
      <c r="C977" s="49"/>
      <c r="D977" s="49"/>
      <c r="E977" s="49"/>
      <c r="F977" s="49"/>
      <c r="G977" s="49"/>
      <c r="H977" s="49"/>
      <c r="I977" s="49"/>
    </row>
    <row r="978">
      <c r="A978" s="49"/>
      <c r="B978" s="49"/>
      <c r="C978" s="49"/>
      <c r="D978" s="49"/>
      <c r="E978" s="49"/>
      <c r="F978" s="49"/>
      <c r="G978" s="49"/>
      <c r="H978" s="49"/>
      <c r="I978" s="49"/>
    </row>
    <row r="979">
      <c r="A979" s="49"/>
      <c r="B979" s="49"/>
      <c r="C979" s="49"/>
      <c r="D979" s="49"/>
      <c r="E979" s="49"/>
      <c r="F979" s="49"/>
      <c r="G979" s="49"/>
      <c r="H979" s="49"/>
      <c r="I979" s="49"/>
    </row>
    <row r="980">
      <c r="A980" s="49"/>
      <c r="B980" s="49"/>
      <c r="C980" s="49"/>
      <c r="D980" s="49"/>
      <c r="E980" s="49"/>
      <c r="F980" s="49"/>
      <c r="G980" s="49"/>
      <c r="H980" s="49"/>
      <c r="I980" s="49"/>
    </row>
    <row r="981">
      <c r="A981" s="49"/>
      <c r="B981" s="49"/>
      <c r="C981" s="49"/>
      <c r="D981" s="49"/>
      <c r="E981" s="49"/>
      <c r="F981" s="49"/>
      <c r="G981" s="49"/>
      <c r="H981" s="49"/>
      <c r="I981" s="49"/>
    </row>
    <row r="982">
      <c r="A982" s="49"/>
      <c r="B982" s="49"/>
      <c r="C982" s="49"/>
      <c r="D982" s="49"/>
      <c r="E982" s="49"/>
      <c r="F982" s="49"/>
      <c r="G982" s="49"/>
      <c r="H982" s="49"/>
      <c r="I982" s="49"/>
    </row>
    <row r="983">
      <c r="A983" s="49"/>
      <c r="B983" s="49"/>
      <c r="C983" s="49"/>
      <c r="D983" s="49"/>
      <c r="E983" s="49"/>
      <c r="F983" s="49"/>
      <c r="G983" s="49"/>
      <c r="H983" s="49"/>
      <c r="I983" s="49"/>
    </row>
    <row r="984">
      <c r="A984" s="49"/>
      <c r="B984" s="49"/>
      <c r="C984" s="49"/>
      <c r="D984" s="49"/>
      <c r="E984" s="49"/>
      <c r="F984" s="49"/>
      <c r="G984" s="49"/>
      <c r="H984" s="49"/>
      <c r="I984" s="49"/>
    </row>
    <row r="985">
      <c r="A985" s="49"/>
      <c r="B985" s="49"/>
      <c r="C985" s="49"/>
      <c r="D985" s="49"/>
      <c r="E985" s="49"/>
      <c r="F985" s="49"/>
      <c r="G985" s="49"/>
      <c r="H985" s="49"/>
      <c r="I985" s="49"/>
    </row>
    <row r="986">
      <c r="A986" s="49"/>
      <c r="B986" s="49"/>
      <c r="C986" s="49"/>
      <c r="D986" s="49"/>
      <c r="E986" s="49"/>
      <c r="F986" s="49"/>
      <c r="G986" s="49"/>
      <c r="H986" s="49"/>
      <c r="I986" s="49"/>
    </row>
    <row r="987">
      <c r="A987" s="49"/>
      <c r="B987" s="49"/>
      <c r="C987" s="49"/>
      <c r="D987" s="49"/>
      <c r="E987" s="49"/>
      <c r="F987" s="49"/>
      <c r="G987" s="49"/>
      <c r="H987" s="49"/>
      <c r="I987" s="49"/>
    </row>
    <row r="988">
      <c r="A988" s="49"/>
      <c r="B988" s="49"/>
      <c r="C988" s="49"/>
      <c r="D988" s="49"/>
      <c r="E988" s="49"/>
      <c r="F988" s="49"/>
      <c r="G988" s="49"/>
      <c r="H988" s="49"/>
      <c r="I988" s="49"/>
    </row>
    <row r="989">
      <c r="A989" s="49"/>
      <c r="B989" s="49"/>
      <c r="C989" s="49"/>
      <c r="D989" s="49"/>
      <c r="E989" s="49"/>
      <c r="F989" s="49"/>
      <c r="G989" s="49"/>
      <c r="H989" s="49"/>
      <c r="I989" s="49"/>
    </row>
    <row r="990">
      <c r="A990" s="49"/>
      <c r="B990" s="49"/>
      <c r="C990" s="49"/>
      <c r="D990" s="49"/>
      <c r="E990" s="49"/>
      <c r="F990" s="49"/>
      <c r="G990" s="49"/>
      <c r="H990" s="49"/>
      <c r="I990" s="49"/>
    </row>
    <row r="991">
      <c r="A991" s="49"/>
      <c r="B991" s="49"/>
      <c r="C991" s="49"/>
      <c r="D991" s="49"/>
      <c r="E991" s="49"/>
      <c r="F991" s="49"/>
      <c r="G991" s="49"/>
      <c r="H991" s="49"/>
      <c r="I991" s="49"/>
    </row>
    <row r="992">
      <c r="A992" s="49"/>
      <c r="B992" s="49"/>
      <c r="C992" s="49"/>
      <c r="D992" s="49"/>
      <c r="E992" s="49"/>
      <c r="F992" s="49"/>
      <c r="G992" s="49"/>
      <c r="H992" s="49"/>
      <c r="I992" s="49"/>
    </row>
    <row r="993">
      <c r="A993" s="49"/>
      <c r="B993" s="49"/>
      <c r="C993" s="49"/>
      <c r="D993" s="49"/>
      <c r="E993" s="49"/>
      <c r="F993" s="49"/>
      <c r="G993" s="49"/>
      <c r="H993" s="49"/>
      <c r="I993" s="49"/>
    </row>
    <row r="994">
      <c r="A994" s="49"/>
      <c r="B994" s="49"/>
      <c r="C994" s="49"/>
      <c r="D994" s="49"/>
      <c r="E994" s="49"/>
      <c r="F994" s="49"/>
      <c r="G994" s="49"/>
      <c r="H994" s="49"/>
      <c r="I994" s="49"/>
    </row>
    <row r="995">
      <c r="A995" s="49"/>
      <c r="B995" s="49"/>
      <c r="C995" s="49"/>
      <c r="D995" s="49"/>
      <c r="E995" s="49"/>
      <c r="F995" s="49"/>
      <c r="G995" s="49"/>
      <c r="H995" s="49"/>
      <c r="I995" s="49"/>
    </row>
    <row r="996">
      <c r="A996" s="49"/>
      <c r="B996" s="49"/>
      <c r="C996" s="49"/>
      <c r="D996" s="49"/>
      <c r="E996" s="49"/>
      <c r="F996" s="49"/>
      <c r="G996" s="49"/>
      <c r="H996" s="49"/>
      <c r="I996" s="49"/>
    </row>
    <row r="997">
      <c r="A997" s="49"/>
      <c r="B997" s="49"/>
      <c r="C997" s="49"/>
      <c r="D997" s="49"/>
      <c r="E997" s="49"/>
      <c r="F997" s="49"/>
      <c r="G997" s="49"/>
      <c r="H997" s="49"/>
      <c r="I997" s="49"/>
    </row>
    <row r="998">
      <c r="A998" s="49"/>
      <c r="B998" s="49"/>
      <c r="C998" s="49"/>
      <c r="D998" s="49"/>
      <c r="E998" s="49"/>
      <c r="F998" s="49"/>
      <c r="G998" s="49"/>
      <c r="H998" s="49"/>
      <c r="I998" s="49"/>
    </row>
    <row r="999">
      <c r="A999" s="49"/>
      <c r="B999" s="49"/>
      <c r="C999" s="49"/>
      <c r="D999" s="49"/>
      <c r="E999" s="49"/>
      <c r="F999" s="49"/>
      <c r="G999" s="49"/>
      <c r="H999" s="49"/>
      <c r="I999" s="49"/>
    </row>
    <row r="1000">
      <c r="A1000" s="49"/>
      <c r="B1000" s="49"/>
      <c r="C1000" s="49"/>
      <c r="D1000" s="49"/>
      <c r="E1000" s="49"/>
      <c r="F1000" s="49"/>
      <c r="G1000" s="49"/>
      <c r="H1000" s="49"/>
      <c r="I1000" s="49"/>
    </row>
  </sheetData>
  <hyperlinks>
    <hyperlink display="RETURN TO DASHBOARD" location="Dashboard!A1" ref="A1"/>
    <hyperlink r:id="rId1" ref="H2"/>
    <hyperlink r:id="rId2" ref="H3"/>
    <hyperlink r:id="rId3" ref="H4"/>
    <hyperlink r:id="rId4" ref="H5"/>
  </hyperlinks>
  <drawing r:id="rId5"/>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38"/>
    <col customWidth="1" min="4" max="4" width="51.13"/>
    <col customWidth="1" min="5" max="5" width="27.0"/>
    <col customWidth="1" min="6" max="6" width="14.88"/>
    <col customWidth="1" min="7" max="7" width="13.0"/>
    <col customWidth="1" min="8" max="8" width="19.38"/>
    <col customWidth="1" min="9" max="9" width="21.75"/>
    <col customWidth="1" min="10" max="10" width="34.25"/>
    <col customWidth="1" min="12" max="12" width="38.75"/>
  </cols>
  <sheetData>
    <row r="1">
      <c r="A1" s="43" t="s">
        <v>1258</v>
      </c>
      <c r="B1" s="45" t="str">
        <f>IFERROR(__xludf.DUMMYFUNCTION("QUERY('Form Responses 1'!A:AAC, ""SELECT BL, BM, BN, BO, BP, BQ, BR, BS, BT, BU, BV WHERE C = 'Scholars in Residence'"", 1)"),"Status ")</f>
        <v>Status </v>
      </c>
      <c r="C1" s="45" t="str">
        <f>IFERROR(__xludf.DUMMYFUNCTION("""COMPUTED_VALUE"""),"  Category  ")</f>
        <v>  Category  </v>
      </c>
      <c r="D1" s="45" t="str">
        <f>IFERROR(__xludf.DUMMYFUNCTION("""COMPUTED_VALUE"""),"Scholars Name")</f>
        <v>Scholars Name</v>
      </c>
      <c r="E1" s="45" t="str">
        <f>IFERROR(__xludf.DUMMYFUNCTION("""COMPUTED_VALUE"""),"University ")</f>
        <v>University </v>
      </c>
      <c r="F1" s="45" t="str">
        <f>IFERROR(__xludf.DUMMYFUNCTION("""COMPUTED_VALUE"""),"Country")</f>
        <v>Country</v>
      </c>
      <c r="G1" s="45" t="str">
        <f>IFERROR(__xludf.DUMMYFUNCTION("""COMPUTED_VALUE"""),"From Date")</f>
        <v>From Date</v>
      </c>
      <c r="H1" s="45" t="str">
        <f>IFERROR(__xludf.DUMMYFUNCTION("""COMPUTED_VALUE"""),"To Date")</f>
        <v>To Date</v>
      </c>
      <c r="I1" s="45" t="str">
        <f>IFERROR(__xludf.DUMMYFUNCTION("""COMPUTED_VALUE"""),"Department ")</f>
        <v>Department </v>
      </c>
      <c r="J1" s="45" t="str">
        <f>IFERROR(__xludf.DUMMYFUNCTION("""COMPUTED_VALUE"""),"Summary")</f>
        <v>Summary</v>
      </c>
      <c r="K1" s="45" t="str">
        <f>IFERROR(__xludf.DUMMYFUNCTION("""COMPUTED_VALUE"""),"Campus")</f>
        <v>Campus</v>
      </c>
      <c r="L1" s="45" t="str">
        <f>IFERROR(__xludf.DUMMYFUNCTION("""COMPUTED_VALUE"""),"Scholars in Residence -  Upload Zip FIle")</f>
        <v>Scholars in Residence -  Upload Zip FIle</v>
      </c>
      <c r="M1" s="46"/>
      <c r="N1" s="46"/>
      <c r="O1" s="46"/>
      <c r="P1" s="46"/>
      <c r="Q1" s="46"/>
      <c r="R1" s="46"/>
      <c r="S1" s="46"/>
      <c r="T1" s="46"/>
      <c r="U1" s="46"/>
      <c r="V1" s="46"/>
      <c r="W1" s="46"/>
      <c r="X1" s="46"/>
      <c r="Y1" s="46"/>
      <c r="Z1" s="46"/>
      <c r="AA1" s="46"/>
    </row>
    <row r="2">
      <c r="B2" s="57" t="str">
        <f>IFERROR(__xludf.DUMMYFUNCTION("""COMPUTED_VALUE"""),"Completed")</f>
        <v>Completed</v>
      </c>
      <c r="C2" s="57" t="str">
        <f>IFERROR(__xludf.DUMMYFUNCTION("""COMPUTED_VALUE"""),"Visiting Scholar")</f>
        <v>Visiting Scholar</v>
      </c>
      <c r="D2" s="57" t="str">
        <f>IFERROR(__xludf.DUMMYFUNCTION("""COMPUTED_VALUE"""),"Prof. Al -Khoury, Professor")</f>
        <v>Prof. Al -Khoury, Professor</v>
      </c>
      <c r="E2" s="57" t="str">
        <f>IFERROR(__xludf.DUMMYFUNCTION("""COMPUTED_VALUE"""),"Lebanon University")</f>
        <v>Lebanon University</v>
      </c>
      <c r="F2" s="57" t="str">
        <f>IFERROR(__xludf.DUMMYFUNCTION("""COMPUTED_VALUE"""),"Lebanon ")</f>
        <v>Lebanon </v>
      </c>
      <c r="G2" s="58">
        <f>IFERROR(__xludf.DUMMYFUNCTION("""COMPUTED_VALUE"""),45145.0)</f>
        <v>45145</v>
      </c>
      <c r="H2" s="57" t="str">
        <f>IFERROR(__xludf.DUMMYFUNCTION("""COMPUTED_VALUE"""),"8/14/2023")</f>
        <v>8/14/2023</v>
      </c>
      <c r="I2" s="57" t="str">
        <f>IFERROR(__xludf.DUMMYFUNCTION("""COMPUTED_VALUE"""),"SCMS-PG")</f>
        <v>SCMS-PG</v>
      </c>
      <c r="J2" s="57" t="str">
        <f>IFERROR(__xludf.DUMMYFUNCTION("""COMPUTED_VALUE"""),"Prof. Al-Khoury, Professor, visited Dayananda Sagar University for introductory discussions and academic engagement. During the visit, he interacted with university leadership and faculty to explore potential areas of collaboration, including joint academ"&amp;"ic activities, research opportunities, and future partnerships. The meeting provided a valuable opportunity to understand mutual interests and identify possible pathways for academic cooperation.")</f>
        <v>Prof. Al-Khoury, Professor, visited Dayananda Sagar University for introductory discussions and academic engagement. During the visit, he interacted with university leadership and faculty to explore potential areas of collaboration, including joint academic activities, research opportunities, and future partnerships. The meeting provided a valuable opportunity to understand mutual interests and identify possible pathways for academic cooperation.</v>
      </c>
      <c r="K2" s="57" t="str">
        <f>IFERROR(__xludf.DUMMYFUNCTION("""COMPUTED_VALUE"""),"Kudlu Gate")</f>
        <v>Kudlu Gate</v>
      </c>
      <c r="L2" s="59" t="str">
        <f>IFERROR(__xludf.DUMMYFUNCTION("""COMPUTED_VALUE"""),"https://drive.google.com/drive/folders/19Q3RZIoCw-1ehQpQ8xLaS8tTDP7w2pRp?usp=sharing")</f>
        <v>https://drive.google.com/drive/folders/19Q3RZIoCw-1ehQpQ8xLaS8tTDP7w2pRp?usp=sharing</v>
      </c>
    </row>
    <row r="3">
      <c r="B3" s="57" t="str">
        <f>IFERROR(__xludf.DUMMYFUNCTION("""COMPUTED_VALUE"""),"Completed")</f>
        <v>Completed</v>
      </c>
      <c r="C3" s="57" t="str">
        <f>IFERROR(__xludf.DUMMYFUNCTION("""COMPUTED_VALUE"""),"Visiting Scholar")</f>
        <v>Visiting Scholar</v>
      </c>
      <c r="D3" s="57" t="str">
        <f>IFERROR(__xludf.DUMMYFUNCTION("""COMPUTED_VALUE"""),"Mr. Steve Mckenna, Associate Professor")</f>
        <v>Mr. Steve Mckenna, Associate Professor</v>
      </c>
      <c r="E3" s="57" t="str">
        <f>IFERROR(__xludf.DUMMYFUNCTION("""COMPUTED_VALUE"""),"Curtin University")</f>
        <v>Curtin University</v>
      </c>
      <c r="F3" s="57" t="str">
        <f>IFERROR(__xludf.DUMMYFUNCTION("""COMPUTED_VALUE"""),"Australia")</f>
        <v>Australia</v>
      </c>
      <c r="G3" s="58">
        <f>IFERROR(__xludf.DUMMYFUNCTION("""COMPUTED_VALUE"""),45178.0)</f>
        <v>45178</v>
      </c>
      <c r="H3" s="57" t="str">
        <f>IFERROR(__xludf.DUMMYFUNCTION("""COMPUTED_VALUE"""),"25-09-2023")</f>
        <v>25-09-2023</v>
      </c>
      <c r="I3" s="57" t="str">
        <f>IFERROR(__xludf.DUMMYFUNCTION("""COMPUTED_VALUE"""),"SCMS")</f>
        <v>SCMS</v>
      </c>
      <c r="J3" s="57" t="str">
        <f>IFERROR(__xludf.DUMMYFUNCTION("""COMPUTED_VALUE"""),"NA")</f>
        <v>NA</v>
      </c>
      <c r="K3" s="57" t="str">
        <f>IFERROR(__xludf.DUMMYFUNCTION("""COMPUTED_VALUE"""),"Kudlu Gate")</f>
        <v>Kudlu Gate</v>
      </c>
      <c r="L3" s="59" t="str">
        <f>IFERROR(__xludf.DUMMYFUNCTION("""COMPUTED_VALUE"""),"https://drive.google.com/drive/folders/1qS3xjREw7yP6sNEKwt1_ICL1kLh7Au7q?usp=drive_link")</f>
        <v>https://drive.google.com/drive/folders/1qS3xjREw7yP6sNEKwt1_ICL1kLh7Au7q?usp=drive_link</v>
      </c>
    </row>
    <row r="4">
      <c r="B4" s="57" t="str">
        <f>IFERROR(__xludf.DUMMYFUNCTION("""COMPUTED_VALUE"""),"Completed")</f>
        <v>Completed</v>
      </c>
      <c r="C4" s="57" t="str">
        <f>IFERROR(__xludf.DUMMYFUNCTION("""COMPUTED_VALUE"""),"Visiting Scholar")</f>
        <v>Visiting Scholar</v>
      </c>
      <c r="D4" s="57" t="str">
        <f>IFERROR(__xludf.DUMMYFUNCTION("""COMPUTED_VALUE"""),"Dr. Stefano Rinaldi, Professor")</f>
        <v>Dr. Stefano Rinaldi, Professor</v>
      </c>
      <c r="E4" s="57" t="str">
        <f>IFERROR(__xludf.DUMMYFUNCTION("""COMPUTED_VALUE"""),"University of Brescia")</f>
        <v>University of Brescia</v>
      </c>
      <c r="F4" s="57" t="str">
        <f>IFERROR(__xludf.DUMMYFUNCTION("""COMPUTED_VALUE"""),"Italy")</f>
        <v>Italy</v>
      </c>
      <c r="G4" s="58">
        <f>IFERROR(__xludf.DUMMYFUNCTION("""COMPUTED_VALUE"""),45294.0)</f>
        <v>45294</v>
      </c>
      <c r="H4" s="57" t="str">
        <f>IFERROR(__xludf.DUMMYFUNCTION("""COMPUTED_VALUE"""),"15-03-2024")</f>
        <v>15-03-2024</v>
      </c>
      <c r="I4" s="57" t="str">
        <f>IFERROR(__xludf.DUMMYFUNCTION("""COMPUTED_VALUE"""),"SOE")</f>
        <v>SOE</v>
      </c>
      <c r="J4" s="57" t="str">
        <f>IFERROR(__xludf.DUMMYFUNCTION("""COMPUTED_VALUE"""),"NA")</f>
        <v>NA</v>
      </c>
      <c r="K4" s="57" t="str">
        <f>IFERROR(__xludf.DUMMYFUNCTION("""COMPUTED_VALUE"""),"Harohalli")</f>
        <v>Harohalli</v>
      </c>
      <c r="L4" s="59" t="str">
        <f>IFERROR(__xludf.DUMMYFUNCTION("""COMPUTED_VALUE"""),"https://drive.google.com/drive/folders/10u2Jk17HNMvYAp01gilR_2BkZSizqGrI?usp=drive_link")</f>
        <v>https://drive.google.com/drive/folders/10u2Jk17HNMvYAp01gilR_2BkZSizqGrI?usp=drive_link</v>
      </c>
    </row>
    <row r="5">
      <c r="B5" s="57" t="str">
        <f>IFERROR(__xludf.DUMMYFUNCTION("""COMPUTED_VALUE"""),"Completed")</f>
        <v>Completed</v>
      </c>
      <c r="C5" s="57" t="str">
        <f>IFERROR(__xludf.DUMMYFUNCTION("""COMPUTED_VALUE"""),"Visiting Scholar")</f>
        <v>Visiting Scholar</v>
      </c>
      <c r="D5" s="57" t="str">
        <f>IFERROR(__xludf.DUMMYFUNCTION("""COMPUTED_VALUE"""),"Dr. Pavel, Professor")</f>
        <v>Dr. Pavel, Professor</v>
      </c>
      <c r="E5" s="57" t="str">
        <f>IFERROR(__xludf.DUMMYFUNCTION("""COMPUTED_VALUE"""),"Mendel in Brno")</f>
        <v>Mendel in Brno</v>
      </c>
      <c r="F5" s="57" t="str">
        <f>IFERROR(__xludf.DUMMYFUNCTION("""COMPUTED_VALUE"""),"Czech Republic")</f>
        <v>Czech Republic</v>
      </c>
      <c r="G5" s="58"/>
      <c r="H5" s="57" t="str">
        <f>IFERROR(__xludf.DUMMYFUNCTION("""COMPUTED_VALUE"""),"30-03-2024")</f>
        <v>30-03-2024</v>
      </c>
      <c r="I5" s="57" t="str">
        <f>IFERROR(__xludf.DUMMYFUNCTION("""COMPUTED_VALUE"""),"SOE")</f>
        <v>SOE</v>
      </c>
      <c r="J5" s="57" t="str">
        <f>IFERROR(__xludf.DUMMYFUNCTION("""COMPUTED_VALUE"""),"NA")</f>
        <v>NA</v>
      </c>
      <c r="K5" s="57" t="str">
        <f>IFERROR(__xludf.DUMMYFUNCTION("""COMPUTED_VALUE"""),"Harohalli")</f>
        <v>Harohalli</v>
      </c>
      <c r="L5" s="59" t="str">
        <f>IFERROR(__xludf.DUMMYFUNCTION("""COMPUTED_VALUE"""),"https://drive.google.com/drive/folders/10Rl-cBDtfP-tm9veAlfFNMzkf0txHGgs?usp=drive_link")</f>
        <v>https://drive.google.com/drive/folders/10Rl-cBDtfP-tm9veAlfFNMzkf0txHGgs?usp=drive_link</v>
      </c>
    </row>
    <row r="6">
      <c r="B6" s="57" t="str">
        <f>IFERROR(__xludf.DUMMYFUNCTION("""COMPUTED_VALUE"""),"Completed")</f>
        <v>Completed</v>
      </c>
      <c r="C6" s="57" t="str">
        <f>IFERROR(__xludf.DUMMYFUNCTION("""COMPUTED_VALUE"""),"Visiting Scholar")</f>
        <v>Visiting Scholar</v>
      </c>
      <c r="D6" s="57" t="str">
        <f>IFERROR(__xludf.DUMMYFUNCTION("""COMPUTED_VALUE"""),"Prof. Ramanayake Chaminda Dilhanake Hettiarachchi, Professor")</f>
        <v>Prof. Ramanayake Chaminda Dilhanake Hettiarachchi, Professor</v>
      </c>
      <c r="E6" s="57" t="str">
        <f>IFERROR(__xludf.DUMMYFUNCTION("""COMPUTED_VALUE"""),"Sri Lanka")</f>
        <v>Sri Lanka</v>
      </c>
      <c r="F6" s="57" t="str">
        <f>IFERROR(__xludf.DUMMYFUNCTION("""COMPUTED_VALUE"""),"Sri Lanka")</f>
        <v>Sri Lanka</v>
      </c>
      <c r="G6" s="58"/>
      <c r="H6" s="57" t="str">
        <f>IFERROR(__xludf.DUMMYFUNCTION("""COMPUTED_VALUE"""),"27-05-2024")</f>
        <v>27-05-2024</v>
      </c>
      <c r="I6" s="57" t="str">
        <f>IFERROR(__xludf.DUMMYFUNCTION("""COMPUTED_VALUE"""),"SCMS")</f>
        <v>SCMS</v>
      </c>
      <c r="J6" s="57" t="str">
        <f>IFERROR(__xludf.DUMMYFUNCTION("""COMPUTED_VALUE"""),"NA")</f>
        <v>NA</v>
      </c>
      <c r="K6" s="57" t="str">
        <f>IFERROR(__xludf.DUMMYFUNCTION("""COMPUTED_VALUE"""),"Kudlu Gate")</f>
        <v>Kudlu Gate</v>
      </c>
      <c r="L6" s="59" t="str">
        <f>IFERROR(__xludf.DUMMYFUNCTION("""COMPUTED_VALUE"""),"https://drive.google.com/drive/folders/1KtjKDSYPB7MKZM-0coCqF6V2hV9oSdJh?usp=drive_link")</f>
        <v>https://drive.google.com/drive/folders/1KtjKDSYPB7MKZM-0coCqF6V2hV9oSdJh?usp=drive_link</v>
      </c>
    </row>
    <row r="7">
      <c r="B7" s="57" t="str">
        <f>IFERROR(__xludf.DUMMYFUNCTION("""COMPUTED_VALUE"""),"Completed")</f>
        <v>Completed</v>
      </c>
      <c r="C7" s="57" t="str">
        <f>IFERROR(__xludf.DUMMYFUNCTION("""COMPUTED_VALUE"""),"Visiting Scholar")</f>
        <v>Visiting Scholar</v>
      </c>
      <c r="D7" s="57" t="str">
        <f>IFERROR(__xludf.DUMMYFUNCTION("""COMPUTED_VALUE"""),"Prof. Svatopluk Kapounek, Professor")</f>
        <v>Prof. Svatopluk Kapounek, Professor</v>
      </c>
      <c r="E7" s="57" t="str">
        <f>IFERROR(__xludf.DUMMYFUNCTION("""COMPUTED_VALUE"""),"Mendel University in Brno")</f>
        <v>Mendel University in Brno</v>
      </c>
      <c r="F7" s="57" t="str">
        <f>IFERROR(__xludf.DUMMYFUNCTION("""COMPUTED_VALUE"""),"Czech Republic")</f>
        <v>Czech Republic</v>
      </c>
      <c r="G7" s="58"/>
      <c r="H7" s="57" t="str">
        <f>IFERROR(__xludf.DUMMYFUNCTION("""COMPUTED_VALUE"""),"9/3/2024")</f>
        <v>9/3/2024</v>
      </c>
      <c r="I7" s="57" t="str">
        <f>IFERROR(__xludf.DUMMYFUNCTION("""COMPUTED_VALUE"""),"SCMS")</f>
        <v>SCMS</v>
      </c>
      <c r="J7" s="57" t="str">
        <f>IFERROR(__xludf.DUMMYFUNCTION("""COMPUTED_VALUE"""),"NA")</f>
        <v>NA</v>
      </c>
      <c r="K7" s="57" t="str">
        <f>IFERROR(__xludf.DUMMYFUNCTION("""COMPUTED_VALUE"""),"Kudlu Gate")</f>
        <v>Kudlu Gate</v>
      </c>
      <c r="L7" s="57"/>
    </row>
    <row r="8">
      <c r="B8" s="57" t="str">
        <f>IFERROR(__xludf.DUMMYFUNCTION("""COMPUTED_VALUE"""),"Completed")</f>
        <v>Completed</v>
      </c>
      <c r="C8" s="57" t="str">
        <f>IFERROR(__xludf.DUMMYFUNCTION("""COMPUTED_VALUE"""),"Visiting Scholar")</f>
        <v>Visiting Scholar</v>
      </c>
      <c r="D8" s="57" t="str">
        <f>IFERROR(__xludf.DUMMYFUNCTION("""COMPUTED_VALUE"""),"Mr. Steve Mckenna, Associate Professor")</f>
        <v>Mr. Steve Mckenna, Associate Professor</v>
      </c>
      <c r="E8" s="57" t="str">
        <f>IFERROR(__xludf.DUMMYFUNCTION("""COMPUTED_VALUE"""),"Curtin University")</f>
        <v>Curtin University</v>
      </c>
      <c r="F8" s="57" t="str">
        <f>IFERROR(__xludf.DUMMYFUNCTION("""COMPUTED_VALUE"""),"Australia")</f>
        <v>Australia</v>
      </c>
      <c r="G8" s="58">
        <f>IFERROR(__xludf.DUMMYFUNCTION("""COMPUTED_VALUE"""),45631.0)</f>
        <v>45631</v>
      </c>
      <c r="H8" s="57" t="str">
        <f>IFERROR(__xludf.DUMMYFUNCTION("""COMPUTED_VALUE"""),"17-05-2024")</f>
        <v>17-05-2024</v>
      </c>
      <c r="I8" s="57" t="str">
        <f>IFERROR(__xludf.DUMMYFUNCTION("""COMPUTED_VALUE"""),"SCMS")</f>
        <v>SCMS</v>
      </c>
      <c r="J8" s="57" t="str">
        <f>IFERROR(__xludf.DUMMYFUNCTION("""COMPUTED_VALUE"""),"NA")</f>
        <v>NA</v>
      </c>
      <c r="K8" s="57" t="str">
        <f>IFERROR(__xludf.DUMMYFUNCTION("""COMPUTED_VALUE"""),"Kudlu Gate")</f>
        <v>Kudlu Gate</v>
      </c>
      <c r="L8" s="59" t="str">
        <f>IFERROR(__xludf.DUMMYFUNCTION("""COMPUTED_VALUE"""),"https://drive.google.com/drive/folders/1plkAM48E5Hndvk5d3-OFTFh4iT0LRBKd?usp=drive_link")</f>
        <v>https://drive.google.com/drive/folders/1plkAM48E5Hndvk5d3-OFTFh4iT0LRBKd?usp=drive_link</v>
      </c>
    </row>
    <row r="9">
      <c r="B9" s="57" t="str">
        <f>IFERROR(__xludf.DUMMYFUNCTION("""COMPUTED_VALUE"""),"Completed")</f>
        <v>Completed</v>
      </c>
      <c r="C9" s="57" t="str">
        <f>IFERROR(__xludf.DUMMYFUNCTION("""COMPUTED_VALUE"""),"Visiting Scholar")</f>
        <v>Visiting Scholar</v>
      </c>
      <c r="D9" s="57" t="str">
        <f>IFERROR(__xludf.DUMMYFUNCTION("""COMPUTED_VALUE"""),"Dr. Andreas Hermanutz Professor")</f>
        <v>Dr. Andreas Hermanutz Professor</v>
      </c>
      <c r="E9" s="57" t="str">
        <f>IFERROR(__xludf.DUMMYFUNCTION("""COMPUTED_VALUE"""),"TUM University")</f>
        <v>TUM University</v>
      </c>
      <c r="F9" s="57" t="str">
        <f>IFERROR(__xludf.DUMMYFUNCTION("""COMPUTED_VALUE"""),"Singapore")</f>
        <v>Singapore</v>
      </c>
      <c r="G9" s="58"/>
      <c r="H9" s="57" t="str">
        <f>IFERROR(__xludf.DUMMYFUNCTION("""COMPUTED_VALUE"""),"5/10/2024")</f>
        <v>5/10/2024</v>
      </c>
      <c r="I9" s="57" t="str">
        <f>IFERROR(__xludf.DUMMYFUNCTION("""COMPUTED_VALUE"""),"SCMS")</f>
        <v>SCMS</v>
      </c>
      <c r="J9" s="57" t="str">
        <f>IFERROR(__xludf.DUMMYFUNCTION("""COMPUTED_VALUE"""),"NA")</f>
        <v>NA</v>
      </c>
      <c r="K9" s="57" t="str">
        <f>IFERROR(__xludf.DUMMYFUNCTION("""COMPUTED_VALUE"""),"Kudlu Gate")</f>
        <v>Kudlu Gate</v>
      </c>
      <c r="L9" s="59" t="str">
        <f>IFERROR(__xludf.DUMMYFUNCTION("""COMPUTED_VALUE"""),"https://drive.google.com/drive/folders/1b5910AFWfNGcNP-EnKEgjiw80EI4hbBa?usp=drive_link")</f>
        <v>https://drive.google.com/drive/folders/1b5910AFWfNGcNP-EnKEgjiw80EI4hbBa?usp=drive_link</v>
      </c>
    </row>
    <row r="10">
      <c r="B10" s="57" t="str">
        <f>IFERROR(__xludf.DUMMYFUNCTION("""COMPUTED_VALUE"""),"Completed")</f>
        <v>Completed</v>
      </c>
      <c r="C10" s="57" t="str">
        <f>IFERROR(__xludf.DUMMYFUNCTION("""COMPUTED_VALUE"""),"Visiting Scholar")</f>
        <v>Visiting Scholar</v>
      </c>
      <c r="D10" s="57" t="str">
        <f>IFERROR(__xludf.DUMMYFUNCTION("""COMPUTED_VALUE"""),"Dr. Sandeep Patil")</f>
        <v>Dr. Sandeep Patil</v>
      </c>
      <c r="E10" s="57" t="str">
        <f>IFERROR(__xludf.DUMMYFUNCTION("""COMPUTED_VALUE"""),"RWTH Achen")</f>
        <v>RWTH Achen</v>
      </c>
      <c r="F10" s="57" t="str">
        <f>IFERROR(__xludf.DUMMYFUNCTION("""COMPUTED_VALUE"""),"Germany")</f>
        <v>Germany</v>
      </c>
      <c r="G10" s="58"/>
      <c r="H10" s="57" t="str">
        <f>IFERROR(__xludf.DUMMYFUNCTION("""COMPUTED_VALUE"""),"19-10-2024")</f>
        <v>19-10-2024</v>
      </c>
      <c r="I10" s="57" t="str">
        <f>IFERROR(__xludf.DUMMYFUNCTION("""COMPUTED_VALUE"""),"SOE")</f>
        <v>SOE</v>
      </c>
      <c r="J10" s="57" t="str">
        <f>IFERROR(__xludf.DUMMYFUNCTION("""COMPUTED_VALUE"""),"NA")</f>
        <v>NA</v>
      </c>
      <c r="K10" s="57" t="str">
        <f>IFERROR(__xludf.DUMMYFUNCTION("""COMPUTED_VALUE"""),"Harohalli")</f>
        <v>Harohalli</v>
      </c>
      <c r="L10" s="57"/>
    </row>
    <row r="11">
      <c r="B11" s="57" t="str">
        <f>IFERROR(__xludf.DUMMYFUNCTION("""COMPUTED_VALUE"""),"Completed")</f>
        <v>Completed</v>
      </c>
      <c r="C11" s="57" t="str">
        <f>IFERROR(__xludf.DUMMYFUNCTION("""COMPUTED_VALUE"""),"Visiting Scholar")</f>
        <v>Visiting Scholar</v>
      </c>
      <c r="D11" s="57" t="str">
        <f>IFERROR(__xludf.DUMMYFUNCTION("""COMPUTED_VALUE"""),"Prof. Vlamider Pavelyev")</f>
        <v>Prof. Vlamider Pavelyev</v>
      </c>
      <c r="E11" s="57" t="str">
        <f>IFERROR(__xludf.DUMMYFUNCTION("""COMPUTED_VALUE"""),"Samara National Research University")</f>
        <v>Samara National Research University</v>
      </c>
      <c r="F11" s="57" t="str">
        <f>IFERROR(__xludf.DUMMYFUNCTION("""COMPUTED_VALUE"""),"Russia")</f>
        <v>Russia</v>
      </c>
      <c r="G11" s="58">
        <f>IFERROR(__xludf.DUMMYFUNCTION("""COMPUTED_VALUE"""),45362.0)</f>
        <v>45362</v>
      </c>
      <c r="H11" s="57" t="str">
        <f>IFERROR(__xludf.DUMMYFUNCTION("""COMPUTED_VALUE"""),"17-11-2024")</f>
        <v>17-11-2024</v>
      </c>
      <c r="I11" s="57" t="str">
        <f>IFERROR(__xludf.DUMMYFUNCTION("""COMPUTED_VALUE"""),"SOE")</f>
        <v>SOE</v>
      </c>
      <c r="J11" s="57" t="str">
        <f>IFERROR(__xludf.DUMMYFUNCTION("""COMPUTED_VALUE"""),"NA")</f>
        <v>NA</v>
      </c>
      <c r="K11" s="57" t="str">
        <f>IFERROR(__xludf.DUMMYFUNCTION("""COMPUTED_VALUE"""),"Harohalli")</f>
        <v>Harohalli</v>
      </c>
      <c r="L11" s="59" t="str">
        <f>IFERROR(__xludf.DUMMYFUNCTION("""COMPUTED_VALUE"""),"https://drive.google.com/drive/folders/1ZSlxc9fvbpSkXdgYtlS4zJAfXcHIphTO?usp=drive_link")</f>
        <v>https://drive.google.com/drive/folders/1ZSlxc9fvbpSkXdgYtlS4zJAfXcHIphTO?usp=drive_link</v>
      </c>
    </row>
    <row r="12">
      <c r="B12" s="57" t="str">
        <f>IFERROR(__xludf.DUMMYFUNCTION("""COMPUTED_VALUE"""),"Completed")</f>
        <v>Completed</v>
      </c>
      <c r="C12" s="57" t="str">
        <f>IFERROR(__xludf.DUMMYFUNCTION("""COMPUTED_VALUE"""),"Visiting Scholar")</f>
        <v>Visiting Scholar</v>
      </c>
      <c r="D12" s="57" t="str">
        <f>IFERROR(__xludf.DUMMYFUNCTION("""COMPUTED_VALUE"""),"Dr. Kennt Rouse")</f>
        <v>Dr. Kennt Rouse</v>
      </c>
      <c r="E12" s="57" t="str">
        <f>IFERROR(__xludf.DUMMYFUNCTION("""COMPUTED_VALUE"""),"LeTourneau")</f>
        <v>LeTourneau</v>
      </c>
      <c r="F12" s="57" t="str">
        <f>IFERROR(__xludf.DUMMYFUNCTION("""COMPUTED_VALUE"""),"US")</f>
        <v>US</v>
      </c>
      <c r="G12" s="58">
        <f>IFERROR(__xludf.DUMMYFUNCTION("""COMPUTED_VALUE"""),45516.0)</f>
        <v>45516</v>
      </c>
      <c r="H12" s="57" t="str">
        <f>IFERROR(__xludf.DUMMYFUNCTION("""COMPUTED_VALUE"""),"14-12-2024")</f>
        <v>14-12-2024</v>
      </c>
      <c r="I12" s="57" t="str">
        <f>IFERROR(__xludf.DUMMYFUNCTION("""COMPUTED_VALUE"""),"SOE")</f>
        <v>SOE</v>
      </c>
      <c r="J12" s="57" t="str">
        <f>IFERROR(__xludf.DUMMYFUNCTION("""COMPUTED_VALUE"""),"NA")</f>
        <v>NA</v>
      </c>
      <c r="K12" s="57" t="str">
        <f>IFERROR(__xludf.DUMMYFUNCTION("""COMPUTED_VALUE"""),"Harohalli")</f>
        <v>Harohalli</v>
      </c>
      <c r="L12" s="59" t="str">
        <f>IFERROR(__xludf.DUMMYFUNCTION("""COMPUTED_VALUE"""),"https://drive.google.com/drive/folders/1ZexcNblZgEfgvTyz6lmjt7fygoNmW1SX?usp=drive_link")</f>
        <v>https://drive.google.com/drive/folders/1ZexcNblZgEfgvTyz6lmjt7fygoNmW1SX?usp=drive_link</v>
      </c>
    </row>
    <row r="13">
      <c r="B13" s="57" t="str">
        <f>IFERROR(__xludf.DUMMYFUNCTION("""COMPUTED_VALUE"""),"Completed")</f>
        <v>Completed</v>
      </c>
      <c r="C13" s="57" t="str">
        <f>IFERROR(__xludf.DUMMYFUNCTION("""COMPUTED_VALUE"""),"Visiting Scholar")</f>
        <v>Visiting Scholar</v>
      </c>
      <c r="D13" s="57" t="str">
        <f>IFERROR(__xludf.DUMMYFUNCTION("""COMPUTED_VALUE"""),"Prof. Florian Holzapfel")</f>
        <v>Prof. Florian Holzapfel</v>
      </c>
      <c r="E13" s="57" t="str">
        <f>IFERROR(__xludf.DUMMYFUNCTION("""COMPUTED_VALUE"""),"TUM")</f>
        <v>TUM</v>
      </c>
      <c r="F13" s="57" t="str">
        <f>IFERROR(__xludf.DUMMYFUNCTION("""COMPUTED_VALUE"""),"Germany")</f>
        <v>Germany</v>
      </c>
      <c r="G13" s="58">
        <f>IFERROR(__xludf.DUMMYFUNCTION("""COMPUTED_VALUE"""),45902.0)</f>
        <v>45902</v>
      </c>
      <c r="H13" s="57" t="str">
        <f>IFERROR(__xludf.DUMMYFUNCTION("""COMPUTED_VALUE"""),"14-02-2025")</f>
        <v>14-02-2025</v>
      </c>
      <c r="I13" s="57" t="str">
        <f>IFERROR(__xludf.DUMMYFUNCTION("""COMPUTED_VALUE"""),"SOE")</f>
        <v>SOE</v>
      </c>
      <c r="J13" s="57" t="str">
        <f>IFERROR(__xludf.DUMMYFUNCTION("""COMPUTED_VALUE"""),"NA")</f>
        <v>NA</v>
      </c>
      <c r="K13" s="57" t="str">
        <f>IFERROR(__xludf.DUMMYFUNCTION("""COMPUTED_VALUE"""),"Harohalli")</f>
        <v>Harohalli</v>
      </c>
      <c r="L13" s="59" t="str">
        <f>IFERROR(__xludf.DUMMYFUNCTION("""COMPUTED_VALUE"""),"https://drive.google.com/drive/folders/1M81KKk8X_Nh4wkvSBXDAApOFo87MRRWJ?usp=drive_link")</f>
        <v>https://drive.google.com/drive/folders/1M81KKk8X_Nh4wkvSBXDAApOFo87MRRWJ?usp=drive_link</v>
      </c>
    </row>
    <row r="14">
      <c r="B14" s="57" t="str">
        <f>IFERROR(__xludf.DUMMYFUNCTION("""COMPUTED_VALUE"""),"Completed")</f>
        <v>Completed</v>
      </c>
      <c r="C14" s="57" t="str">
        <f>IFERROR(__xludf.DUMMYFUNCTION("""COMPUTED_VALUE"""),"Visiting Scholar")</f>
        <v>Visiting Scholar</v>
      </c>
      <c r="D14" s="57" t="str">
        <f>IFERROR(__xludf.DUMMYFUNCTION("""COMPUTED_VALUE"""),"Pawan Kumar Mishra,")</f>
        <v>Pawan Kumar Mishra,</v>
      </c>
      <c r="E14" s="57" t="str">
        <f>IFERROR(__xludf.DUMMYFUNCTION("""COMPUTED_VALUE"""),"Mendel University")</f>
        <v>Mendel University</v>
      </c>
      <c r="F14" s="57" t="str">
        <f>IFERROR(__xludf.DUMMYFUNCTION("""COMPUTED_VALUE"""),"Czech Republic")</f>
        <v>Czech Republic</v>
      </c>
      <c r="G14" s="58">
        <f>IFERROR(__xludf.DUMMYFUNCTION("""COMPUTED_VALUE"""),45932.0)</f>
        <v>45932</v>
      </c>
      <c r="H14" s="57" t="str">
        <f>IFERROR(__xludf.DUMMYFUNCTION("""COMPUTED_VALUE"""),"15-02-2025")</f>
        <v>15-02-2025</v>
      </c>
      <c r="I14" s="57" t="str">
        <f>IFERROR(__xludf.DUMMYFUNCTION("""COMPUTED_VALUE"""),"SOE")</f>
        <v>SOE</v>
      </c>
      <c r="J14" s="57" t="str">
        <f>IFERROR(__xludf.DUMMYFUNCTION("""COMPUTED_VALUE"""),"NA")</f>
        <v>NA</v>
      </c>
      <c r="K14" s="57" t="str">
        <f>IFERROR(__xludf.DUMMYFUNCTION("""COMPUTED_VALUE"""),"Harohalli")</f>
        <v>Harohalli</v>
      </c>
      <c r="L14" s="59" t="str">
        <f>IFERROR(__xludf.DUMMYFUNCTION("""COMPUTED_VALUE"""),"https://drive.google.com/drive/folders/1ub-L8bi7zwx45dhn-eFDlOLfmh-1-rjG?usp=drive_link")</f>
        <v>https://drive.google.com/drive/folders/1ub-L8bi7zwx45dhn-eFDlOLfmh-1-rjG?usp=drive_link</v>
      </c>
    </row>
    <row r="15">
      <c r="B15" s="57" t="str">
        <f>IFERROR(__xludf.DUMMYFUNCTION("""COMPUTED_VALUE"""),"Completed")</f>
        <v>Completed</v>
      </c>
      <c r="C15" s="57" t="str">
        <f>IFERROR(__xludf.DUMMYFUNCTION("""COMPUTED_VALUE"""),"Visiting Scholar")</f>
        <v>Visiting Scholar</v>
      </c>
      <c r="D15" s="57" t="str">
        <f>IFERROR(__xludf.DUMMYFUNCTION("""COMPUTED_VALUE"""),"Dr. Kalaivani Chellappan")</f>
        <v>Dr. Kalaivani Chellappan</v>
      </c>
      <c r="E15" s="57" t="str">
        <f>IFERROR(__xludf.DUMMYFUNCTION("""COMPUTED_VALUE"""),"University Kebangsaan")</f>
        <v>University Kebangsaan</v>
      </c>
      <c r="F15" s="57" t="str">
        <f>IFERROR(__xludf.DUMMYFUNCTION("""COMPUTED_VALUE"""),"Malaysia")</f>
        <v>Malaysia</v>
      </c>
      <c r="G15" s="58">
        <f>IFERROR(__xludf.DUMMYFUNCTION("""COMPUTED_VALUE"""),45750.0)</f>
        <v>45750</v>
      </c>
      <c r="H15" s="57" t="str">
        <f>IFERROR(__xludf.DUMMYFUNCTION("""COMPUTED_VALUE"""),"6/3/2025")</f>
        <v>6/3/2025</v>
      </c>
      <c r="I15" s="57" t="str">
        <f>IFERROR(__xludf.DUMMYFUNCTION("""COMPUTED_VALUE"""),"SOE")</f>
        <v>SOE</v>
      </c>
      <c r="J15" s="57" t="str">
        <f>IFERROR(__xludf.DUMMYFUNCTION("""COMPUTED_VALUE"""),"NA")</f>
        <v>NA</v>
      </c>
      <c r="K15" s="57" t="str">
        <f>IFERROR(__xludf.DUMMYFUNCTION("""COMPUTED_VALUE"""),"Harohalli")</f>
        <v>Harohalli</v>
      </c>
      <c r="L15" s="59" t="str">
        <f>IFERROR(__xludf.DUMMYFUNCTION("""COMPUTED_VALUE"""),"https://drive.google.com/drive/folders/1s5zYuWW0-xaxxwlrixYGZbB62PHq2eqG?usp=drive_link")</f>
        <v>https://drive.google.com/drive/folders/1s5zYuWW0-xaxxwlrixYGZbB62PHq2eqG?usp=drive_link</v>
      </c>
    </row>
    <row r="16">
      <c r="B16" s="57" t="str">
        <f>IFERROR(__xludf.DUMMYFUNCTION("""COMPUTED_VALUE"""),"Completed")</f>
        <v>Completed</v>
      </c>
      <c r="C16" s="57" t="str">
        <f>IFERROR(__xludf.DUMMYFUNCTION("""COMPUTED_VALUE"""),"Visiting Scholar")</f>
        <v>Visiting Scholar</v>
      </c>
      <c r="D16" s="57" t="str">
        <f>IFERROR(__xludf.DUMMYFUNCTION("""COMPUTED_VALUE"""),"Dr. Sc. Prof. Mikhail N. Rychagov")</f>
        <v>Dr. Sc. Prof. Mikhail N. Rychagov</v>
      </c>
      <c r="E16" s="57" t="str">
        <f>IFERROR(__xludf.DUMMYFUNCTION("""COMPUTED_VALUE"""),"MIET")</f>
        <v>MIET</v>
      </c>
      <c r="F16" s="57" t="str">
        <f>IFERROR(__xludf.DUMMYFUNCTION("""COMPUTED_VALUE"""),"Russia")</f>
        <v>Russia</v>
      </c>
      <c r="G16" s="58"/>
      <c r="H16" s="57" t="str">
        <f>IFERROR(__xludf.DUMMYFUNCTION("""COMPUTED_VALUE"""),"25-03-2025")</f>
        <v>25-03-2025</v>
      </c>
      <c r="I16" s="57" t="str">
        <f>IFERROR(__xludf.DUMMYFUNCTION("""COMPUTED_VALUE"""),"SOE")</f>
        <v>SOE</v>
      </c>
      <c r="J16" s="57" t="str">
        <f>IFERROR(__xludf.DUMMYFUNCTION("""COMPUTED_VALUE"""),"NA")</f>
        <v>NA</v>
      </c>
      <c r="K16" s="57" t="str">
        <f>IFERROR(__xludf.DUMMYFUNCTION("""COMPUTED_VALUE"""),"Harohalli")</f>
        <v>Harohalli</v>
      </c>
      <c r="L16" s="59" t="str">
        <f>IFERROR(__xludf.DUMMYFUNCTION("""COMPUTED_VALUE"""),"https://drive.google.com/drive/folders/1iKaGTEuCi0zH3muBpezuGcSn2UwYV4Hx?usp=drive_link")</f>
        <v>https://drive.google.com/drive/folders/1iKaGTEuCi0zH3muBpezuGcSn2UwYV4Hx?usp=drive_link</v>
      </c>
    </row>
    <row r="17">
      <c r="B17" s="57" t="str">
        <f>IFERROR(__xludf.DUMMYFUNCTION("""COMPUTED_VALUE"""),"Completed")</f>
        <v>Completed</v>
      </c>
      <c r="C17" s="57" t="str">
        <f>IFERROR(__xludf.DUMMYFUNCTION("""COMPUTED_VALUE"""),"Visiting Scholar")</f>
        <v>Visiting Scholar</v>
      </c>
      <c r="D17" s="57" t="str">
        <f>IFERROR(__xludf.DUMMYFUNCTION("""COMPUTED_VALUE"""),"Prof. Ramanayake Chaminda Dilhanake Hettiarachchi, Professor")</f>
        <v>Prof. Ramanayake Chaminda Dilhanake Hettiarachchi, Professor</v>
      </c>
      <c r="E17" s="57" t="str">
        <f>IFERROR(__xludf.DUMMYFUNCTION("""COMPUTED_VALUE"""),"Sri Lanka")</f>
        <v>Sri Lanka</v>
      </c>
      <c r="F17" s="57" t="str">
        <f>IFERROR(__xludf.DUMMYFUNCTION("""COMPUTED_VALUE"""),"Sri Lanka")</f>
        <v>Sri Lanka</v>
      </c>
      <c r="G17" s="58"/>
      <c r="H17" s="57" t="str">
        <f>IFERROR(__xludf.DUMMYFUNCTION("""COMPUTED_VALUE"""),"29-06-2025")</f>
        <v>29-06-2025</v>
      </c>
      <c r="I17" s="57" t="str">
        <f>IFERROR(__xludf.DUMMYFUNCTION("""COMPUTED_VALUE"""),"SCMS")</f>
        <v>SCMS</v>
      </c>
      <c r="J17" s="57" t="str">
        <f>IFERROR(__xludf.DUMMYFUNCTION("""COMPUTED_VALUE"""),"NA")</f>
        <v>NA</v>
      </c>
      <c r="K17" s="57" t="str">
        <f>IFERROR(__xludf.DUMMYFUNCTION("""COMPUTED_VALUE"""),"Kudlu Gate")</f>
        <v>Kudlu Gate</v>
      </c>
      <c r="L17" s="57"/>
    </row>
    <row r="18">
      <c r="B18" s="57" t="str">
        <f>IFERROR(__xludf.DUMMYFUNCTION("""COMPUTED_VALUE"""),"Completed")</f>
        <v>Completed</v>
      </c>
      <c r="C18" s="57" t="str">
        <f>IFERROR(__xludf.DUMMYFUNCTION("""COMPUTED_VALUE"""),"Sabbatical Scholar")</f>
        <v>Sabbatical Scholar</v>
      </c>
      <c r="D18" s="57" t="str">
        <f>IFERROR(__xludf.DUMMYFUNCTION("""COMPUTED_VALUE"""),"Prof. Ashok Kaushal")</f>
        <v>Prof. Ashok Kaushal</v>
      </c>
      <c r="E18" s="57" t="str">
        <f>IFERROR(__xludf.DUMMYFUNCTION("""COMPUTED_VALUE"""),"Concordia University")</f>
        <v>Concordia University</v>
      </c>
      <c r="F18" s="57" t="str">
        <f>IFERROR(__xludf.DUMMYFUNCTION("""COMPUTED_VALUE"""),"CANADA")</f>
        <v>CANADA</v>
      </c>
      <c r="G18" s="58"/>
      <c r="H18" s="57" t="str">
        <f>IFERROR(__xludf.DUMMYFUNCTION("""COMPUTED_VALUE"""),"15-09-2025")</f>
        <v>15-09-2025</v>
      </c>
      <c r="I18" s="57" t="str">
        <f>IFERROR(__xludf.DUMMYFUNCTION("""COMPUTED_VALUE"""),"SOE")</f>
        <v>SOE</v>
      </c>
      <c r="J18" s="57" t="str">
        <f>IFERROR(__xludf.DUMMYFUNCTION("""COMPUTED_VALUE"""),"NA")</f>
        <v>NA</v>
      </c>
      <c r="K18" s="57" t="str">
        <f>IFERROR(__xludf.DUMMYFUNCTION("""COMPUTED_VALUE"""),"Harohalli")</f>
        <v>Harohalli</v>
      </c>
      <c r="L18" s="57"/>
    </row>
    <row r="19">
      <c r="B19" s="57" t="str">
        <f>IFERROR(__xludf.DUMMYFUNCTION("""COMPUTED_VALUE"""),"Completed")</f>
        <v>Completed</v>
      </c>
      <c r="C19" s="57" t="str">
        <f>IFERROR(__xludf.DUMMYFUNCTION("""COMPUTED_VALUE"""),"Visiting Scholar")</f>
        <v>Visiting Scholar</v>
      </c>
      <c r="D19" s="57" t="str">
        <f>IFERROR(__xludf.DUMMYFUNCTION("""COMPUTED_VALUE"""),"Dr. Sc. Prof. Mikhail N. Rychagov")</f>
        <v>Dr. Sc. Prof. Mikhail N. Rychagov</v>
      </c>
      <c r="E19" s="57" t="str">
        <f>IFERROR(__xludf.DUMMYFUNCTION("""COMPUTED_VALUE"""),"MIET")</f>
        <v>MIET</v>
      </c>
      <c r="F19" s="57" t="str">
        <f>IFERROR(__xludf.DUMMYFUNCTION("""COMPUTED_VALUE"""),"Russia")</f>
        <v>Russia</v>
      </c>
      <c r="G19" s="58">
        <f>IFERROR(__xludf.DUMMYFUNCTION("""COMPUTED_VALUE"""),45847.0)</f>
        <v>45847</v>
      </c>
      <c r="H19" s="57" t="str">
        <f>IFERROR(__xludf.DUMMYFUNCTION("""COMPUTED_VALUE"""),"18-09-2025")</f>
        <v>18-09-2025</v>
      </c>
      <c r="I19" s="57" t="str">
        <f>IFERROR(__xludf.DUMMYFUNCTION("""COMPUTED_VALUE"""),"SOE")</f>
        <v>SOE</v>
      </c>
      <c r="J19" s="57" t="str">
        <f>IFERROR(__xludf.DUMMYFUNCTION("""COMPUTED_VALUE"""),"NA")</f>
        <v>NA</v>
      </c>
      <c r="K19" s="57" t="str">
        <f>IFERROR(__xludf.DUMMYFUNCTION("""COMPUTED_VALUE"""),"Harohalli")</f>
        <v>Harohalli</v>
      </c>
      <c r="L19" s="57"/>
    </row>
  </sheetData>
  <hyperlinks>
    <hyperlink display="RETURN TO DASHBOARD" location="Dashboard!A1" ref="A1"/>
    <hyperlink r:id="rId1" ref="L2"/>
    <hyperlink r:id="rId2" ref="L3"/>
    <hyperlink r:id="rId3" ref="L4"/>
    <hyperlink r:id="rId4" ref="L5"/>
    <hyperlink r:id="rId5" ref="L6"/>
    <hyperlink r:id="rId6" ref="L8"/>
    <hyperlink r:id="rId7" ref="L9"/>
    <hyperlink r:id="rId8" ref="L11"/>
    <hyperlink r:id="rId9" ref="L12"/>
    <hyperlink r:id="rId10" ref="L13"/>
    <hyperlink r:id="rId11" ref="L14"/>
    <hyperlink r:id="rId12" ref="L15"/>
    <hyperlink r:id="rId13" ref="L16"/>
  </hyperlinks>
  <drawing r:id="rId14"/>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38"/>
    <col customWidth="1" min="3" max="3" width="8.63"/>
    <col customWidth="1" min="4" max="4" width="22.88"/>
    <col customWidth="1" min="6" max="6" width="16.75"/>
    <col customWidth="1" min="8" max="8" width="15.63"/>
    <col customWidth="1" min="10" max="10" width="16.38"/>
    <col customWidth="1" min="11" max="11" width="10.0"/>
    <col customWidth="1" min="12" max="12" width="17.0"/>
    <col customWidth="1" min="13" max="13" width="30.63"/>
  </cols>
  <sheetData>
    <row r="1">
      <c r="A1" s="43" t="s">
        <v>1258</v>
      </c>
      <c r="B1" s="45" t="str">
        <f>IFERROR(__xludf.DUMMYFUNCTION("QUERY('Form Responses 1'!A:AAC, ""SELECT AZ, BA, BB, BC, BD, BE, BF, BG, BH, BI, BJ, BK WHERE C = 'MoU Update'"", 1)"),"Date")</f>
        <v>Date</v>
      </c>
      <c r="C1" s="45" t="str">
        <f>IFERROR(__xludf.DUMMYFUNCTION("""COMPUTED_VALUE"""),"Country ")</f>
        <v>Country </v>
      </c>
      <c r="D1" s="45" t="str">
        <f>IFERROR(__xludf.DUMMYFUNCTION("""COMPUTED_VALUE"""),"University")</f>
        <v>University</v>
      </c>
      <c r="E1" s="45" t="str">
        <f>IFERROR(__xludf.DUMMYFUNCTION("""COMPUTED_VALUE"""),"Department")</f>
        <v>Department</v>
      </c>
      <c r="F1" s="45" t="str">
        <f>IFERROR(__xludf.DUMMYFUNCTION("""COMPUTED_VALUE"""),"Completed Date")</f>
        <v>Completed Date</v>
      </c>
      <c r="G1" s="45" t="str">
        <f>IFERROR(__xludf.DUMMYFUNCTION("""COMPUTED_VALUE"""),"MoU Status ")</f>
        <v>MoU Status </v>
      </c>
      <c r="H1" s="45" t="str">
        <f>IFERROR(__xludf.DUMMYFUNCTION("""COMPUTED_VALUE"""),"Contact Person ")</f>
        <v>Contact Person </v>
      </c>
      <c r="I1" s="45" t="str">
        <f>IFERROR(__xludf.DUMMYFUNCTION("""COMPUTED_VALUE"""),"Contact Email")</f>
        <v>Contact Email</v>
      </c>
      <c r="J1" s="45" t="str">
        <f>IFERROR(__xludf.DUMMYFUNCTION("""COMPUTED_VALUE"""),"Agreement Type")</f>
        <v>Agreement Type</v>
      </c>
      <c r="K1" s="45" t="str">
        <f>IFERROR(__xludf.DUMMYFUNCTION("""COMPUTED_VALUE"""),"Term")</f>
        <v>Term</v>
      </c>
      <c r="L1" s="45" t="str">
        <f>IFERROR(__xludf.DUMMYFUNCTION("""COMPUTED_VALUE"""),"Validity Status ")</f>
        <v>Validity Status </v>
      </c>
      <c r="M1" s="45" t="str">
        <f>IFERROR(__xludf.DUMMYFUNCTION("""COMPUTED_VALUE"""),"MoU Update  Upload Zip FIle")</f>
        <v>MoU Update  Upload Zip FIle</v>
      </c>
      <c r="N1" s="46"/>
      <c r="O1" s="46"/>
      <c r="P1" s="46"/>
      <c r="Q1" s="46"/>
      <c r="R1" s="46"/>
      <c r="S1" s="46"/>
      <c r="T1" s="46"/>
      <c r="U1" s="46"/>
      <c r="V1" s="46"/>
      <c r="W1" s="46"/>
      <c r="X1" s="46"/>
      <c r="Y1" s="46"/>
      <c r="Z1" s="46"/>
      <c r="AA1" s="46"/>
    </row>
    <row r="2">
      <c r="A2" s="60"/>
      <c r="B2" s="61">
        <f>IFERROR(__xludf.DUMMYFUNCTION("""COMPUTED_VALUE"""),45685.0)</f>
        <v>45685</v>
      </c>
      <c r="C2" s="60" t="str">
        <f>IFERROR(__xludf.DUMMYFUNCTION("""COMPUTED_VALUE"""),"USA")</f>
        <v>USA</v>
      </c>
      <c r="D2" s="60" t="str">
        <f>IFERROR(__xludf.DUMMYFUNCTION("""COMPUTED_VALUE"""),"Illinois Tech")</f>
        <v>Illinois Tech</v>
      </c>
      <c r="E2" s="60" t="str">
        <f>IFERROR(__xludf.DUMMYFUNCTION("""COMPUTED_VALUE"""),"Enginerring")</f>
        <v>Enginerring</v>
      </c>
      <c r="F2" s="61">
        <f>IFERROR(__xludf.DUMMYFUNCTION("""COMPUTED_VALUE"""),46414.0)</f>
        <v>46414</v>
      </c>
      <c r="G2" s="60" t="str">
        <f>IFERROR(__xludf.DUMMYFUNCTION("""COMPUTED_VALUE"""),"Completed")</f>
        <v>Completed</v>
      </c>
      <c r="H2" s="60" t="str">
        <f>IFERROR(__xludf.DUMMYFUNCTION("""COMPUTED_VALUE"""),"Dr. Mariamma")</f>
        <v>Dr. Mariamma</v>
      </c>
      <c r="I2" s="60" t="str">
        <f>IFERROR(__xludf.DUMMYFUNCTION("""COMPUTED_VALUE"""),"mthomas29@iit.edu")</f>
        <v>mthomas29@iit.edu</v>
      </c>
      <c r="J2" s="60" t="str">
        <f>IFERROR(__xludf.DUMMYFUNCTION("""COMPUTED_VALUE"""),"MoU")</f>
        <v>MoU</v>
      </c>
      <c r="K2" s="60" t="str">
        <f>IFERROR(__xludf.DUMMYFUNCTION("""COMPUTED_VALUE"""),"2 years ")</f>
        <v>2 years </v>
      </c>
      <c r="L2" s="60" t="str">
        <f>IFERROR(__xludf.DUMMYFUNCTION("""COMPUTED_VALUE"""),"Active")</f>
        <v>Active</v>
      </c>
      <c r="M2" s="62" t="str">
        <f>IFERROR(__xludf.DUMMYFUNCTION("""COMPUTED_VALUE"""),"https://drive.google.com/open?id=1C5C3EQ-6pumrBp_q66BiZWwSoUFS2lAL")</f>
        <v>https://drive.google.com/open?id=1C5C3EQ-6pumrBp_q66BiZWwSoUFS2lAL</v>
      </c>
    </row>
    <row r="3">
      <c r="A3" s="60"/>
      <c r="B3" s="61">
        <f>IFERROR(__xludf.DUMMYFUNCTION("""COMPUTED_VALUE"""),45778.0)</f>
        <v>45778</v>
      </c>
      <c r="C3" s="60" t="str">
        <f>IFERROR(__xludf.DUMMYFUNCTION("""COMPUTED_VALUE"""),"USA")</f>
        <v>USA</v>
      </c>
      <c r="D3" s="60" t="str">
        <f>IFERROR(__xludf.DUMMYFUNCTION("""COMPUTED_VALUE"""),"University of Evansville")</f>
        <v>University of Evansville</v>
      </c>
      <c r="E3" s="60" t="str">
        <f>IFERROR(__xludf.DUMMYFUNCTION("""COMPUTED_VALUE"""),"Engineering")</f>
        <v>Engineering</v>
      </c>
      <c r="F3" s="61">
        <f>IFERROR(__xludf.DUMMYFUNCTION("""COMPUTED_VALUE"""),45769.0)</f>
        <v>45769</v>
      </c>
      <c r="G3" s="60" t="str">
        <f>IFERROR(__xludf.DUMMYFUNCTION("""COMPUTED_VALUE"""),"Completed")</f>
        <v>Completed</v>
      </c>
      <c r="H3" s="60" t="str">
        <f>IFERROR(__xludf.DUMMYFUNCTION("""COMPUTED_VALUE"""),"Suresh Immanuel")</f>
        <v>Suresh Immanuel</v>
      </c>
      <c r="I3" s="60" t="str">
        <f>IFERROR(__xludf.DUMMYFUNCTION("""COMPUTED_VALUE"""),"ss476@evansville.edu")</f>
        <v>ss476@evansville.edu</v>
      </c>
      <c r="J3" s="60" t="str">
        <f>IFERROR(__xludf.DUMMYFUNCTION("""COMPUTED_VALUE"""),"MoU")</f>
        <v>MoU</v>
      </c>
      <c r="K3" s="60" t="str">
        <f>IFERROR(__xludf.DUMMYFUNCTION("""COMPUTED_VALUE"""),"3 years ")</f>
        <v>3 years </v>
      </c>
      <c r="L3" s="60" t="str">
        <f>IFERROR(__xludf.DUMMYFUNCTION("""COMPUTED_VALUE"""),"Active")</f>
        <v>Active</v>
      </c>
      <c r="M3" s="62" t="str">
        <f>IFERROR(__xludf.DUMMYFUNCTION("""COMPUTED_VALUE"""),"https://drive.google.com/open?id=1wdej1MOJt0_HvwOElyLAwLBW9dopLl8G")</f>
        <v>https://drive.google.com/open?id=1wdej1MOJt0_HvwOElyLAwLBW9dopLl8G</v>
      </c>
    </row>
    <row r="4">
      <c r="A4" s="60"/>
      <c r="B4" s="61">
        <f>IFERROR(__xludf.DUMMYFUNCTION("""COMPUTED_VALUE"""),45756.0)</f>
        <v>45756</v>
      </c>
      <c r="C4" s="60" t="str">
        <f>IFERROR(__xludf.DUMMYFUNCTION("""COMPUTED_VALUE"""),"USA")</f>
        <v>USA</v>
      </c>
      <c r="D4" s="60" t="str">
        <f>IFERROR(__xludf.DUMMYFUNCTION("""COMPUTED_VALUE"""),"University at Buffalo")</f>
        <v>University at Buffalo</v>
      </c>
      <c r="E4" s="60" t="str">
        <f>IFERROR(__xludf.DUMMYFUNCTION("""COMPUTED_VALUE"""),"Engineering")</f>
        <v>Engineering</v>
      </c>
      <c r="F4" s="61">
        <f>IFERROR(__xludf.DUMMYFUNCTION("""COMPUTED_VALUE"""),45904.0)</f>
        <v>45904</v>
      </c>
      <c r="G4" s="60" t="str">
        <f>IFERROR(__xludf.DUMMYFUNCTION("""COMPUTED_VALUE"""),"In Process")</f>
        <v>In Process</v>
      </c>
      <c r="H4" s="60" t="str">
        <f>IFERROR(__xludf.DUMMYFUNCTION("""COMPUTED_VALUE""")," Abhyuday Pai ")</f>
        <v> Abhyuday Pai </v>
      </c>
      <c r="I4" s="60" t="str">
        <f>IFERROR(__xludf.DUMMYFUNCTION("""COMPUTED_VALUE"""),"apai3@buffalo.edu")</f>
        <v>apai3@buffalo.edu</v>
      </c>
      <c r="J4" s="60" t="str">
        <f>IFERROR(__xludf.DUMMYFUNCTION("""COMPUTED_VALUE"""),"MoU")</f>
        <v>MoU</v>
      </c>
      <c r="K4" s="60" t="str">
        <f>IFERROR(__xludf.DUMMYFUNCTION("""COMPUTED_VALUE"""),"Not specified ")</f>
        <v>Not specified </v>
      </c>
      <c r="L4" s="60" t="str">
        <f>IFERROR(__xludf.DUMMYFUNCTION("""COMPUTED_VALUE"""),"Expiring Soon")</f>
        <v>Expiring Soon</v>
      </c>
      <c r="M4" s="62" t="str">
        <f>IFERROR(__xludf.DUMMYFUNCTION("""COMPUTED_VALUE"""),"https://drive.google.com/open?id=1nMO3Vv6tYZTCaYnj_EgHsc1RAhBtrVlq")</f>
        <v>https://drive.google.com/open?id=1nMO3Vv6tYZTCaYnj_EgHsc1RAhBtrVlq</v>
      </c>
    </row>
    <row r="5">
      <c r="A5" s="60"/>
      <c r="B5" s="61">
        <f>IFERROR(__xludf.DUMMYFUNCTION("""COMPUTED_VALUE"""),45819.0)</f>
        <v>45819</v>
      </c>
      <c r="C5" s="60" t="str">
        <f>IFERROR(__xludf.DUMMYFUNCTION("""COMPUTED_VALUE"""),"USA")</f>
        <v>USA</v>
      </c>
      <c r="D5" s="60" t="str">
        <f>IFERROR(__xludf.DUMMYFUNCTION("""COMPUTED_VALUE"""),"The University of Central Oklahoma")</f>
        <v>The University of Central Oklahoma</v>
      </c>
      <c r="E5" s="60" t="str">
        <f>IFERROR(__xludf.DUMMYFUNCTION("""COMPUTED_VALUE"""),"Design")</f>
        <v>Design</v>
      </c>
      <c r="F5" s="61">
        <f>IFERROR(__xludf.DUMMYFUNCTION("""COMPUTED_VALUE"""),45769.0)</f>
        <v>45769</v>
      </c>
      <c r="G5" s="60" t="str">
        <f>IFERROR(__xludf.DUMMYFUNCTION("""COMPUTED_VALUE"""),"In Process")</f>
        <v>In Process</v>
      </c>
      <c r="H5" s="60" t="str">
        <f>IFERROR(__xludf.DUMMYFUNCTION("""COMPUTED_VALUE"""),"G A Prasad")</f>
        <v>G A Prasad</v>
      </c>
      <c r="I5" s="60" t="str">
        <f>IFERROR(__xludf.DUMMYFUNCTION("""COMPUTED_VALUE"""),"gprasad@uco.edu")</f>
        <v>gprasad@uco.edu</v>
      </c>
      <c r="J5" s="60" t="str">
        <f>IFERROR(__xludf.DUMMYFUNCTION("""COMPUTED_VALUE"""),"MoU")</f>
        <v>MoU</v>
      </c>
      <c r="K5" s="60" t="str">
        <f>IFERROR(__xludf.DUMMYFUNCTION("""COMPUTED_VALUE"""),"5 years")</f>
        <v>5 years</v>
      </c>
      <c r="L5" s="60" t="str">
        <f>IFERROR(__xludf.DUMMYFUNCTION("""COMPUTED_VALUE"""),"Active")</f>
        <v>Active</v>
      </c>
      <c r="M5" s="62" t="str">
        <f>IFERROR(__xludf.DUMMYFUNCTION("""COMPUTED_VALUE"""),"https://drive.google.com/open?id=1UoiVd2hSCcxWmSmjbe40ROALgWKkbVT3")</f>
        <v>https://drive.google.com/open?id=1UoiVd2hSCcxWmSmjbe40ROALgWKkbVT3</v>
      </c>
    </row>
    <row r="6">
      <c r="A6" s="60"/>
      <c r="B6" s="61">
        <f>IFERROR(__xludf.DUMMYFUNCTION("""COMPUTED_VALUE"""),45903.0)</f>
        <v>45903</v>
      </c>
      <c r="C6" s="60" t="str">
        <f>IFERROR(__xludf.DUMMYFUNCTION("""COMPUTED_VALUE"""),"USA")</f>
        <v>USA</v>
      </c>
      <c r="D6" s="60" t="str">
        <f>IFERROR(__xludf.DUMMYFUNCTION("""COMPUTED_VALUE"""),"Aurora University")</f>
        <v>Aurora University</v>
      </c>
      <c r="E6" s="60" t="str">
        <f>IFERROR(__xludf.DUMMYFUNCTION("""COMPUTED_VALUE"""),"Engineering")</f>
        <v>Engineering</v>
      </c>
      <c r="F6" s="61">
        <f>IFERROR(__xludf.DUMMYFUNCTION("""COMPUTED_VALUE"""),45904.0)</f>
        <v>45904</v>
      </c>
      <c r="G6" s="60" t="str">
        <f>IFERROR(__xludf.DUMMYFUNCTION("""COMPUTED_VALUE"""),"In Process")</f>
        <v>In Process</v>
      </c>
      <c r="H6" s="60" t="str">
        <f>IFERROR(__xludf.DUMMYFUNCTION("""COMPUTED_VALUE"""),"Harish")</f>
        <v>Harish</v>
      </c>
      <c r="I6" s="62" t="str">
        <f>IFERROR(__xludf.DUMMYFUNCTION("""COMPUTED_VALUE"""),"mailto:harish@campususaedu.com")</f>
        <v>mailto:harish@campususaedu.com</v>
      </c>
      <c r="J6" s="60" t="str">
        <f>IFERROR(__xludf.DUMMYFUNCTION("""COMPUTED_VALUE"""),"MoU")</f>
        <v>MoU</v>
      </c>
      <c r="K6" s="60" t="str">
        <f>IFERROR(__xludf.DUMMYFUNCTION("""COMPUTED_VALUE"""),"5 years")</f>
        <v>5 years</v>
      </c>
      <c r="L6" s="60" t="str">
        <f>IFERROR(__xludf.DUMMYFUNCTION("""COMPUTED_VALUE"""),"Active")</f>
        <v>Active</v>
      </c>
      <c r="M6" s="62" t="str">
        <f>IFERROR(__xludf.DUMMYFUNCTION("""COMPUTED_VALUE"""),"https://drive.google.com/open?id=1aVzH6vGUvWmnFOBWHchZ6QLpUeWST6oS")</f>
        <v>https://drive.google.com/open?id=1aVzH6vGUvWmnFOBWHchZ6QLpUeWST6oS</v>
      </c>
    </row>
    <row r="7">
      <c r="A7" s="60"/>
      <c r="B7" s="61">
        <f>IFERROR(__xludf.DUMMYFUNCTION("""COMPUTED_VALUE"""),45306.0)</f>
        <v>45306</v>
      </c>
      <c r="C7" s="60" t="str">
        <f>IFERROR(__xludf.DUMMYFUNCTION("""COMPUTED_VALUE"""),"USA")</f>
        <v>USA</v>
      </c>
      <c r="D7" s="60" t="str">
        <f>IFERROR(__xludf.DUMMYFUNCTION("""COMPUTED_VALUE"""),"WORCESTER POLYTECHNIC INSTITUTE")</f>
        <v>WORCESTER POLYTECHNIC INSTITUTE</v>
      </c>
      <c r="E7" s="60" t="str">
        <f>IFERROR(__xludf.DUMMYFUNCTION("""COMPUTED_VALUE"""),"Engineering")</f>
        <v>Engineering</v>
      </c>
      <c r="F7" s="61">
        <f>IFERROR(__xludf.DUMMYFUNCTION("""COMPUTED_VALUE"""),45314.0)</f>
        <v>45314</v>
      </c>
      <c r="G7" s="60" t="str">
        <f>IFERROR(__xludf.DUMMYFUNCTION("""COMPUTED_VALUE"""),"Completed")</f>
        <v>Completed</v>
      </c>
      <c r="H7" s="60" t="str">
        <f>IFERROR(__xludf.DUMMYFUNCTION("""COMPUTED_VALUE"""),"Kumar Panyam")</f>
        <v>Kumar Panyam</v>
      </c>
      <c r="I7" s="60" t="str">
        <f>IFERROR(__xludf.DUMMYFUNCTION("""COMPUTED_VALUE"""),"skumar4@wpi.edu")</f>
        <v>skumar4@wpi.edu</v>
      </c>
      <c r="J7" s="60" t="str">
        <f>IFERROR(__xludf.DUMMYFUNCTION("""COMPUTED_VALUE"""),"MoU")</f>
        <v>MoU</v>
      </c>
      <c r="K7" s="60" t="str">
        <f>IFERROR(__xludf.DUMMYFUNCTION("""COMPUTED_VALUE"""),"5 years")</f>
        <v>5 years</v>
      </c>
      <c r="L7" s="60" t="str">
        <f>IFERROR(__xludf.DUMMYFUNCTION("""COMPUTED_VALUE"""),"Active")</f>
        <v>Active</v>
      </c>
      <c r="M7" s="62" t="str">
        <f>IFERROR(__xludf.DUMMYFUNCTION("""COMPUTED_VALUE"""),"https://drive.google.com/open?id=1qBs4nrKLVpPwZlqwOYh3M0gCzZ19nzqS")</f>
        <v>https://drive.google.com/open?id=1qBs4nrKLVpPwZlqwOYh3M0gCzZ19nzqS</v>
      </c>
    </row>
    <row r="8">
      <c r="A8" s="60"/>
      <c r="B8" s="61">
        <f>IFERROR(__xludf.DUMMYFUNCTION("""COMPUTED_VALUE"""),45329.0)</f>
        <v>45329</v>
      </c>
      <c r="C8" s="60" t="str">
        <f>IFERROR(__xludf.DUMMYFUNCTION("""COMPUTED_VALUE"""),"USA")</f>
        <v>USA</v>
      </c>
      <c r="D8" s="60" t="str">
        <f>IFERROR(__xludf.DUMMYFUNCTION("""COMPUTED_VALUE"""),"Western Connecticut State University")</f>
        <v>Western Connecticut State University</v>
      </c>
      <c r="E8" s="60" t="str">
        <f>IFERROR(__xludf.DUMMYFUNCTION("""COMPUTED_VALUE"""),"Engineering")</f>
        <v>Engineering</v>
      </c>
      <c r="F8" s="61">
        <f>IFERROR(__xludf.DUMMYFUNCTION("""COMPUTED_VALUE"""),45552.0)</f>
        <v>45552</v>
      </c>
      <c r="G8" s="60" t="str">
        <f>IFERROR(__xludf.DUMMYFUNCTION("""COMPUTED_VALUE"""),"Completed")</f>
        <v>Completed</v>
      </c>
      <c r="H8" s="60" t="str">
        <f>IFERROR(__xludf.DUMMYFUNCTION("""COMPUTED_VALUE"""),"Manohar Singh")</f>
        <v>Manohar Singh</v>
      </c>
      <c r="I8" s="60" t="str">
        <f>IFERROR(__xludf.DUMMYFUNCTION("""COMPUTED_VALUE"""),"singhm@wcsu.edu")</f>
        <v>singhm@wcsu.edu</v>
      </c>
      <c r="J8" s="60" t="str">
        <f>IFERROR(__xludf.DUMMYFUNCTION("""COMPUTED_VALUE"""),"MoU")</f>
        <v>MoU</v>
      </c>
      <c r="K8" s="60" t="str">
        <f>IFERROR(__xludf.DUMMYFUNCTION("""COMPUTED_VALUE"""),"1 year")</f>
        <v>1 year</v>
      </c>
      <c r="L8" s="60" t="str">
        <f>IFERROR(__xludf.DUMMYFUNCTION("""COMPUTED_VALUE"""),"Active")</f>
        <v>Active</v>
      </c>
      <c r="M8" s="62" t="str">
        <f>IFERROR(__xludf.DUMMYFUNCTION("""COMPUTED_VALUE"""),"https://drive.google.com/open?id=1DVhR1kSPh645DkN7fy8PRkiBFG_TrtIZ")</f>
        <v>https://drive.google.com/open?id=1DVhR1kSPh645DkN7fy8PRkiBFG_TrtIZ</v>
      </c>
    </row>
    <row r="9">
      <c r="A9" s="60"/>
      <c r="B9" s="61">
        <f>IFERROR(__xludf.DUMMYFUNCTION("""COMPUTED_VALUE"""),45342.0)</f>
        <v>45342</v>
      </c>
      <c r="C9" s="60" t="str">
        <f>IFERROR(__xludf.DUMMYFUNCTION("""COMPUTED_VALUE"""),"USA")</f>
        <v>USA</v>
      </c>
      <c r="D9" s="60" t="str">
        <f>IFERROR(__xludf.DUMMYFUNCTION("""COMPUTED_VALUE"""),"New York University")</f>
        <v>New York University</v>
      </c>
      <c r="E9" s="60" t="str">
        <f>IFERROR(__xludf.DUMMYFUNCTION("""COMPUTED_VALUE"""),"Business")</f>
        <v>Business</v>
      </c>
      <c r="F9" s="61">
        <f>IFERROR(__xludf.DUMMYFUNCTION("""COMPUTED_VALUE"""),45355.0)</f>
        <v>45355</v>
      </c>
      <c r="G9" s="60" t="str">
        <f>IFERROR(__xludf.DUMMYFUNCTION("""COMPUTED_VALUE"""),"Completed")</f>
        <v>Completed</v>
      </c>
      <c r="H9" s="60" t="str">
        <f>IFERROR(__xludf.DUMMYFUNCTION("""COMPUTED_VALUE"""),"Larry Fillian")</f>
        <v>Larry Fillian</v>
      </c>
      <c r="I9" s="60" t="str">
        <f>IFERROR(__xludf.DUMMYFUNCTION("""COMPUTED_VALUE"""),"Larry.fillian@nyu.edu")</f>
        <v>Larry.fillian@nyu.edu</v>
      </c>
      <c r="J9" s="60" t="str">
        <f>IFERROR(__xludf.DUMMYFUNCTION("""COMPUTED_VALUE"""),"MoU")</f>
        <v>MoU</v>
      </c>
      <c r="K9" s="60" t="str">
        <f>IFERROR(__xludf.DUMMYFUNCTION("""COMPUTED_VALUE"""),"3 years ")</f>
        <v>3 years </v>
      </c>
      <c r="L9" s="60" t="str">
        <f>IFERROR(__xludf.DUMMYFUNCTION("""COMPUTED_VALUE"""),"Active")</f>
        <v>Active</v>
      </c>
      <c r="M9" s="62" t="str">
        <f>IFERROR(__xludf.DUMMYFUNCTION("""COMPUTED_VALUE"""),"https://drive.google.com/open?id=1V4dacW9mwODxbw4bFjd5xwuh4sIRpyrA")</f>
        <v>https://drive.google.com/open?id=1V4dacW9mwODxbw4bFjd5xwuh4sIRpyrA</v>
      </c>
    </row>
    <row r="10">
      <c r="A10" s="60"/>
      <c r="B10" s="61">
        <f>IFERROR(__xludf.DUMMYFUNCTION("""COMPUTED_VALUE"""),45479.0)</f>
        <v>45479</v>
      </c>
      <c r="C10" s="60" t="str">
        <f>IFERROR(__xludf.DUMMYFUNCTION("""COMPUTED_VALUE"""),"USA")</f>
        <v>USA</v>
      </c>
      <c r="D10" s="60" t="str">
        <f>IFERROR(__xludf.DUMMYFUNCTION("""COMPUTED_VALUE"""),"Vermont Law School")</f>
        <v>Vermont Law School</v>
      </c>
      <c r="E10" s="60" t="str">
        <f>IFERROR(__xludf.DUMMYFUNCTION("""COMPUTED_VALUE"""),"Law")</f>
        <v>Law</v>
      </c>
      <c r="F10" s="61">
        <f>IFERROR(__xludf.DUMMYFUNCTION("""COMPUTED_VALUE"""),45534.0)</f>
        <v>45534</v>
      </c>
      <c r="G10" s="60" t="str">
        <f>IFERROR(__xludf.DUMMYFUNCTION("""COMPUTED_VALUE"""),"Completed")</f>
        <v>Completed</v>
      </c>
      <c r="H10" s="60" t="str">
        <f>IFERROR(__xludf.DUMMYFUNCTION("""COMPUTED_VALUE"""),"Ms. Marnie")</f>
        <v>Ms. Marnie</v>
      </c>
      <c r="I10" s="60" t="str">
        <f>IFERROR(__xludf.DUMMYFUNCTION("""COMPUTED_VALUE"""),"Larry.fillian@nyu.edu")</f>
        <v>Larry.fillian@nyu.edu</v>
      </c>
      <c r="J10" s="60" t="str">
        <f>IFERROR(__xludf.DUMMYFUNCTION("""COMPUTED_VALUE"""),"MoU")</f>
        <v>MoU</v>
      </c>
      <c r="K10" s="60" t="str">
        <f>IFERROR(__xludf.DUMMYFUNCTION("""COMPUTED_VALUE"""),"5 years")</f>
        <v>5 years</v>
      </c>
      <c r="L10" s="60" t="str">
        <f>IFERROR(__xludf.DUMMYFUNCTION("""COMPUTED_VALUE"""),"Active")</f>
        <v>Active</v>
      </c>
      <c r="M10" s="62" t="str">
        <f>IFERROR(__xludf.DUMMYFUNCTION("""COMPUTED_VALUE"""),"https://drive.google.com/open?id=1GCWsaV5zmPjKwnRp05iCbchQWiExTNIN")</f>
        <v>https://drive.google.com/open?id=1GCWsaV5zmPjKwnRp05iCbchQWiExTNIN</v>
      </c>
    </row>
    <row r="11">
      <c r="A11" s="60"/>
      <c r="B11" s="61">
        <f>IFERROR(__xludf.DUMMYFUNCTION("""COMPUTED_VALUE"""),45479.0)</f>
        <v>45479</v>
      </c>
      <c r="C11" s="60" t="str">
        <f>IFERROR(__xludf.DUMMYFUNCTION("""COMPUTED_VALUE"""),"USA")</f>
        <v>USA</v>
      </c>
      <c r="D11" s="60" t="str">
        <f>IFERROR(__xludf.DUMMYFUNCTION("""COMPUTED_VALUE"""),"Vermont Law School")</f>
        <v>Vermont Law School</v>
      </c>
      <c r="E11" s="60" t="str">
        <f>IFERROR(__xludf.DUMMYFUNCTION("""COMPUTED_VALUE"""),"Law")</f>
        <v>Law</v>
      </c>
      <c r="F11" s="61">
        <f>IFERROR(__xludf.DUMMYFUNCTION("""COMPUTED_VALUE"""),45534.0)</f>
        <v>45534</v>
      </c>
      <c r="G11" s="60" t="str">
        <f>IFERROR(__xludf.DUMMYFUNCTION("""COMPUTED_VALUE"""),"Completed")</f>
        <v>Completed</v>
      </c>
      <c r="H11" s="60" t="str">
        <f>IFERROR(__xludf.DUMMYFUNCTION("""COMPUTED_VALUE"""),"Ms. Marnie")</f>
        <v>Ms. Marnie</v>
      </c>
      <c r="I11" s="60" t="str">
        <f>IFERROR(__xludf.DUMMYFUNCTION("""COMPUTED_VALUE"""),"mavilaalvarez@vermontlaw.edu")</f>
        <v>mavilaalvarez@vermontlaw.edu</v>
      </c>
      <c r="J11" s="60" t="str">
        <f>IFERROR(__xludf.DUMMYFUNCTION("""COMPUTED_VALUE"""),"Student Exchange")</f>
        <v>Student Exchange</v>
      </c>
      <c r="K11" s="60" t="str">
        <f>IFERROR(__xludf.DUMMYFUNCTION("""COMPUTED_VALUE"""),"5 years")</f>
        <v>5 years</v>
      </c>
      <c r="L11" s="60" t="str">
        <f>IFERROR(__xludf.DUMMYFUNCTION("""COMPUTED_VALUE"""),"Active")</f>
        <v>Active</v>
      </c>
      <c r="M11" s="62" t="str">
        <f>IFERROR(__xludf.DUMMYFUNCTION("""COMPUTED_VALUE"""),"https://drive.google.com/open?id=1qAkPUt5XLPHkQXDxomSDBqAk2Y5maUig")</f>
        <v>https://drive.google.com/open?id=1qAkPUt5XLPHkQXDxomSDBqAk2Y5maUig</v>
      </c>
    </row>
    <row r="12">
      <c r="A12" s="60"/>
      <c r="B12" s="61">
        <f>IFERROR(__xludf.DUMMYFUNCTION("""COMPUTED_VALUE"""),45567.0)</f>
        <v>45567</v>
      </c>
      <c r="C12" s="60" t="str">
        <f>IFERROR(__xludf.DUMMYFUNCTION("""COMPUTED_VALUE"""),"USA")</f>
        <v>USA</v>
      </c>
      <c r="D12" s="60" t="str">
        <f>IFERROR(__xludf.DUMMYFUNCTION("""COMPUTED_VALUE"""),"Southern Connecticut State University")</f>
        <v>Southern Connecticut State University</v>
      </c>
      <c r="E12" s="60" t="str">
        <f>IFERROR(__xludf.DUMMYFUNCTION("""COMPUTED_VALUE"""),"Engineering")</f>
        <v>Engineering</v>
      </c>
      <c r="F12" s="61">
        <f>IFERROR(__xludf.DUMMYFUNCTION("""COMPUTED_VALUE"""),45572.0)</f>
        <v>45572</v>
      </c>
      <c r="G12" s="60" t="str">
        <f>IFERROR(__xludf.DUMMYFUNCTION("""COMPUTED_VALUE"""),"Completed")</f>
        <v>Completed</v>
      </c>
      <c r="H12" s="60" t="str">
        <f>IFERROR(__xludf.DUMMYFUNCTION("""COMPUTED_VALUE"""),"Suresh Venu Gopal")</f>
        <v>Suresh Venu Gopal</v>
      </c>
      <c r="I12" s="60" t="str">
        <f>IFERROR(__xludf.DUMMYFUNCTION("""COMPUTED_VALUE"""),"gantasalav1@southernct.edu")</f>
        <v>gantasalav1@southernct.edu</v>
      </c>
      <c r="J12" s="60" t="str">
        <f>IFERROR(__xludf.DUMMYFUNCTION("""COMPUTED_VALUE"""),"Student Exchange")</f>
        <v>Student Exchange</v>
      </c>
      <c r="K12" s="60" t="str">
        <f>IFERROR(__xludf.DUMMYFUNCTION("""COMPUTED_VALUE"""),"5 years")</f>
        <v>5 years</v>
      </c>
      <c r="L12" s="60" t="str">
        <f>IFERROR(__xludf.DUMMYFUNCTION("""COMPUTED_VALUE"""),"Active")</f>
        <v>Active</v>
      </c>
      <c r="M12" s="62" t="str">
        <f>IFERROR(__xludf.DUMMYFUNCTION("""COMPUTED_VALUE"""),"https://drive.google.com/open?id=1zer8o4GFIQXCksszInXRIcX9tz3_YEE8")</f>
        <v>https://drive.google.com/open?id=1zer8o4GFIQXCksszInXRIcX9tz3_YEE8</v>
      </c>
    </row>
    <row r="13">
      <c r="A13" s="60"/>
      <c r="B13" s="61">
        <f>IFERROR(__xludf.DUMMYFUNCTION("""COMPUTED_VALUE"""),45526.0)</f>
        <v>45526</v>
      </c>
      <c r="C13" s="60" t="str">
        <f>IFERROR(__xludf.DUMMYFUNCTION("""COMPUTED_VALUE"""),"UK")</f>
        <v>UK</v>
      </c>
      <c r="D13" s="60" t="str">
        <f>IFERROR(__xludf.DUMMYFUNCTION("""COMPUTED_VALUE"""),"THE UNIVERSITY OF WOLVERHAMPTON")</f>
        <v>THE UNIVERSITY OF WOLVERHAMPTON</v>
      </c>
      <c r="E13" s="60" t="str">
        <f>IFERROR(__xludf.DUMMYFUNCTION("""COMPUTED_VALUE"""),"Engineering")</f>
        <v>Engineering</v>
      </c>
      <c r="F13" s="61">
        <f>IFERROR(__xludf.DUMMYFUNCTION("""COMPUTED_VALUE"""),45546.0)</f>
        <v>45546</v>
      </c>
      <c r="G13" s="60" t="str">
        <f>IFERROR(__xludf.DUMMYFUNCTION("""COMPUTED_VALUE"""),"Completed")</f>
        <v>Completed</v>
      </c>
      <c r="H13" s="60" t="str">
        <f>IFERROR(__xludf.DUMMYFUNCTION("""COMPUTED_VALUE""")," suresh renukappa")</f>
        <v> suresh renukappa</v>
      </c>
      <c r="I13" s="60" t="str">
        <f>IFERROR(__xludf.DUMMYFUNCTION("""COMPUTED_VALUE"""),"Suresh.Renukappa@wlv.ac.uk")</f>
        <v>Suresh.Renukappa@wlv.ac.uk</v>
      </c>
      <c r="J13" s="60" t="str">
        <f>IFERROR(__xludf.DUMMYFUNCTION("""COMPUTED_VALUE"""),"MoU")</f>
        <v>MoU</v>
      </c>
      <c r="K13" s="60" t="str">
        <f>IFERROR(__xludf.DUMMYFUNCTION("""COMPUTED_VALUE"""),"5 years")</f>
        <v>5 years</v>
      </c>
      <c r="L13" s="60" t="str">
        <f>IFERROR(__xludf.DUMMYFUNCTION("""COMPUTED_VALUE"""),"Active")</f>
        <v>Active</v>
      </c>
      <c r="M13" s="62" t="str">
        <f>IFERROR(__xludf.DUMMYFUNCTION("""COMPUTED_VALUE"""),"https://drive.google.com/open?id=1fXewwbZQzf_ERyMYz7_q3ruCe4LPBWfU")</f>
        <v>https://drive.google.com/open?id=1fXewwbZQzf_ERyMYz7_q3ruCe4LPBWfU</v>
      </c>
    </row>
    <row r="14">
      <c r="A14" s="60"/>
      <c r="B14" s="61">
        <f>IFERROR(__xludf.DUMMYFUNCTION("""COMPUTED_VALUE"""),45604.0)</f>
        <v>45604</v>
      </c>
      <c r="C14" s="60" t="str">
        <f>IFERROR(__xludf.DUMMYFUNCTION("""COMPUTED_VALUE"""),"UK")</f>
        <v>UK</v>
      </c>
      <c r="D14" s="60" t="str">
        <f>IFERROR(__xludf.DUMMYFUNCTION("""COMPUTED_VALUE"""),"The University of Worcester")</f>
        <v>The University of Worcester</v>
      </c>
      <c r="E14" s="60" t="str">
        <f>IFERROR(__xludf.DUMMYFUNCTION("""COMPUTED_VALUE"""),"Enginerring")</f>
        <v>Enginerring</v>
      </c>
      <c r="F14" s="61">
        <f>IFERROR(__xludf.DUMMYFUNCTION("""COMPUTED_VALUE"""),45638.0)</f>
        <v>45638</v>
      </c>
      <c r="G14" s="60" t="str">
        <f>IFERROR(__xludf.DUMMYFUNCTION("""COMPUTED_VALUE"""),"Completed")</f>
        <v>Completed</v>
      </c>
      <c r="H14" s="60" t="str">
        <f>IFERROR(__xludf.DUMMYFUNCTION("""COMPUTED_VALUE"""),"Nick Slade")</f>
        <v>Nick Slade</v>
      </c>
      <c r="I14" s="60" t="str">
        <f>IFERROR(__xludf.DUMMYFUNCTION("""COMPUTED_VALUE"""),"n.slade@worc.ac.uk")</f>
        <v>n.slade@worc.ac.uk</v>
      </c>
      <c r="J14" s="60" t="str">
        <f>IFERROR(__xludf.DUMMYFUNCTION("""COMPUTED_VALUE"""),"MoU")</f>
        <v>MoU</v>
      </c>
      <c r="K14" s="60" t="str">
        <f>IFERROR(__xludf.DUMMYFUNCTION("""COMPUTED_VALUE"""),"3 years")</f>
        <v>3 years</v>
      </c>
      <c r="L14" s="60" t="str">
        <f>IFERROR(__xludf.DUMMYFUNCTION("""COMPUTED_VALUE"""),"Active")</f>
        <v>Active</v>
      </c>
      <c r="M14" s="62" t="str">
        <f>IFERROR(__xludf.DUMMYFUNCTION("""COMPUTED_VALUE"""),"https://drive.google.com/open?id=1_-3IlJ8O1puzE4-y3J78t78G5BJqvU90")</f>
        <v>https://drive.google.com/open?id=1_-3IlJ8O1puzE4-y3J78t78G5BJqvU90</v>
      </c>
    </row>
    <row r="15">
      <c r="A15" s="60"/>
      <c r="B15" s="61">
        <f>IFERROR(__xludf.DUMMYFUNCTION("""COMPUTED_VALUE"""),45676.0)</f>
        <v>45676</v>
      </c>
      <c r="C15" s="60" t="str">
        <f>IFERROR(__xludf.DUMMYFUNCTION("""COMPUTED_VALUE"""),"Ukraine")</f>
        <v>Ukraine</v>
      </c>
      <c r="D15" s="60" t="str">
        <f>IFERROR(__xludf.DUMMYFUNCTION("""COMPUTED_VALUE"""),"Nizhyn Mykola Gogol University")</f>
        <v>Nizhyn Mykola Gogol University</v>
      </c>
      <c r="E15" s="60" t="str">
        <f>IFERROR(__xludf.DUMMYFUNCTION("""COMPUTED_VALUE"""),"Engineering")</f>
        <v>Engineering</v>
      </c>
      <c r="F15" s="61">
        <f>IFERROR(__xludf.DUMMYFUNCTION("""COMPUTED_VALUE"""),45698.0)</f>
        <v>45698</v>
      </c>
      <c r="G15" s="60" t="str">
        <f>IFERROR(__xludf.DUMMYFUNCTION("""COMPUTED_VALUE"""),"Completed")</f>
        <v>Completed</v>
      </c>
      <c r="H15" s="60" t="str">
        <f>IFERROR(__xludf.DUMMYFUNCTION("""COMPUTED_VALUE"""),"Yevhen Plotnikov")</f>
        <v>Yevhen Plotnikov</v>
      </c>
      <c r="I15" s="60" t="str">
        <f>IFERROR(__xludf.DUMMYFUNCTION("""COMPUTED_VALUE"""),"plotnikov@ndu.edu.ua")</f>
        <v>plotnikov@ndu.edu.ua</v>
      </c>
      <c r="J15" s="60" t="str">
        <f>IFERROR(__xludf.DUMMYFUNCTION("""COMPUTED_VALUE"""),"MoU")</f>
        <v>MoU</v>
      </c>
      <c r="K15" s="60" t="str">
        <f>IFERROR(__xludf.DUMMYFUNCTION("""COMPUTED_VALUE"""),"5 years ")</f>
        <v>5 years </v>
      </c>
      <c r="L15" s="60" t="str">
        <f>IFERROR(__xludf.DUMMYFUNCTION("""COMPUTED_VALUE"""),"Active")</f>
        <v>Active</v>
      </c>
      <c r="M15" s="62" t="str">
        <f>IFERROR(__xludf.DUMMYFUNCTION("""COMPUTED_VALUE"""),"https://drive.google.com/open?id=12ysl-8ePoGYdWy4FjNDk6Y9s7wiyiLuX")</f>
        <v>https://drive.google.com/open?id=12ysl-8ePoGYdWy4FjNDk6Y9s7wiyiLuX</v>
      </c>
    </row>
    <row r="16">
      <c r="A16" s="60"/>
      <c r="B16" s="61">
        <f>IFERROR(__xludf.DUMMYFUNCTION("""COMPUTED_VALUE"""),45707.0)</f>
        <v>45707</v>
      </c>
      <c r="C16" s="60" t="str">
        <f>IFERROR(__xludf.DUMMYFUNCTION("""COMPUTED_VALUE"""),"Ukraine")</f>
        <v>Ukraine</v>
      </c>
      <c r="D16" s="60" t="str">
        <f>IFERROR(__xludf.DUMMYFUNCTION("""COMPUTED_VALUE"""),"Nizhyn Mykola Gogol University")</f>
        <v>Nizhyn Mykola Gogol University</v>
      </c>
      <c r="E16" s="60" t="str">
        <f>IFERROR(__xludf.DUMMYFUNCTION("""COMPUTED_VALUE"""),"Engineering")</f>
        <v>Engineering</v>
      </c>
      <c r="F16" s="61">
        <f>IFERROR(__xludf.DUMMYFUNCTION("""COMPUTED_VALUE"""),45698.0)</f>
        <v>45698</v>
      </c>
      <c r="G16" s="60" t="str">
        <f>IFERROR(__xludf.DUMMYFUNCTION("""COMPUTED_VALUE"""),"Completed")</f>
        <v>Completed</v>
      </c>
      <c r="H16" s="60" t="str">
        <f>IFERROR(__xludf.DUMMYFUNCTION("""COMPUTED_VALUE"""),"Yevhen Plotnikov")</f>
        <v>Yevhen Plotnikov</v>
      </c>
      <c r="I16" s="60" t="str">
        <f>IFERROR(__xludf.DUMMYFUNCTION("""COMPUTED_VALUE"""),"plotnikov@ndu.edu.ua")</f>
        <v>plotnikov@ndu.edu.ua</v>
      </c>
      <c r="J16" s="60" t="str">
        <f>IFERROR(__xludf.DUMMYFUNCTION("""COMPUTED_VALUE"""),"Student Exchange")</f>
        <v>Student Exchange</v>
      </c>
      <c r="K16" s="60" t="str">
        <f>IFERROR(__xludf.DUMMYFUNCTION("""COMPUTED_VALUE"""),"1 year ")</f>
        <v>1 year </v>
      </c>
      <c r="L16" s="60" t="str">
        <f>IFERROR(__xludf.DUMMYFUNCTION("""COMPUTED_VALUE"""),"Active")</f>
        <v>Active</v>
      </c>
      <c r="M16" s="62" t="str">
        <f>IFERROR(__xludf.DUMMYFUNCTION("""COMPUTED_VALUE"""),"https://drive.google.com/open?id=1vvvHHZh8Uf0kFOOwun_tO2wgFcMkdfO4")</f>
        <v>https://drive.google.com/open?id=1vvvHHZh8Uf0kFOOwun_tO2wgFcMkdfO4</v>
      </c>
    </row>
    <row r="17">
      <c r="A17" s="60"/>
      <c r="B17" s="61">
        <f>IFERROR(__xludf.DUMMYFUNCTION("""COMPUTED_VALUE"""),45756.0)</f>
        <v>45756</v>
      </c>
      <c r="C17" s="60" t="str">
        <f>IFERROR(__xludf.DUMMYFUNCTION("""COMPUTED_VALUE"""),"Ukraine")</f>
        <v>Ukraine</v>
      </c>
      <c r="D17" s="60" t="str">
        <f>IFERROR(__xludf.DUMMYFUNCTION("""COMPUTED_VALUE"""),"BUKOVINIAN STATE MEDICAL UNIVERSITY, CHERNIVTSI")</f>
        <v>BUKOVINIAN STATE MEDICAL UNIVERSITY, CHERNIVTSI</v>
      </c>
      <c r="E17" s="60" t="str">
        <f>IFERROR(__xludf.DUMMYFUNCTION("""COMPUTED_VALUE"""),"Medical")</f>
        <v>Medical</v>
      </c>
      <c r="F17" s="61">
        <f>IFERROR(__xludf.DUMMYFUNCTION("""COMPUTED_VALUE"""),45800.0)</f>
        <v>45800</v>
      </c>
      <c r="G17" s="60" t="str">
        <f>IFERROR(__xludf.DUMMYFUNCTION("""COMPUTED_VALUE"""),"Completed")</f>
        <v>Completed</v>
      </c>
      <c r="H17" s="60" t="str">
        <f>IFERROR(__xludf.DUMMYFUNCTION("""COMPUTED_VALUE"""),"Mariana Haidai")</f>
        <v>Mariana Haidai</v>
      </c>
      <c r="I17" s="60" t="str">
        <f>IFERROR(__xludf.DUMMYFUNCTION("""COMPUTED_VALUE"""),"office@bsmu.edu.ua")</f>
        <v>office@bsmu.edu.ua</v>
      </c>
      <c r="J17" s="60" t="str">
        <f>IFERROR(__xludf.DUMMYFUNCTION("""COMPUTED_VALUE"""),"MoU")</f>
        <v>MoU</v>
      </c>
      <c r="K17" s="60" t="str">
        <f>IFERROR(__xludf.DUMMYFUNCTION("""COMPUTED_VALUE"""),"5 years ")</f>
        <v>5 years </v>
      </c>
      <c r="L17" s="60" t="str">
        <f>IFERROR(__xludf.DUMMYFUNCTION("""COMPUTED_VALUE"""),"Active")</f>
        <v>Active</v>
      </c>
      <c r="M17" s="62" t="str">
        <f>IFERROR(__xludf.DUMMYFUNCTION("""COMPUTED_VALUE"""),"https://drive.google.com/open?id=1Ndk8jLyrhiOt9f54DyJYNg6kP7aOuBVo")</f>
        <v>https://drive.google.com/open?id=1Ndk8jLyrhiOt9f54DyJYNg6kP7aOuBVo</v>
      </c>
    </row>
    <row r="18">
      <c r="A18" s="60"/>
      <c r="B18" s="61">
        <f>IFERROR(__xludf.DUMMYFUNCTION("""COMPUTED_VALUE"""),45756.0)</f>
        <v>45756</v>
      </c>
      <c r="C18" s="60" t="str">
        <f>IFERROR(__xludf.DUMMYFUNCTION("""COMPUTED_VALUE"""),"Ukraine")</f>
        <v>Ukraine</v>
      </c>
      <c r="D18" s="60" t="str">
        <f>IFERROR(__xludf.DUMMYFUNCTION("""COMPUTED_VALUE"""),"Hryhori Skovoroda University in Pereiaslav")</f>
        <v>Hryhori Skovoroda University in Pereiaslav</v>
      </c>
      <c r="E18" s="60" t="str">
        <f>IFERROR(__xludf.DUMMYFUNCTION("""COMPUTED_VALUE"""),"Medical")</f>
        <v>Medical</v>
      </c>
      <c r="F18" s="61">
        <f>IFERROR(__xludf.DUMMYFUNCTION("""COMPUTED_VALUE"""),45800.0)</f>
        <v>45800</v>
      </c>
      <c r="G18" s="60" t="str">
        <f>IFERROR(__xludf.DUMMYFUNCTION("""COMPUTED_VALUE"""),"Completed")</f>
        <v>Completed</v>
      </c>
      <c r="H18" s="60" t="str">
        <f>IFERROR(__xludf.DUMMYFUNCTION("""COMPUTED_VALUE"""),"Oksana Kovtun")</f>
        <v>Oksana Kovtun</v>
      </c>
      <c r="I18" s="60" t="str">
        <f>IFERROR(__xludf.DUMMYFUNCTION("""COMPUTED_VALUE"""),"kovtunok@ukr.net")</f>
        <v>kovtunok@ukr.net</v>
      </c>
      <c r="J18" s="60" t="str">
        <f>IFERROR(__xludf.DUMMYFUNCTION("""COMPUTED_VALUE"""),"MoU")</f>
        <v>MoU</v>
      </c>
      <c r="K18" s="60" t="str">
        <f>IFERROR(__xludf.DUMMYFUNCTION("""COMPUTED_VALUE"""),"5 years ")</f>
        <v>5 years </v>
      </c>
      <c r="L18" s="60" t="str">
        <f>IFERROR(__xludf.DUMMYFUNCTION("""COMPUTED_VALUE"""),"Active")</f>
        <v>Active</v>
      </c>
      <c r="M18" s="62" t="str">
        <f>IFERROR(__xludf.DUMMYFUNCTION("""COMPUTED_VALUE"""),"https://drive.google.com/open?id=1fGnRvlYuCSuJQCrk6jo6s86irfz2Xk4o")</f>
        <v>https://drive.google.com/open?id=1fGnRvlYuCSuJQCrk6jo6s86irfz2Xk4o</v>
      </c>
    </row>
    <row r="19">
      <c r="A19" s="60"/>
      <c r="B19" s="61">
        <f>IFERROR(__xludf.DUMMYFUNCTION("""COMPUTED_VALUE"""),45756.0)</f>
        <v>45756</v>
      </c>
      <c r="C19" s="60" t="str">
        <f>IFERROR(__xludf.DUMMYFUNCTION("""COMPUTED_VALUE"""),"Ukraine")</f>
        <v>Ukraine</v>
      </c>
      <c r="D19" s="60" t="str">
        <f>IFERROR(__xludf.DUMMYFUNCTION("""COMPUTED_VALUE"""),"Dmytro Motornyi Tavria State Agrotechnological University")</f>
        <v>Dmytro Motornyi Tavria State Agrotechnological University</v>
      </c>
      <c r="E19" s="60" t="str">
        <f>IFERROR(__xludf.DUMMYFUNCTION("""COMPUTED_VALUE"""),"Engineering")</f>
        <v>Engineering</v>
      </c>
      <c r="F19" s="61">
        <f>IFERROR(__xludf.DUMMYFUNCTION("""COMPUTED_VALUE"""),45722.0)</f>
        <v>45722</v>
      </c>
      <c r="G19" s="60" t="str">
        <f>IFERROR(__xludf.DUMMYFUNCTION("""COMPUTED_VALUE"""),"Completed")</f>
        <v>Completed</v>
      </c>
      <c r="H19" s="60" t="str">
        <f>IFERROR(__xludf.DUMMYFUNCTION("""COMPUTED_VALUE"""),"Darya Legeza")</f>
        <v>Darya Legeza</v>
      </c>
      <c r="I19" s="60" t="str">
        <f>IFERROR(__xludf.DUMMYFUNCTION("""COMPUTED_VALUE"""),"vmz@tsatu.edu.ua")</f>
        <v>vmz@tsatu.edu.ua</v>
      </c>
      <c r="J19" s="60" t="str">
        <f>IFERROR(__xludf.DUMMYFUNCTION("""COMPUTED_VALUE"""),"MoU")</f>
        <v>MoU</v>
      </c>
      <c r="K19" s="60" t="str">
        <f>IFERROR(__xludf.DUMMYFUNCTION("""COMPUTED_VALUE"""),"5 years ")</f>
        <v>5 years </v>
      </c>
      <c r="L19" s="60" t="str">
        <f>IFERROR(__xludf.DUMMYFUNCTION("""COMPUTED_VALUE"""),"Active")</f>
        <v>Active</v>
      </c>
      <c r="M19" s="62" t="str">
        <f>IFERROR(__xludf.DUMMYFUNCTION("""COMPUTED_VALUE"""),"https://drive.google.com/open?id=1gCa0W3QNmvF7flRsjjUnjGekTemAtK7J")</f>
        <v>https://drive.google.com/open?id=1gCa0W3QNmvF7flRsjjUnjGekTemAtK7J</v>
      </c>
    </row>
    <row r="20">
      <c r="A20" s="60"/>
      <c r="B20" s="61">
        <f>IFERROR(__xludf.DUMMYFUNCTION("""COMPUTED_VALUE"""),45756.0)</f>
        <v>45756</v>
      </c>
      <c r="C20" s="60" t="str">
        <f>IFERROR(__xludf.DUMMYFUNCTION("""COMPUTED_VALUE"""),"Ukraine")</f>
        <v>Ukraine</v>
      </c>
      <c r="D20" s="60" t="str">
        <f>IFERROR(__xludf.DUMMYFUNCTION("""COMPUTED_VALUE"""),"Dmytro Motornyi Tavria State Agrotechnological University")</f>
        <v>Dmytro Motornyi Tavria State Agrotechnological University</v>
      </c>
      <c r="E20" s="60" t="str">
        <f>IFERROR(__xludf.DUMMYFUNCTION("""COMPUTED_VALUE"""),"Engineering")</f>
        <v>Engineering</v>
      </c>
      <c r="F20" s="61">
        <f>IFERROR(__xludf.DUMMYFUNCTION("""COMPUTED_VALUE"""),45722.0)</f>
        <v>45722</v>
      </c>
      <c r="G20" s="60" t="str">
        <f>IFERROR(__xludf.DUMMYFUNCTION("""COMPUTED_VALUE"""),"Completed")</f>
        <v>Completed</v>
      </c>
      <c r="H20" s="60" t="str">
        <f>IFERROR(__xludf.DUMMYFUNCTION("""COMPUTED_VALUE"""),"Darya Legeza")</f>
        <v>Darya Legeza</v>
      </c>
      <c r="I20" s="60" t="str">
        <f>IFERROR(__xludf.DUMMYFUNCTION("""COMPUTED_VALUE"""),"vmz@tsatu.edu.ua")</f>
        <v>vmz@tsatu.edu.ua</v>
      </c>
      <c r="J20" s="60" t="str">
        <f>IFERROR(__xludf.DUMMYFUNCTION("""COMPUTED_VALUE"""),"Student Exchange")</f>
        <v>Student Exchange</v>
      </c>
      <c r="K20" s="60" t="str">
        <f>IFERROR(__xludf.DUMMYFUNCTION("""COMPUTED_VALUE"""),"1 year ")</f>
        <v>1 year </v>
      </c>
      <c r="L20" s="60" t="str">
        <f>IFERROR(__xludf.DUMMYFUNCTION("""COMPUTED_VALUE"""),"Active")</f>
        <v>Active</v>
      </c>
      <c r="M20" s="62" t="str">
        <f>IFERROR(__xludf.DUMMYFUNCTION("""COMPUTED_VALUE"""),"https://drive.google.com/open?id=1Z58Cl_sxM9ouTWUEnzRMeDXmTyA3PyUw")</f>
        <v>https://drive.google.com/open?id=1Z58Cl_sxM9ouTWUEnzRMeDXmTyA3PyUw</v>
      </c>
    </row>
    <row r="21">
      <c r="A21" s="60"/>
      <c r="B21" s="61">
        <f>IFERROR(__xludf.DUMMYFUNCTION("""COMPUTED_VALUE"""),45762.0)</f>
        <v>45762</v>
      </c>
      <c r="C21" s="60" t="str">
        <f>IFERROR(__xludf.DUMMYFUNCTION("""COMPUTED_VALUE"""),"Ukraine")</f>
        <v>Ukraine</v>
      </c>
      <c r="D21" s="60" t="str">
        <f>IFERROR(__xludf.DUMMYFUNCTION("""COMPUTED_VALUE"""),"Dniprovsky State Technical University")</f>
        <v>Dniprovsky State Technical University</v>
      </c>
      <c r="E21" s="60" t="str">
        <f>IFERROR(__xludf.DUMMYFUNCTION("""COMPUTED_VALUE"""),"Engineering")</f>
        <v>Engineering</v>
      </c>
      <c r="F21" s="61">
        <f>IFERROR(__xludf.DUMMYFUNCTION("""COMPUTED_VALUE"""),45800.0)</f>
        <v>45800</v>
      </c>
      <c r="G21" s="60" t="str">
        <f>IFERROR(__xludf.DUMMYFUNCTION("""COMPUTED_VALUE"""),"Completed")</f>
        <v>Completed</v>
      </c>
      <c r="H21" s="60" t="str">
        <f>IFERROR(__xludf.DUMMYFUNCTION("""COMPUTED_VALUE"""),"Olena hlushchenko")</f>
        <v>Olena hlushchenko</v>
      </c>
      <c r="I21" s="60" t="str">
        <f>IFERROR(__xludf.DUMMYFUNCTION("""COMPUTED_VALUE"""),"dstu.cdp@gmail.com")</f>
        <v>dstu.cdp@gmail.com</v>
      </c>
      <c r="J21" s="60" t="str">
        <f>IFERROR(__xludf.DUMMYFUNCTION("""COMPUTED_VALUE"""),"MoU")</f>
        <v>MoU</v>
      </c>
      <c r="K21" s="60" t="str">
        <f>IFERROR(__xludf.DUMMYFUNCTION("""COMPUTED_VALUE"""),"5 years ")</f>
        <v>5 years </v>
      </c>
      <c r="L21" s="60" t="str">
        <f>IFERROR(__xludf.DUMMYFUNCTION("""COMPUTED_VALUE"""),"Active")</f>
        <v>Active</v>
      </c>
      <c r="M21" s="62" t="str">
        <f>IFERROR(__xludf.DUMMYFUNCTION("""COMPUTED_VALUE"""),"https://drive.google.com/open?id=1q-wFjGgoc2I5JNQ9s6mWCSsFvLgsXS7Y")</f>
        <v>https://drive.google.com/open?id=1q-wFjGgoc2I5JNQ9s6mWCSsFvLgsXS7Y</v>
      </c>
    </row>
    <row r="22">
      <c r="A22" s="60"/>
      <c r="B22" s="61">
        <f>IFERROR(__xludf.DUMMYFUNCTION("""COMPUTED_VALUE"""),45487.0)</f>
        <v>45487</v>
      </c>
      <c r="C22" s="60" t="str">
        <f>IFERROR(__xludf.DUMMYFUNCTION("""COMPUTED_VALUE"""),"Ukraine")</f>
        <v>Ukraine</v>
      </c>
      <c r="D22" s="60" t="str">
        <f>IFERROR(__xludf.DUMMYFUNCTION("""COMPUTED_VALUE"""),"Odessa National Economic University")</f>
        <v>Odessa National Economic University</v>
      </c>
      <c r="E22" s="60" t="str">
        <f>IFERROR(__xludf.DUMMYFUNCTION("""COMPUTED_VALUE"""),"Business")</f>
        <v>Business</v>
      </c>
      <c r="F22" s="61">
        <f>IFERROR(__xludf.DUMMYFUNCTION("""COMPUTED_VALUE"""),45530.0)</f>
        <v>45530</v>
      </c>
      <c r="G22" s="60" t="str">
        <f>IFERROR(__xludf.DUMMYFUNCTION("""COMPUTED_VALUE"""),"Completed")</f>
        <v>Completed</v>
      </c>
      <c r="H22" s="60" t="str">
        <f>IFERROR(__xludf.DUMMYFUNCTION("""COMPUTED_VALUE"""),"Alex Litvinov")</f>
        <v>Alex Litvinov</v>
      </c>
      <c r="I22" s="60" t="str">
        <f>IFERROR(__xludf.DUMMYFUNCTION("""COMPUTED_VALUE"""),"litvinov.o@oneu.edu.ua")</f>
        <v>litvinov.o@oneu.edu.ua</v>
      </c>
      <c r="J22" s="60" t="str">
        <f>IFERROR(__xludf.DUMMYFUNCTION("""COMPUTED_VALUE"""),"MoU")</f>
        <v>MoU</v>
      </c>
      <c r="K22" s="60" t="str">
        <f>IFERROR(__xludf.DUMMYFUNCTION("""COMPUTED_VALUE"""),"5 years")</f>
        <v>5 years</v>
      </c>
      <c r="L22" s="60" t="str">
        <f>IFERROR(__xludf.DUMMYFUNCTION("""COMPUTED_VALUE"""),"Active")</f>
        <v>Active</v>
      </c>
      <c r="M22" s="62" t="str">
        <f>IFERROR(__xludf.DUMMYFUNCTION("""COMPUTED_VALUE"""),"https://drive.google.com/open?id=18GGf5qF6bP7PyjSSWjPGujZDUNEdLRol")</f>
        <v>https://drive.google.com/open?id=18GGf5qF6bP7PyjSSWjPGujZDUNEdLRol</v>
      </c>
    </row>
    <row r="23">
      <c r="A23" s="60"/>
      <c r="B23" s="61">
        <f>IFERROR(__xludf.DUMMYFUNCTION("""COMPUTED_VALUE"""),45587.0)</f>
        <v>45587</v>
      </c>
      <c r="C23" s="60" t="str">
        <f>IFERROR(__xludf.DUMMYFUNCTION("""COMPUTED_VALUE"""),"Uganda")</f>
        <v>Uganda</v>
      </c>
      <c r="D23" s="60" t="str">
        <f>IFERROR(__xludf.DUMMYFUNCTION("""COMPUTED_VALUE"""),"King Ceasor University")</f>
        <v>King Ceasor University</v>
      </c>
      <c r="E23" s="60" t="str">
        <f>IFERROR(__xludf.DUMMYFUNCTION("""COMPUTED_VALUE"""),"Engineering")</f>
        <v>Engineering</v>
      </c>
      <c r="F23" s="61">
        <f>IFERROR(__xludf.DUMMYFUNCTION("""COMPUTED_VALUE"""),45593.0)</f>
        <v>45593</v>
      </c>
      <c r="G23" s="60" t="str">
        <f>IFERROR(__xludf.DUMMYFUNCTION("""COMPUTED_VALUE"""),"Completed")</f>
        <v>Completed</v>
      </c>
      <c r="H23" s="60" t="str">
        <f>IFERROR(__xludf.DUMMYFUNCTION("""COMPUTED_VALUE"""),"Alfred Namoah")</f>
        <v>Alfred Namoah</v>
      </c>
      <c r="I23" s="60" t="str">
        <f>IFERROR(__xludf.DUMMYFUNCTION("""COMPUTED_VALUE"""),"international@kcu.ac.ug")</f>
        <v>international@kcu.ac.ug</v>
      </c>
      <c r="J23" s="60" t="str">
        <f>IFERROR(__xludf.DUMMYFUNCTION("""COMPUTED_VALUE"""),"MoU")</f>
        <v>MoU</v>
      </c>
      <c r="K23" s="60" t="str">
        <f>IFERROR(__xludf.DUMMYFUNCTION("""COMPUTED_VALUE"""),"5 years ")</f>
        <v>5 years </v>
      </c>
      <c r="L23" s="60" t="str">
        <f>IFERROR(__xludf.DUMMYFUNCTION("""COMPUTED_VALUE"""),"Active")</f>
        <v>Active</v>
      </c>
      <c r="M23" s="62" t="str">
        <f>IFERROR(__xludf.DUMMYFUNCTION("""COMPUTED_VALUE"""),"https://drive.google.com/open?id=13IweLQFCNaGoa6kSrrmKEVkV-NUMjfUY")</f>
        <v>https://drive.google.com/open?id=13IweLQFCNaGoa6kSrrmKEVkV-NUMjfUY</v>
      </c>
    </row>
    <row r="24">
      <c r="A24" s="60"/>
      <c r="B24" s="61">
        <f>IFERROR(__xludf.DUMMYFUNCTION("""COMPUTED_VALUE"""),45197.0)</f>
        <v>45197</v>
      </c>
      <c r="C24" s="60" t="str">
        <f>IFERROR(__xludf.DUMMYFUNCTION("""COMPUTED_VALUE"""),"SriLanka")</f>
        <v>SriLanka</v>
      </c>
      <c r="D24" s="60" t="str">
        <f>IFERROR(__xludf.DUMMYFUNCTION("""COMPUTED_VALUE"""),"Amazon College International")</f>
        <v>Amazon College International</v>
      </c>
      <c r="E24" s="60" t="str">
        <f>IFERROR(__xludf.DUMMYFUNCTION("""COMPUTED_VALUE"""),"Engirneering")</f>
        <v>Engirneering</v>
      </c>
      <c r="F24" s="61">
        <f>IFERROR(__xludf.DUMMYFUNCTION("""COMPUTED_VALUE"""),45218.0)</f>
        <v>45218</v>
      </c>
      <c r="G24" s="60" t="str">
        <f>IFERROR(__xludf.DUMMYFUNCTION("""COMPUTED_VALUE"""),"Completed")</f>
        <v>Completed</v>
      </c>
      <c r="H24" s="60" t="str">
        <f>IFERROR(__xludf.DUMMYFUNCTION("""COMPUTED_VALUE"""),"Hanif Barker")</f>
        <v>Hanif Barker</v>
      </c>
      <c r="I24" s="60" t="str">
        <f>IFERROR(__xludf.DUMMYFUNCTION("""COMPUTED_VALUE"""),"amz.prog.mgr@gmail.com")</f>
        <v>amz.prog.mgr@gmail.com</v>
      </c>
      <c r="J24" s="60" t="str">
        <f>IFERROR(__xludf.DUMMYFUNCTION("""COMPUTED_VALUE"""),"MoU")</f>
        <v>MoU</v>
      </c>
      <c r="K24" s="60" t="str">
        <f>IFERROR(__xludf.DUMMYFUNCTION("""COMPUTED_VALUE"""),"5 years ")</f>
        <v>5 years </v>
      </c>
      <c r="L24" s="60" t="str">
        <f>IFERROR(__xludf.DUMMYFUNCTION("""COMPUTED_VALUE"""),"Active")</f>
        <v>Active</v>
      </c>
      <c r="M24" s="62" t="str">
        <f>IFERROR(__xludf.DUMMYFUNCTION("""COMPUTED_VALUE"""),"https://drive.google.com/open?id=1NM7CcJ4OoZcTq7j0uT1-RbBsa-IpW8fS")</f>
        <v>https://drive.google.com/open?id=1NM7CcJ4OoZcTq7j0uT1-RbBsa-IpW8fS</v>
      </c>
    </row>
    <row r="25">
      <c r="A25" s="60"/>
      <c r="B25" s="61">
        <f>IFERROR(__xludf.DUMMYFUNCTION("""COMPUTED_VALUE"""),45768.0)</f>
        <v>45768</v>
      </c>
      <c r="C25" s="60" t="str">
        <f>IFERROR(__xludf.DUMMYFUNCTION("""COMPUTED_VALUE"""),"South Korea")</f>
        <v>South Korea</v>
      </c>
      <c r="D25" s="60" t="str">
        <f>IFERROR(__xludf.DUMMYFUNCTION("""COMPUTED_VALUE"""),"SANGJI UNIVERSITY, WONJU, REPUBLIC OF KOREA")</f>
        <v>SANGJI UNIVERSITY, WONJU, REPUBLIC OF KOREA</v>
      </c>
      <c r="E25" s="60" t="str">
        <f>IFERROR(__xludf.DUMMYFUNCTION("""COMPUTED_VALUE"""),"LAW")</f>
        <v>LAW</v>
      </c>
      <c r="F25" s="61">
        <f>IFERROR(__xludf.DUMMYFUNCTION("""COMPUTED_VALUE"""),45786.0)</f>
        <v>45786</v>
      </c>
      <c r="G25" s="60" t="str">
        <f>IFERROR(__xludf.DUMMYFUNCTION("""COMPUTED_VALUE"""),"Completed")</f>
        <v>Completed</v>
      </c>
      <c r="H25" s="60" t="str">
        <f>IFERROR(__xludf.DUMMYFUNCTION("""COMPUTED_VALUE"""),"Yeonsoo Jang")</f>
        <v>Yeonsoo Jang</v>
      </c>
      <c r="I25" s="60" t="str">
        <f>IFERROR(__xludf.DUMMYFUNCTION("""COMPUTED_VALUE"""),"oosmay@sangji.ac.kr")</f>
        <v>oosmay@sangji.ac.kr</v>
      </c>
      <c r="J25" s="60" t="str">
        <f>IFERROR(__xludf.DUMMYFUNCTION("""COMPUTED_VALUE"""),"MoU")</f>
        <v>MoU</v>
      </c>
      <c r="K25" s="60" t="str">
        <f>IFERROR(__xludf.DUMMYFUNCTION("""COMPUTED_VALUE"""),"5 years ")</f>
        <v>5 years </v>
      </c>
      <c r="L25" s="60" t="str">
        <f>IFERROR(__xludf.DUMMYFUNCTION("""COMPUTED_VALUE"""),"Active")</f>
        <v>Active</v>
      </c>
      <c r="M25" s="62" t="str">
        <f>IFERROR(__xludf.DUMMYFUNCTION("""COMPUTED_VALUE"""),"https://drive.google.com/open?id=1UTCvS9PJwGiu4za7IpDJuls4qMkL5uaQ")</f>
        <v>https://drive.google.com/open?id=1UTCvS9PJwGiu4za7IpDJuls4qMkL5uaQ</v>
      </c>
    </row>
    <row r="26">
      <c r="A26" s="60"/>
      <c r="B26" s="61">
        <f>IFERROR(__xludf.DUMMYFUNCTION("""COMPUTED_VALUE"""),45080.0)</f>
        <v>45080</v>
      </c>
      <c r="C26" s="60" t="str">
        <f>IFERROR(__xludf.DUMMYFUNCTION("""COMPUTED_VALUE"""),"South Africa")</f>
        <v>South Africa</v>
      </c>
      <c r="D26" s="60" t="str">
        <f>IFERROR(__xludf.DUMMYFUNCTION("""COMPUTED_VALUE"""),"Mangosuthu University of Technology MUT")</f>
        <v>Mangosuthu University of Technology MUT</v>
      </c>
      <c r="E26" s="60" t="str">
        <f>IFERROR(__xludf.DUMMYFUNCTION("""COMPUTED_VALUE"""),"Engineering")</f>
        <v>Engineering</v>
      </c>
      <c r="F26" s="61">
        <f>IFERROR(__xludf.DUMMYFUNCTION("""COMPUTED_VALUE"""),45085.0)</f>
        <v>45085</v>
      </c>
      <c r="G26" s="60" t="str">
        <f>IFERROR(__xludf.DUMMYFUNCTION("""COMPUTED_VALUE"""),"Completed")</f>
        <v>Completed</v>
      </c>
      <c r="H26" s="60" t="str">
        <f>IFERROR(__xludf.DUMMYFUNCTION("""COMPUTED_VALUE"""),"Ms Mbali Mkhize")</f>
        <v>Ms Mbali Mkhize</v>
      </c>
      <c r="I26" s="60" t="str">
        <f>IFERROR(__xludf.DUMMYFUNCTION("""COMPUTED_VALUE"""),"mbali@mut.ac.za")</f>
        <v>mbali@mut.ac.za</v>
      </c>
      <c r="J26" s="60" t="str">
        <f>IFERROR(__xludf.DUMMYFUNCTION("""COMPUTED_VALUE"""),"MoU")</f>
        <v>MoU</v>
      </c>
      <c r="K26" s="60" t="str">
        <f>IFERROR(__xludf.DUMMYFUNCTION("""COMPUTED_VALUE"""),"5 years ")</f>
        <v>5 years </v>
      </c>
      <c r="L26" s="60" t="str">
        <f>IFERROR(__xludf.DUMMYFUNCTION("""COMPUTED_VALUE"""),"Active")</f>
        <v>Active</v>
      </c>
      <c r="M26" s="62" t="str">
        <f>IFERROR(__xludf.DUMMYFUNCTION("""COMPUTED_VALUE"""),"https://drive.google.com/open?id=151lfcpAoiFlnUMuLahNr4Pik5Unm4F86")</f>
        <v>https://drive.google.com/open?id=151lfcpAoiFlnUMuLahNr4Pik5Unm4F86</v>
      </c>
    </row>
    <row r="27">
      <c r="A27" s="60"/>
      <c r="B27" s="61">
        <f>IFERROR(__xludf.DUMMYFUNCTION("""COMPUTED_VALUE"""),45080.0)</f>
        <v>45080</v>
      </c>
      <c r="C27" s="60" t="str">
        <f>IFERROR(__xludf.DUMMYFUNCTION("""COMPUTED_VALUE"""),"South Africa")</f>
        <v>South Africa</v>
      </c>
      <c r="D27" s="60" t="str">
        <f>IFERROR(__xludf.DUMMYFUNCTION("""COMPUTED_VALUE"""),"Mangosuthu University of Technology MUT")</f>
        <v>Mangosuthu University of Technology MUT</v>
      </c>
      <c r="E27" s="60" t="str">
        <f>IFERROR(__xludf.DUMMYFUNCTION("""COMPUTED_VALUE"""),"Engineering")</f>
        <v>Engineering</v>
      </c>
      <c r="F27" s="61">
        <f>IFERROR(__xludf.DUMMYFUNCTION("""COMPUTED_VALUE"""),45085.0)</f>
        <v>45085</v>
      </c>
      <c r="G27" s="60" t="str">
        <f>IFERROR(__xludf.DUMMYFUNCTION("""COMPUTED_VALUE"""),"Completed")</f>
        <v>Completed</v>
      </c>
      <c r="H27" s="60" t="str">
        <f>IFERROR(__xludf.DUMMYFUNCTION("""COMPUTED_VALUE"""),"Ms Mbali Mkhize")</f>
        <v>Ms Mbali Mkhize</v>
      </c>
      <c r="I27" s="60" t="str">
        <f>IFERROR(__xludf.DUMMYFUNCTION("""COMPUTED_VALUE"""),"mbali@mut.ac.za")</f>
        <v>mbali@mut.ac.za</v>
      </c>
      <c r="J27" s="60" t="str">
        <f>IFERROR(__xludf.DUMMYFUNCTION("""COMPUTED_VALUE"""),"Student Exchange")</f>
        <v>Student Exchange</v>
      </c>
      <c r="K27" s="60" t="str">
        <f>IFERROR(__xludf.DUMMYFUNCTION("""COMPUTED_VALUE"""),"1 year ")</f>
        <v>1 year </v>
      </c>
      <c r="L27" s="60" t="str">
        <f>IFERROR(__xludf.DUMMYFUNCTION("""COMPUTED_VALUE"""),"Active")</f>
        <v>Active</v>
      </c>
      <c r="M27" s="62" t="str">
        <f>IFERROR(__xludf.DUMMYFUNCTION("""COMPUTED_VALUE"""),"https://drive.google.com/open?id=1SLcVgIxUnSB-qvSEkTETxU1-1Oms4GI7")</f>
        <v>https://drive.google.com/open?id=1SLcVgIxUnSB-qvSEkTETxU1-1Oms4GI7</v>
      </c>
    </row>
    <row r="28">
      <c r="A28" s="60"/>
      <c r="B28" s="61">
        <f>IFERROR(__xludf.DUMMYFUNCTION("""COMPUTED_VALUE"""),45427.0)</f>
        <v>45427</v>
      </c>
      <c r="C28" s="60" t="str">
        <f>IFERROR(__xludf.DUMMYFUNCTION("""COMPUTED_VALUE"""),"Singapore")</f>
        <v>Singapore</v>
      </c>
      <c r="D28" s="60" t="str">
        <f>IFERROR(__xludf.DUMMYFUNCTION("""COMPUTED_VALUE"""),"TUM Asia Pte Ltd")</f>
        <v>TUM Asia Pte Ltd</v>
      </c>
      <c r="E28" s="60" t="str">
        <f>IFERROR(__xludf.DUMMYFUNCTION("""COMPUTED_VALUE"""),"Engineering")</f>
        <v>Engineering</v>
      </c>
      <c r="F28" s="61">
        <f>IFERROR(__xludf.DUMMYFUNCTION("""COMPUTED_VALUE"""),45477.0)</f>
        <v>45477</v>
      </c>
      <c r="G28" s="60" t="str">
        <f>IFERROR(__xludf.DUMMYFUNCTION("""COMPUTED_VALUE"""),"Completed")</f>
        <v>Completed</v>
      </c>
      <c r="H28" s="60" t="str">
        <f>IFERROR(__xludf.DUMMYFUNCTION("""COMPUTED_VALUE"""),"Lenny Christina")</f>
        <v>Lenny Christina</v>
      </c>
      <c r="I28" s="60" t="str">
        <f>IFERROR(__xludf.DUMMYFUNCTION("""COMPUTED_VALUE"""),"lenny.christina@tum-asia.edu.sg")</f>
        <v>lenny.christina@tum-asia.edu.sg</v>
      </c>
      <c r="J28" s="60" t="str">
        <f>IFERROR(__xludf.DUMMYFUNCTION("""COMPUTED_VALUE"""),"MoU")</f>
        <v>MoU</v>
      </c>
      <c r="K28" s="60" t="str">
        <f>IFERROR(__xludf.DUMMYFUNCTION("""COMPUTED_VALUE"""),"2 years ")</f>
        <v>2 years </v>
      </c>
      <c r="L28" s="60" t="str">
        <f>IFERROR(__xludf.DUMMYFUNCTION("""COMPUTED_VALUE"""),"Active")</f>
        <v>Active</v>
      </c>
      <c r="M28" s="62" t="str">
        <f>IFERROR(__xludf.DUMMYFUNCTION("""COMPUTED_VALUE"""),"https://drive.google.com/open?id=14Gov6naupJHxryHO1Fl3SVr43MUxLHrJ")</f>
        <v>https://drive.google.com/open?id=14Gov6naupJHxryHO1Fl3SVr43MUxLHrJ</v>
      </c>
    </row>
    <row r="29">
      <c r="A29" s="60"/>
      <c r="B29" s="61">
        <f>IFERROR(__xludf.DUMMYFUNCTION("""COMPUTED_VALUE"""),45080.0)</f>
        <v>45080</v>
      </c>
      <c r="C29" s="60" t="str">
        <f>IFERROR(__xludf.DUMMYFUNCTION("""COMPUTED_VALUE"""),"Rwanda")</f>
        <v>Rwanda</v>
      </c>
      <c r="D29" s="60" t="str">
        <f>IFERROR(__xludf.DUMMYFUNCTION("""COMPUTED_VALUE"""),"University of Lay Adventists of Kigali (UNILAK)")</f>
        <v>University of Lay Adventists of Kigali (UNILAK)</v>
      </c>
      <c r="E29" s="60" t="str">
        <f>IFERROR(__xludf.DUMMYFUNCTION("""COMPUTED_VALUE"""),"Engineering and Business Management")</f>
        <v>Engineering and Business Management</v>
      </c>
      <c r="F29" s="61">
        <f>IFERROR(__xludf.DUMMYFUNCTION("""COMPUTED_VALUE"""),45104.0)</f>
        <v>45104</v>
      </c>
      <c r="G29" s="60" t="str">
        <f>IFERROR(__xludf.DUMMYFUNCTION("""COMPUTED_VALUE"""),"Completed")</f>
        <v>Completed</v>
      </c>
      <c r="H29" s="60" t="str">
        <f>IFERROR(__xludf.DUMMYFUNCTION("""COMPUTED_VALUE"""),"Jeaan Ngamije")</f>
        <v>Jeaan Ngamije</v>
      </c>
      <c r="I29" s="60" t="str">
        <f>IFERROR(__xludf.DUMMYFUNCTION("""COMPUTED_VALUE"""),"vc@unilak.ac.rw")</f>
        <v>vc@unilak.ac.rw</v>
      </c>
      <c r="J29" s="60" t="str">
        <f>IFERROR(__xludf.DUMMYFUNCTION("""COMPUTED_VALUE"""),"MoU")</f>
        <v>MoU</v>
      </c>
      <c r="K29" s="60" t="str">
        <f>IFERROR(__xludf.DUMMYFUNCTION("""COMPUTED_VALUE"""),"5 years ")</f>
        <v>5 years </v>
      </c>
      <c r="L29" s="60" t="str">
        <f>IFERROR(__xludf.DUMMYFUNCTION("""COMPUTED_VALUE"""),"Active")</f>
        <v>Active</v>
      </c>
      <c r="M29" s="62" t="str">
        <f>IFERROR(__xludf.DUMMYFUNCTION("""COMPUTED_VALUE"""),"https://drive.google.com/open?id=1qtgtu-gG1J1kbqLux6_MR4g0vTMxd6cl")</f>
        <v>https://drive.google.com/open?id=1qtgtu-gG1J1kbqLux6_MR4g0vTMxd6cl</v>
      </c>
    </row>
    <row r="30">
      <c r="A30" s="60"/>
      <c r="B30" s="61">
        <f>IFERROR(__xludf.DUMMYFUNCTION("""COMPUTED_VALUE"""),45080.0)</f>
        <v>45080</v>
      </c>
      <c r="C30" s="60" t="str">
        <f>IFERROR(__xludf.DUMMYFUNCTION("""COMPUTED_VALUE"""),"Rwanda")</f>
        <v>Rwanda</v>
      </c>
      <c r="D30" s="60" t="str">
        <f>IFERROR(__xludf.DUMMYFUNCTION("""COMPUTED_VALUE"""),"University of Lay Adventists of Kigali (UNILAK)")</f>
        <v>University of Lay Adventists of Kigali (UNILAK)</v>
      </c>
      <c r="E30" s="60" t="str">
        <f>IFERROR(__xludf.DUMMYFUNCTION("""COMPUTED_VALUE"""),"Engineering and Business Management")</f>
        <v>Engineering and Business Management</v>
      </c>
      <c r="F30" s="61">
        <f>IFERROR(__xludf.DUMMYFUNCTION("""COMPUTED_VALUE"""),45104.0)</f>
        <v>45104</v>
      </c>
      <c r="G30" s="60" t="str">
        <f>IFERROR(__xludf.DUMMYFUNCTION("""COMPUTED_VALUE"""),"Completed")</f>
        <v>Completed</v>
      </c>
      <c r="H30" s="60" t="str">
        <f>IFERROR(__xludf.DUMMYFUNCTION("""COMPUTED_VALUE"""),"Jeaan Ngamije")</f>
        <v>Jeaan Ngamije</v>
      </c>
      <c r="I30" s="60" t="str">
        <f>IFERROR(__xludf.DUMMYFUNCTION("""COMPUTED_VALUE"""),"vc@unilak.ac.rw")</f>
        <v>vc@unilak.ac.rw</v>
      </c>
      <c r="J30" s="60" t="str">
        <f>IFERROR(__xludf.DUMMYFUNCTION("""COMPUTED_VALUE"""),"Student Exchange")</f>
        <v>Student Exchange</v>
      </c>
      <c r="K30" s="60" t="str">
        <f>IFERROR(__xludf.DUMMYFUNCTION("""COMPUTED_VALUE"""),"1 year")</f>
        <v>1 year</v>
      </c>
      <c r="L30" s="60" t="str">
        <f>IFERROR(__xludf.DUMMYFUNCTION("""COMPUTED_VALUE"""),"Active")</f>
        <v>Active</v>
      </c>
      <c r="M30" s="62" t="str">
        <f>IFERROR(__xludf.DUMMYFUNCTION("""COMPUTED_VALUE"""),"https://drive.google.com/open?id=1rxnsYWAecAjjM6AILuH8gwJ-vyw3BUp1")</f>
        <v>https://drive.google.com/open?id=1rxnsYWAecAjjM6AILuH8gwJ-vyw3BUp1</v>
      </c>
    </row>
    <row r="31">
      <c r="A31" s="60"/>
      <c r="B31" s="61">
        <f>IFERROR(__xludf.DUMMYFUNCTION("""COMPUTED_VALUE"""),45374.0)</f>
        <v>45374</v>
      </c>
      <c r="C31" s="60" t="str">
        <f>IFERROR(__xludf.DUMMYFUNCTION("""COMPUTED_VALUE"""),"Russia")</f>
        <v>Russia</v>
      </c>
      <c r="D31" s="60" t="str">
        <f>IFERROR(__xludf.DUMMYFUNCTION("""COMPUTED_VALUE"""),"Volgograd State Medical University")</f>
        <v>Volgograd State Medical University</v>
      </c>
      <c r="E31" s="60" t="str">
        <f>IFERROR(__xludf.DUMMYFUNCTION("""COMPUTED_VALUE"""),"Medical")</f>
        <v>Medical</v>
      </c>
      <c r="F31" s="61">
        <f>IFERROR(__xludf.DUMMYFUNCTION("""COMPUTED_VALUE"""),45530.0)</f>
        <v>45530</v>
      </c>
      <c r="G31" s="60" t="str">
        <f>IFERROR(__xludf.DUMMYFUNCTION("""COMPUTED_VALUE"""),"Completed")</f>
        <v>Completed</v>
      </c>
      <c r="H31" s="60" t="str">
        <f>IFERROR(__xludf.DUMMYFUNCTION("""COMPUTED_VALUE"""),"Larisa Tavkin")</f>
        <v>Larisa Tavkin</v>
      </c>
      <c r="I31" s="60" t="str">
        <f>IFERROR(__xludf.DUMMYFUNCTION("""COMPUTED_VALUE"""),"oms@volsu.ru")</f>
        <v>oms@volsu.ru</v>
      </c>
      <c r="J31" s="60" t="str">
        <f>IFERROR(__xludf.DUMMYFUNCTION("""COMPUTED_VALUE"""),"MoU")</f>
        <v>MoU</v>
      </c>
      <c r="K31" s="60" t="str">
        <f>IFERROR(__xludf.DUMMYFUNCTION("""COMPUTED_VALUE"""),"5 years ")</f>
        <v>5 years </v>
      </c>
      <c r="L31" s="60" t="str">
        <f>IFERROR(__xludf.DUMMYFUNCTION("""COMPUTED_VALUE"""),"Active")</f>
        <v>Active</v>
      </c>
      <c r="M31" s="62" t="str">
        <f>IFERROR(__xludf.DUMMYFUNCTION("""COMPUTED_VALUE"""),"https://drive.google.com/open?id=1DBNqO3O7Jt29oIbV74Vtx6YbdqBjfyqc")</f>
        <v>https://drive.google.com/open?id=1DBNqO3O7Jt29oIbV74Vtx6YbdqBjfyqc</v>
      </c>
    </row>
    <row r="32">
      <c r="A32" s="60"/>
      <c r="B32" s="61">
        <f>IFERROR(__xludf.DUMMYFUNCTION("""COMPUTED_VALUE"""),45496.0)</f>
        <v>45496</v>
      </c>
      <c r="C32" s="60" t="str">
        <f>IFERROR(__xludf.DUMMYFUNCTION("""COMPUTED_VALUE"""),"Russia ")</f>
        <v>Russia </v>
      </c>
      <c r="D32" s="60" t="str">
        <f>IFERROR(__xludf.DUMMYFUNCTION("""COMPUTED_VALUE"""),"Volgograd State Medical University")</f>
        <v>Volgograd State Medical University</v>
      </c>
      <c r="E32" s="60" t="str">
        <f>IFERROR(__xludf.DUMMYFUNCTION("""COMPUTED_VALUE"""),"Medical")</f>
        <v>Medical</v>
      </c>
      <c r="F32" s="61">
        <f>IFERROR(__xludf.DUMMYFUNCTION("""COMPUTED_VALUE"""),45530.0)</f>
        <v>45530</v>
      </c>
      <c r="G32" s="60" t="str">
        <f>IFERROR(__xludf.DUMMYFUNCTION("""COMPUTED_VALUE"""),"Completed")</f>
        <v>Completed</v>
      </c>
      <c r="H32" s="60" t="str">
        <f>IFERROR(__xludf.DUMMYFUNCTION("""COMPUTED_VALUE"""),"Larisa Tavkin")</f>
        <v>Larisa Tavkin</v>
      </c>
      <c r="I32" s="60" t="str">
        <f>IFERROR(__xludf.DUMMYFUNCTION("""COMPUTED_VALUE"""),"oms@volsu.ru")</f>
        <v>oms@volsu.ru</v>
      </c>
      <c r="J32" s="60" t="str">
        <f>IFERROR(__xludf.DUMMYFUNCTION("""COMPUTED_VALUE"""),"Student Exchange")</f>
        <v>Student Exchange</v>
      </c>
      <c r="K32" s="60" t="str">
        <f>IFERROR(__xludf.DUMMYFUNCTION("""COMPUTED_VALUE"""),"1 year")</f>
        <v>1 year</v>
      </c>
      <c r="L32" s="60" t="str">
        <f>IFERROR(__xludf.DUMMYFUNCTION("""COMPUTED_VALUE"""),"Active")</f>
        <v>Active</v>
      </c>
      <c r="M32" s="62" t="str">
        <f>IFERROR(__xludf.DUMMYFUNCTION("""COMPUTED_VALUE"""),"https://drive.google.com/open?id=1pg72k54Gkp7OByHnkzdeGoWmOwBoiO8i")</f>
        <v>https://drive.google.com/open?id=1pg72k54Gkp7OByHnkzdeGoWmOwBoiO8i</v>
      </c>
    </row>
    <row r="33">
      <c r="A33" s="60"/>
      <c r="B33" s="61">
        <f>IFERROR(__xludf.DUMMYFUNCTION("""COMPUTED_VALUE"""),45001.0)</f>
        <v>45001</v>
      </c>
      <c r="C33" s="60" t="str">
        <f>IFERROR(__xludf.DUMMYFUNCTION("""COMPUTED_VALUE"""),"Russia")</f>
        <v>Russia</v>
      </c>
      <c r="D33" s="60" t="str">
        <f>IFERROR(__xludf.DUMMYFUNCTION("""COMPUTED_VALUE"""),"St. Petersburg University")</f>
        <v>St. Petersburg University</v>
      </c>
      <c r="E33" s="60" t="str">
        <f>IFERROR(__xludf.DUMMYFUNCTION("""COMPUTED_VALUE"""),"Business Management")</f>
        <v>Business Management</v>
      </c>
      <c r="F33" s="61">
        <f>IFERROR(__xludf.DUMMYFUNCTION("""COMPUTED_VALUE"""),45001.0)</f>
        <v>45001</v>
      </c>
      <c r="G33" s="60" t="str">
        <f>IFERROR(__xludf.DUMMYFUNCTION("""COMPUTED_VALUE"""),"Completed")</f>
        <v>Completed</v>
      </c>
      <c r="H33" s="60" t="str">
        <f>IFERROR(__xludf.DUMMYFUNCTION("""COMPUTED_VALUE"""),"Ms.Elena Vasileva")</f>
        <v>Ms.Elena Vasileva</v>
      </c>
      <c r="I33" s="60" t="str">
        <f>IFERROR(__xludf.DUMMYFUNCTION("""COMPUTED_VALUE"""),"e.l.vasilyeva@spbu.ru")</f>
        <v>e.l.vasilyeva@spbu.ru</v>
      </c>
      <c r="J33" s="60" t="str">
        <f>IFERROR(__xludf.DUMMYFUNCTION("""COMPUTED_VALUE"""),"MoU")</f>
        <v>MoU</v>
      </c>
      <c r="K33" s="60" t="str">
        <f>IFERROR(__xludf.DUMMYFUNCTION("""COMPUTED_VALUE"""),"5 years ")</f>
        <v>5 years </v>
      </c>
      <c r="L33" s="60" t="str">
        <f>IFERROR(__xludf.DUMMYFUNCTION("""COMPUTED_VALUE"""),"Active")</f>
        <v>Active</v>
      </c>
      <c r="M33" s="62" t="str">
        <f>IFERROR(__xludf.DUMMYFUNCTION("""COMPUTED_VALUE"""),"https://drive.google.com/open?id=1a_BSJcPZrFHGmZv5BUw_YrdPdgF6KuPT")</f>
        <v>https://drive.google.com/open?id=1a_BSJcPZrFHGmZv5BUw_YrdPdgF6KuPT</v>
      </c>
    </row>
    <row r="34">
      <c r="A34" s="60"/>
      <c r="B34" s="61">
        <f>IFERROR(__xludf.DUMMYFUNCTION("""COMPUTED_VALUE"""),45047.0)</f>
        <v>45047</v>
      </c>
      <c r="C34" s="60" t="str">
        <f>IFERROR(__xludf.DUMMYFUNCTION("""COMPUTED_VALUE"""),"Russia")</f>
        <v>Russia</v>
      </c>
      <c r="D34" s="60" t="str">
        <f>IFERROR(__xludf.DUMMYFUNCTION("""COMPUTED_VALUE"""),"MIET, Moscow")</f>
        <v>MIET, Moscow</v>
      </c>
      <c r="E34" s="60" t="str">
        <f>IFERROR(__xludf.DUMMYFUNCTION("""COMPUTED_VALUE"""),"Engineering")</f>
        <v>Engineering</v>
      </c>
      <c r="F34" s="61">
        <f>IFERROR(__xludf.DUMMYFUNCTION("""COMPUTED_VALUE"""),45108.0)</f>
        <v>45108</v>
      </c>
      <c r="G34" s="60" t="str">
        <f>IFERROR(__xludf.DUMMYFUNCTION("""COMPUTED_VALUE"""),"Completed")</f>
        <v>Completed</v>
      </c>
      <c r="H34" s="60" t="str">
        <f>IFERROR(__xludf.DUMMYFUNCTION("""COMPUTED_VALUE"""),"Natalya Kartushina")</f>
        <v>Natalya Kartushina</v>
      </c>
      <c r="I34" s="60" t="str">
        <f>IFERROR(__xludf.DUMMYFUNCTION("""COMPUTED_VALUE"""),"academic.relations@int-miet.ru ")</f>
        <v>academic.relations@int-miet.ru </v>
      </c>
      <c r="J34" s="60" t="str">
        <f>IFERROR(__xludf.DUMMYFUNCTION("""COMPUTED_VALUE"""),"MoU")</f>
        <v>MoU</v>
      </c>
      <c r="K34" s="60" t="str">
        <f>IFERROR(__xludf.DUMMYFUNCTION("""COMPUTED_VALUE"""),"5 years ")</f>
        <v>5 years </v>
      </c>
      <c r="L34" s="60" t="str">
        <f>IFERROR(__xludf.DUMMYFUNCTION("""COMPUTED_VALUE"""),"Active")</f>
        <v>Active</v>
      </c>
      <c r="M34" s="62" t="str">
        <f>IFERROR(__xludf.DUMMYFUNCTION("""COMPUTED_VALUE"""),"https://drive.google.com/open?id=1fBOnwP3m5npEOZoZ6uDl6mywn-y6S8xv")</f>
        <v>https://drive.google.com/open?id=1fBOnwP3m5npEOZoZ6uDl6mywn-y6S8xv</v>
      </c>
    </row>
    <row r="35">
      <c r="A35" s="60"/>
      <c r="B35" s="61">
        <f>IFERROR(__xludf.DUMMYFUNCTION("""COMPUTED_VALUE"""),45984.0)</f>
        <v>45984</v>
      </c>
      <c r="C35" s="60" t="str">
        <f>IFERROR(__xludf.DUMMYFUNCTION("""COMPUTED_VALUE""")," Lithuania ")</f>
        <v> Lithuania </v>
      </c>
      <c r="D35" s="60" t="str">
        <f>IFERROR(__xludf.DUMMYFUNCTION("""COMPUTED_VALUE"""),"Marijampole University of Applied Sciences")</f>
        <v>Marijampole University of Applied Sciences</v>
      </c>
      <c r="E35" s="60" t="str">
        <f>IFERROR(__xludf.DUMMYFUNCTION("""COMPUTED_VALUE"""),"Business Mangement")</f>
        <v>Business Mangement</v>
      </c>
      <c r="F35" s="61">
        <f>IFERROR(__xludf.DUMMYFUNCTION("""COMPUTED_VALUE"""),45711.0)</f>
        <v>45711</v>
      </c>
      <c r="G35" s="60" t="str">
        <f>IFERROR(__xludf.DUMMYFUNCTION("""COMPUTED_VALUE"""),"Completed")</f>
        <v>Completed</v>
      </c>
      <c r="H35" s="60" t="str">
        <f>IFERROR(__xludf.DUMMYFUNCTION("""COMPUTED_VALUE"""),"Odeta Gluoksnytė ")</f>
        <v>Odeta Gluoksnytė </v>
      </c>
      <c r="I35" s="60" t="str">
        <f>IFERROR(__xludf.DUMMYFUNCTION("""COMPUTED_VALUE"""),"ode.gluo@mkolegija.lt")</f>
        <v>ode.gluo@mkolegija.lt</v>
      </c>
      <c r="J35" s="60" t="str">
        <f>IFERROR(__xludf.DUMMYFUNCTION("""COMPUTED_VALUE"""),"MoU")</f>
        <v>MoU</v>
      </c>
      <c r="K35" s="60" t="str">
        <f>IFERROR(__xludf.DUMMYFUNCTION("""COMPUTED_VALUE"""),"5")</f>
        <v>5</v>
      </c>
      <c r="L35" s="60" t="str">
        <f>IFERROR(__xludf.DUMMYFUNCTION("""COMPUTED_VALUE"""),"Active")</f>
        <v>Active</v>
      </c>
      <c r="M35" s="62" t="str">
        <f>IFERROR(__xludf.DUMMYFUNCTION("""COMPUTED_VALUE"""),"https://drive.google.com/open?id=1GwHWtpgX7je3zBMzwInlSXbKmzPkRE5Z")</f>
        <v>https://drive.google.com/open?id=1GwHWtpgX7je3zBMzwInlSXbKmzPkRE5Z</v>
      </c>
    </row>
    <row r="36">
      <c r="A36" s="60"/>
      <c r="B36" s="61">
        <f>IFERROR(__xludf.DUMMYFUNCTION("""COMPUTED_VALUE"""),45047.0)</f>
        <v>45047</v>
      </c>
      <c r="C36" s="60" t="str">
        <f>IFERROR(__xludf.DUMMYFUNCTION("""COMPUTED_VALUE"""),"Russia")</f>
        <v>Russia</v>
      </c>
      <c r="D36" s="60" t="str">
        <f>IFERROR(__xludf.DUMMYFUNCTION("""COMPUTED_VALUE"""),"MIET, Moscow")</f>
        <v>MIET, Moscow</v>
      </c>
      <c r="E36" s="60" t="str">
        <f>IFERROR(__xludf.DUMMYFUNCTION("""COMPUTED_VALUE"""),"Engineering")</f>
        <v>Engineering</v>
      </c>
      <c r="F36" s="61">
        <f>IFERROR(__xludf.DUMMYFUNCTION("""COMPUTED_VALUE"""),45108.0)</f>
        <v>45108</v>
      </c>
      <c r="G36" s="60" t="str">
        <f>IFERROR(__xludf.DUMMYFUNCTION("""COMPUTED_VALUE"""),"Completed")</f>
        <v>Completed</v>
      </c>
      <c r="H36" s="60" t="str">
        <f>IFERROR(__xludf.DUMMYFUNCTION("""COMPUTED_VALUE"""),"Natalya Kartushina")</f>
        <v>Natalya Kartushina</v>
      </c>
      <c r="I36" s="60" t="str">
        <f>IFERROR(__xludf.DUMMYFUNCTION("""COMPUTED_VALUE"""),"academic.relations@int-miet.ru ")</f>
        <v>academic.relations@int-miet.ru </v>
      </c>
      <c r="J36" s="60" t="str">
        <f>IFERROR(__xludf.DUMMYFUNCTION("""COMPUTED_VALUE"""),"Student Exchange")</f>
        <v>Student Exchange</v>
      </c>
      <c r="K36" s="60" t="str">
        <f>IFERROR(__xludf.DUMMYFUNCTION("""COMPUTED_VALUE"""),"5 years ")</f>
        <v>5 years </v>
      </c>
      <c r="L36" s="60" t="str">
        <f>IFERROR(__xludf.DUMMYFUNCTION("""COMPUTED_VALUE"""),"Active")</f>
        <v>Active</v>
      </c>
      <c r="M36" s="62" t="str">
        <f>IFERROR(__xludf.DUMMYFUNCTION("""COMPUTED_VALUE"""),"https://drive.google.com/open?id=1YJ5TWe7ItwYlEjPjj21GDzF3XFxlj55u")</f>
        <v>https://drive.google.com/open?id=1YJ5TWe7ItwYlEjPjj21GDzF3XFxlj55u</v>
      </c>
    </row>
    <row r="37">
      <c r="A37" s="60"/>
      <c r="B37" s="61">
        <f>IFERROR(__xludf.DUMMYFUNCTION("""COMPUTED_VALUE"""),44980.0)</f>
        <v>44980</v>
      </c>
      <c r="C37" s="60" t="str">
        <f>IFERROR(__xludf.DUMMYFUNCTION("""COMPUTED_VALUE""")," Lithuania ")</f>
        <v> Lithuania </v>
      </c>
      <c r="D37" s="60" t="str">
        <f>IFERROR(__xludf.DUMMYFUNCTION("""COMPUTED_VALUE"""),"Marijampole University of Applied Sciences ")</f>
        <v>Marijampole University of Applied Sciences </v>
      </c>
      <c r="E37" s="60" t="str">
        <f>IFERROR(__xludf.DUMMYFUNCTION("""COMPUTED_VALUE"""),"Business Mangement")</f>
        <v>Business Mangement</v>
      </c>
      <c r="F37" s="61">
        <f>IFERROR(__xludf.DUMMYFUNCTION("""COMPUTED_VALUE"""),45711.0)</f>
        <v>45711</v>
      </c>
      <c r="G37" s="60" t="str">
        <f>IFERROR(__xludf.DUMMYFUNCTION("""COMPUTED_VALUE"""),"Completed")</f>
        <v>Completed</v>
      </c>
      <c r="H37" s="60" t="str">
        <f>IFERROR(__xludf.DUMMYFUNCTION("""COMPUTED_VALUE"""),"Odeta Gluoksnytė ")</f>
        <v>Odeta Gluoksnytė </v>
      </c>
      <c r="I37" s="60" t="str">
        <f>IFERROR(__xludf.DUMMYFUNCTION("""COMPUTED_VALUE"""),"ode.gluo@mkolegija.lt")</f>
        <v>ode.gluo@mkolegija.lt</v>
      </c>
      <c r="J37" s="60" t="str">
        <f>IFERROR(__xludf.DUMMYFUNCTION("""COMPUTED_VALUE"""),"Student Exchange")</f>
        <v>Student Exchange</v>
      </c>
      <c r="K37" s="60" t="str">
        <f>IFERROR(__xludf.DUMMYFUNCTION("""COMPUTED_VALUE"""),"5")</f>
        <v>5</v>
      </c>
      <c r="L37" s="60" t="str">
        <f>IFERROR(__xludf.DUMMYFUNCTION("""COMPUTED_VALUE"""),"Active")</f>
        <v>Active</v>
      </c>
      <c r="M37" s="62" t="str">
        <f>IFERROR(__xludf.DUMMYFUNCTION("""COMPUTED_VALUE"""),"https://drive.google.com/open?id=1etBLi9vio9EiQ509BIBUQXnSXG3eAKKe")</f>
        <v>https://drive.google.com/open?id=1etBLi9vio9EiQ509BIBUQXnSXG3eAKKe</v>
      </c>
    </row>
    <row r="38">
      <c r="A38" s="60"/>
      <c r="B38" s="61">
        <f>IFERROR(__xludf.DUMMYFUNCTION("""COMPUTED_VALUE"""),45064.0)</f>
        <v>45064</v>
      </c>
      <c r="C38" s="60" t="str">
        <f>IFERROR(__xludf.DUMMYFUNCTION("""COMPUTED_VALUE"""),"Russia ")</f>
        <v>Russia </v>
      </c>
      <c r="D38" s="60" t="str">
        <f>IFERROR(__xludf.DUMMYFUNCTION("""COMPUTED_VALUE"""),"Southern Federal University")</f>
        <v>Southern Federal University</v>
      </c>
      <c r="E38" s="60" t="str">
        <f>IFERROR(__xludf.DUMMYFUNCTION("""COMPUTED_VALUE"""),"Engineering")</f>
        <v>Engineering</v>
      </c>
      <c r="F38" s="61">
        <f>IFERROR(__xludf.DUMMYFUNCTION("""COMPUTED_VALUE"""),45115.0)</f>
        <v>45115</v>
      </c>
      <c r="G38" s="60" t="str">
        <f>IFERROR(__xludf.DUMMYFUNCTION("""COMPUTED_VALUE"""),"Completed")</f>
        <v>Completed</v>
      </c>
      <c r="H38" s="60" t="str">
        <f>IFERROR(__xludf.DUMMYFUNCTION("""COMPUTED_VALUE"""),"Nadia Klyuchko")</f>
        <v>Nadia Klyuchko</v>
      </c>
      <c r="I38" s="60" t="str">
        <f>IFERROR(__xludf.DUMMYFUNCTION("""COMPUTED_VALUE"""),"academic.relations@int-miet.ru ")</f>
        <v>academic.relations@int-miet.ru </v>
      </c>
      <c r="J38" s="60" t="str">
        <f>IFERROR(__xludf.DUMMYFUNCTION("""COMPUTED_VALUE"""),"Student Exchange")</f>
        <v>Student Exchange</v>
      </c>
      <c r="K38" s="60" t="str">
        <f>IFERROR(__xludf.DUMMYFUNCTION("""COMPUTED_VALUE"""),"5 years ")</f>
        <v>5 years </v>
      </c>
      <c r="L38" s="60" t="str">
        <f>IFERROR(__xludf.DUMMYFUNCTION("""COMPUTED_VALUE"""),"Active")</f>
        <v>Active</v>
      </c>
      <c r="M38" s="62" t="str">
        <f>IFERROR(__xludf.DUMMYFUNCTION("""COMPUTED_VALUE"""),"https://drive.google.com/open?id=1iztkVlKOvWQjECdm1__ihRJP3uDJ52II")</f>
        <v>https://drive.google.com/open?id=1iztkVlKOvWQjECdm1__ihRJP3uDJ52II</v>
      </c>
    </row>
    <row r="39">
      <c r="A39" s="60"/>
      <c r="B39" s="61">
        <f>IFERROR(__xludf.DUMMYFUNCTION("""COMPUTED_VALUE"""),45205.0)</f>
        <v>45205</v>
      </c>
      <c r="C39" s="60" t="str">
        <f>IFERROR(__xludf.DUMMYFUNCTION("""COMPUTED_VALUE"""),"Russia")</f>
        <v>Russia</v>
      </c>
      <c r="D39" s="60" t="str">
        <f>IFERROR(__xludf.DUMMYFUNCTION("""COMPUTED_VALUE"""),"SAMARA NATIONAL RESEARCH UNIVERSITY")</f>
        <v>SAMARA NATIONAL RESEARCH UNIVERSITY</v>
      </c>
      <c r="E39" s="60" t="str">
        <f>IFERROR(__xludf.DUMMYFUNCTION("""COMPUTED_VALUE"""),"Engirneering")</f>
        <v>Engirneering</v>
      </c>
      <c r="F39" s="61">
        <f>IFERROR(__xludf.DUMMYFUNCTION("""COMPUTED_VALUE"""),45261.0)</f>
        <v>45261</v>
      </c>
      <c r="G39" s="60" t="str">
        <f>IFERROR(__xludf.DUMMYFUNCTION("""COMPUTED_VALUE"""),"Completed")</f>
        <v>Completed</v>
      </c>
      <c r="H39" s="60" t="str">
        <f>IFERROR(__xludf.DUMMYFUNCTION("""COMPUTED_VALUE"""),"Viktoriya Bolgova")</f>
        <v>Viktoriya Bolgova</v>
      </c>
      <c r="I39" s="60" t="str">
        <f>IFERROR(__xludf.DUMMYFUNCTION("""COMPUTED_VALUE"""),"intdep@ssau.ru")</f>
        <v>intdep@ssau.ru</v>
      </c>
      <c r="J39" s="60" t="str">
        <f>IFERROR(__xludf.DUMMYFUNCTION("""COMPUTED_VALUE"""),"MoU")</f>
        <v>MoU</v>
      </c>
      <c r="K39" s="60" t="str">
        <f>IFERROR(__xludf.DUMMYFUNCTION("""COMPUTED_VALUE"""),"5 years ")</f>
        <v>5 years </v>
      </c>
      <c r="L39" s="60" t="str">
        <f>IFERROR(__xludf.DUMMYFUNCTION("""COMPUTED_VALUE"""),"Active")</f>
        <v>Active</v>
      </c>
      <c r="M39" s="62" t="str">
        <f>IFERROR(__xludf.DUMMYFUNCTION("""COMPUTED_VALUE"""),"https://drive.google.com/open?id=1u9g7hvmbFYrDzslFA_OfqAX9U1Xp9LSa")</f>
        <v>https://drive.google.com/open?id=1u9g7hvmbFYrDzslFA_OfqAX9U1Xp9LSa</v>
      </c>
    </row>
    <row r="40">
      <c r="A40" s="60"/>
      <c r="B40" s="61">
        <f>IFERROR(__xludf.DUMMYFUNCTION("""COMPUTED_VALUE"""),45819.0)</f>
        <v>45819</v>
      </c>
      <c r="C40" s="60" t="str">
        <f>IFERROR(__xludf.DUMMYFUNCTION("""COMPUTED_VALUE"""),"Philippines")</f>
        <v>Philippines</v>
      </c>
      <c r="D40" s="60" t="str">
        <f>IFERROR(__xludf.DUMMYFUNCTION("""COMPUTED_VALUE"""),"Visayas State University")</f>
        <v>Visayas State University</v>
      </c>
      <c r="E40" s="60" t="str">
        <f>IFERROR(__xludf.DUMMYFUNCTION("""COMPUTED_VALUE"""),"Management / engineering")</f>
        <v>Management / engineering</v>
      </c>
      <c r="F40" s="61">
        <f>IFERROR(__xludf.DUMMYFUNCTION("""COMPUTED_VALUE"""),45824.0)</f>
        <v>45824</v>
      </c>
      <c r="G40" s="60" t="str">
        <f>IFERROR(__xludf.DUMMYFUNCTION("""COMPUTED_VALUE"""),"Completed")</f>
        <v>Completed</v>
      </c>
      <c r="H40" s="60" t="str">
        <f>IFERROR(__xludf.DUMMYFUNCTION("""COMPUTED_VALUE"""),"Hanzel Mejia")</f>
        <v>Hanzel Mejia</v>
      </c>
      <c r="I40" s="60" t="str">
        <f>IFERROR(__xludf.DUMMYFUNCTION("""COMPUTED_VALUE"""),"hanzel.mejia@vsu.edu.ph")</f>
        <v>hanzel.mejia@vsu.edu.ph</v>
      </c>
      <c r="J40" s="60" t="str">
        <f>IFERROR(__xludf.DUMMYFUNCTION("""COMPUTED_VALUE"""),"MoU")</f>
        <v>MoU</v>
      </c>
      <c r="K40" s="60" t="str">
        <f>IFERROR(__xludf.DUMMYFUNCTION("""COMPUTED_VALUE"""),"5 years ")</f>
        <v>5 years </v>
      </c>
      <c r="L40" s="60" t="str">
        <f>IFERROR(__xludf.DUMMYFUNCTION("""COMPUTED_VALUE"""),"Active")</f>
        <v>Active</v>
      </c>
      <c r="M40" s="62" t="str">
        <f>IFERROR(__xludf.DUMMYFUNCTION("""COMPUTED_VALUE"""),"https://drive.google.com/open?id=1hWsjclL-lN4n9sgFNu8TbBZ7L0ojEINO")</f>
        <v>https://drive.google.com/open?id=1hWsjclL-lN4n9sgFNu8TbBZ7L0ojEINO</v>
      </c>
    </row>
    <row r="41">
      <c r="A41" s="60"/>
      <c r="B41" s="61">
        <f>IFERROR(__xludf.DUMMYFUNCTION("""COMPUTED_VALUE"""),45775.0)</f>
        <v>45775</v>
      </c>
      <c r="C41" s="60" t="str">
        <f>IFERROR(__xludf.DUMMYFUNCTION("""COMPUTED_VALUE"""),"New Zealand")</f>
        <v>New Zealand</v>
      </c>
      <c r="D41" s="60" t="str">
        <f>IFERROR(__xludf.DUMMYFUNCTION("""COMPUTED_VALUE"""),"Nelson Marlborough Institute of Technology (NMIT)")</f>
        <v>Nelson Marlborough Institute of Technology (NMIT)</v>
      </c>
      <c r="E41" s="60" t="str">
        <f>IFERROR(__xludf.DUMMYFUNCTION("""COMPUTED_VALUE"""),"Engineering")</f>
        <v>Engineering</v>
      </c>
      <c r="F41" s="61">
        <f>IFERROR(__xludf.DUMMYFUNCTION("""COMPUTED_VALUE"""),45800.0)</f>
        <v>45800</v>
      </c>
      <c r="G41" s="60" t="str">
        <f>IFERROR(__xludf.DUMMYFUNCTION("""COMPUTED_VALUE"""),"Completed")</f>
        <v>Completed</v>
      </c>
      <c r="H41" s="60" t="str">
        <f>IFERROR(__xludf.DUMMYFUNCTION("""COMPUTED_VALUE"""),"Will Tregidga")</f>
        <v>Will Tregidga</v>
      </c>
      <c r="I41" s="60" t="str">
        <f>IFERROR(__xludf.DUMMYFUNCTION("""COMPUTED_VALUE"""),"Will.Tregidga@nmit.ac.nz")</f>
        <v>Will.Tregidga@nmit.ac.nz</v>
      </c>
      <c r="J41" s="60" t="str">
        <f>IFERROR(__xludf.DUMMYFUNCTION("""COMPUTED_VALUE"""),"MoU")</f>
        <v>MoU</v>
      </c>
      <c r="K41" s="60" t="str">
        <f>IFERROR(__xludf.DUMMYFUNCTION("""COMPUTED_VALUE"""),"5 years ")</f>
        <v>5 years </v>
      </c>
      <c r="L41" s="60" t="str">
        <f>IFERROR(__xludf.DUMMYFUNCTION("""COMPUTED_VALUE"""),"Active")</f>
        <v>Active</v>
      </c>
      <c r="M41" s="62" t="str">
        <f>IFERROR(__xludf.DUMMYFUNCTION("""COMPUTED_VALUE"""),"https://drive.google.com/open?id=1faPRWbfkzbmMheATcRELmkrDkmL26FkX")</f>
        <v>https://drive.google.com/open?id=1faPRWbfkzbmMheATcRELmkrDkmL26FkX</v>
      </c>
    </row>
    <row r="42">
      <c r="A42" s="60"/>
      <c r="B42" s="61">
        <f>IFERROR(__xludf.DUMMYFUNCTION("""COMPUTED_VALUE"""),44958.0)</f>
        <v>44958</v>
      </c>
      <c r="C42" s="60" t="str">
        <f>IFERROR(__xludf.DUMMYFUNCTION("""COMPUTED_VALUE"""),"New Zealand")</f>
        <v>New Zealand</v>
      </c>
      <c r="D42" s="60" t="str">
        <f>IFERROR(__xludf.DUMMYFUNCTION("""COMPUTED_VALUE"""),"Whitireia and WelTec")</f>
        <v>Whitireia and WelTec</v>
      </c>
      <c r="E42" s="60" t="str">
        <f>IFERROR(__xludf.DUMMYFUNCTION("""COMPUTED_VALUE"""),"Business Management")</f>
        <v>Business Management</v>
      </c>
      <c r="F42" s="61">
        <f>IFERROR(__xludf.DUMMYFUNCTION("""COMPUTED_VALUE"""),44969.0)</f>
        <v>44969</v>
      </c>
      <c r="G42" s="60" t="str">
        <f>IFERROR(__xludf.DUMMYFUNCTION("""COMPUTED_VALUE"""),"Completed")</f>
        <v>Completed</v>
      </c>
      <c r="H42" s="60" t="str">
        <f>IFERROR(__xludf.DUMMYFUNCTION("""COMPUTED_VALUE"""),"Prof. Bryan")</f>
        <v>Prof. Bryan</v>
      </c>
      <c r="I42" s="60" t="str">
        <f>IFERROR(__xludf.DUMMYFUNCTION("""COMPUTED_VALUE"""),"bryan.read@wandw.ac.nz")</f>
        <v>bryan.read@wandw.ac.nz</v>
      </c>
      <c r="J42" s="60" t="str">
        <f>IFERROR(__xludf.DUMMYFUNCTION("""COMPUTED_VALUE"""),"MoU")</f>
        <v>MoU</v>
      </c>
      <c r="K42" s="60" t="str">
        <f>IFERROR(__xludf.DUMMYFUNCTION("""COMPUTED_VALUE"""),"5 years ")</f>
        <v>5 years </v>
      </c>
      <c r="L42" s="60" t="str">
        <f>IFERROR(__xludf.DUMMYFUNCTION("""COMPUTED_VALUE"""),"Active")</f>
        <v>Active</v>
      </c>
      <c r="M42" s="62" t="str">
        <f>IFERROR(__xludf.DUMMYFUNCTION("""COMPUTED_VALUE"""),"https://drive.google.com/open?id=1jJ11gMSF69NT2LOOK0Xa-u4QtjfdfgOo")</f>
        <v>https://drive.google.com/open?id=1jJ11gMSF69NT2LOOK0Xa-u4QtjfdfgOo</v>
      </c>
    </row>
    <row r="43">
      <c r="A43" s="60"/>
      <c r="B43" s="61">
        <f>IFERROR(__xludf.DUMMYFUNCTION("""COMPUTED_VALUE"""),45819.0)</f>
        <v>45819</v>
      </c>
      <c r="C43" s="60" t="str">
        <f>IFERROR(__xludf.DUMMYFUNCTION("""COMPUTED_VALUE"""),"Malaysia ")</f>
        <v>Malaysia </v>
      </c>
      <c r="D43" s="60" t="str">
        <f>IFERROR(__xludf.DUMMYFUNCTION("""COMPUTED_VALUE"""),"INTI International University")</f>
        <v>INTI International University</v>
      </c>
      <c r="E43" s="60" t="str">
        <f>IFERROR(__xludf.DUMMYFUNCTION("""COMPUTED_VALUE"""),"Management / engineering")</f>
        <v>Management / engineering</v>
      </c>
      <c r="F43" s="61">
        <f>IFERROR(__xludf.DUMMYFUNCTION("""COMPUTED_VALUE"""),45826.0)</f>
        <v>45826</v>
      </c>
      <c r="G43" s="60" t="str">
        <f>IFERROR(__xludf.DUMMYFUNCTION("""COMPUTED_VALUE"""),"Completed")</f>
        <v>Completed</v>
      </c>
      <c r="H43" s="60" t="str">
        <f>IFERROR(__xludf.DUMMYFUNCTION("""COMPUTED_VALUE"""),"Dr. Kumeresan")</f>
        <v>Dr. Kumeresan</v>
      </c>
      <c r="I43" s="60" t="str">
        <f>IFERROR(__xludf.DUMMYFUNCTION("""COMPUTED_VALUE"""),"kumar.krishnasamy@newinti.edu.my")</f>
        <v>kumar.krishnasamy@newinti.edu.my</v>
      </c>
      <c r="J43" s="60" t="str">
        <f>IFERROR(__xludf.DUMMYFUNCTION("""COMPUTED_VALUE"""),"MoU")</f>
        <v>MoU</v>
      </c>
      <c r="K43" s="60" t="str">
        <f>IFERROR(__xludf.DUMMYFUNCTION("""COMPUTED_VALUE"""),"5 years ")</f>
        <v>5 years </v>
      </c>
      <c r="L43" s="60" t="str">
        <f>IFERROR(__xludf.DUMMYFUNCTION("""COMPUTED_VALUE"""),"Active")</f>
        <v>Active</v>
      </c>
      <c r="M43" s="62" t="str">
        <f>IFERROR(__xludf.DUMMYFUNCTION("""COMPUTED_VALUE"""),"https://drive.google.com/open?id=1YAbaDNqxm7ExKi54J1nOEsItPYRBk3qM")</f>
        <v>https://drive.google.com/open?id=1YAbaDNqxm7ExKi54J1nOEsItPYRBk3qM</v>
      </c>
    </row>
    <row r="44">
      <c r="A44" s="60"/>
      <c r="B44" s="61">
        <f>IFERROR(__xludf.DUMMYFUNCTION("""COMPUTED_VALUE"""),45838.0)</f>
        <v>45838</v>
      </c>
      <c r="C44" s="60" t="str">
        <f>IFERROR(__xludf.DUMMYFUNCTION("""COMPUTED_VALUE"""),"Malayasia")</f>
        <v>Malayasia</v>
      </c>
      <c r="D44" s="60" t="str">
        <f>IFERROR(__xludf.DUMMYFUNCTION("""COMPUTED_VALUE"""),"Relaince College")</f>
        <v>Relaince College</v>
      </c>
      <c r="E44" s="60" t="str">
        <f>IFERROR(__xludf.DUMMYFUNCTION("""COMPUTED_VALUE"""),"Management / engineering")</f>
        <v>Management / engineering</v>
      </c>
      <c r="F44" s="61">
        <f>IFERROR(__xludf.DUMMYFUNCTION("""COMPUTED_VALUE"""),45840.0)</f>
        <v>45840</v>
      </c>
      <c r="G44" s="60" t="str">
        <f>IFERROR(__xludf.DUMMYFUNCTION("""COMPUTED_VALUE"""),"Completed")</f>
        <v>Completed</v>
      </c>
      <c r="H44" s="60" t="str">
        <f>IFERROR(__xludf.DUMMYFUNCTION("""COMPUTED_VALUE"""),"Ms. Jagdeep")</f>
        <v>Ms. Jagdeep</v>
      </c>
      <c r="I44" s="60" t="str">
        <f>IFERROR(__xludf.DUMMYFUNCTION("""COMPUTED_VALUE"""),"jagdeepkaur.p@bac.edu.my")</f>
        <v>jagdeepkaur.p@bac.edu.my</v>
      </c>
      <c r="J44" s="60" t="str">
        <f>IFERROR(__xludf.DUMMYFUNCTION("""COMPUTED_VALUE"""),"MoU")</f>
        <v>MoU</v>
      </c>
      <c r="K44" s="60" t="str">
        <f>IFERROR(__xludf.DUMMYFUNCTION("""COMPUTED_VALUE"""),"5 years ")</f>
        <v>5 years </v>
      </c>
      <c r="L44" s="60" t="str">
        <f>IFERROR(__xludf.DUMMYFUNCTION("""COMPUTED_VALUE"""),"Active")</f>
        <v>Active</v>
      </c>
      <c r="M44" s="62" t="str">
        <f>IFERROR(__xludf.DUMMYFUNCTION("""COMPUTED_VALUE"""),"https://drive.google.com/open?id=1kMvBTRge1OrIbcAlMvPWmtk0CRbburR5")</f>
        <v>https://drive.google.com/open?id=1kMvBTRge1OrIbcAlMvPWmtk0CRbburR5</v>
      </c>
    </row>
    <row r="45">
      <c r="A45" s="60"/>
      <c r="B45" s="61">
        <f>IFERROR(__xludf.DUMMYFUNCTION("""COMPUTED_VALUE"""),45173.0)</f>
        <v>45173</v>
      </c>
      <c r="C45" s="60" t="str">
        <f>IFERROR(__xludf.DUMMYFUNCTION("""COMPUTED_VALUE"""),"Malayasia")</f>
        <v>Malayasia</v>
      </c>
      <c r="D45" s="60" t="str">
        <f>IFERROR(__xludf.DUMMYFUNCTION("""COMPUTED_VALUE"""),"University of Cyberjaya")</f>
        <v>University of Cyberjaya</v>
      </c>
      <c r="E45" s="60" t="str">
        <f>IFERROR(__xludf.DUMMYFUNCTION("""COMPUTED_VALUE"""),"Medical")</f>
        <v>Medical</v>
      </c>
      <c r="F45" s="61">
        <f>IFERROR(__xludf.DUMMYFUNCTION("""COMPUTED_VALUE"""),45323.0)</f>
        <v>45323</v>
      </c>
      <c r="G45" s="60" t="str">
        <f>IFERROR(__xludf.DUMMYFUNCTION("""COMPUTED_VALUE"""),"Completed")</f>
        <v>Completed</v>
      </c>
      <c r="H45" s="60" t="str">
        <f>IFERROR(__xludf.DUMMYFUNCTION("""COMPUTED_VALUE"""),"ZABIDI HUSSIN")</f>
        <v>ZABIDI HUSSIN</v>
      </c>
      <c r="I45" s="60" t="str">
        <f>IFERROR(__xludf.DUMMYFUNCTION("""COMPUTED_VALUE"""),"zabidihussin@cyberjaya.edu.my")</f>
        <v>zabidihussin@cyberjaya.edu.my</v>
      </c>
      <c r="J45" s="60" t="str">
        <f>IFERROR(__xludf.DUMMYFUNCTION("""COMPUTED_VALUE"""),"MoU")</f>
        <v>MoU</v>
      </c>
      <c r="K45" s="60" t="str">
        <f>IFERROR(__xludf.DUMMYFUNCTION("""COMPUTED_VALUE"""),"5 years ")</f>
        <v>5 years </v>
      </c>
      <c r="L45" s="60" t="str">
        <f>IFERROR(__xludf.DUMMYFUNCTION("""COMPUTED_VALUE"""),"Active")</f>
        <v>Active</v>
      </c>
      <c r="M45" s="62" t="str">
        <f>IFERROR(__xludf.DUMMYFUNCTION("""COMPUTED_VALUE"""),"https://drive.google.com/open?id=1Y21N0IAP_EzQ4uviMpy6QPDziSgC5uSc")</f>
        <v>https://drive.google.com/open?id=1Y21N0IAP_EzQ4uviMpy6QPDziSgC5uSc</v>
      </c>
    </row>
    <row r="46">
      <c r="A46" s="60"/>
      <c r="B46" s="61">
        <f>IFERROR(__xludf.DUMMYFUNCTION("""COMPUTED_VALUE"""),45202.0)</f>
        <v>45202</v>
      </c>
      <c r="C46" s="60" t="str">
        <f>IFERROR(__xludf.DUMMYFUNCTION("""COMPUTED_VALUE"""),"Malayasia")</f>
        <v>Malayasia</v>
      </c>
      <c r="D46" s="60" t="str">
        <f>IFERROR(__xludf.DUMMYFUNCTION("""COMPUTED_VALUE"""),"Multimedia University (MMU)")</f>
        <v>Multimedia University (MMU)</v>
      </c>
      <c r="E46" s="60" t="str">
        <f>IFERROR(__xludf.DUMMYFUNCTION("""COMPUTED_VALUE"""),"Engirneering")</f>
        <v>Engirneering</v>
      </c>
      <c r="F46" s="61">
        <f>IFERROR(__xludf.DUMMYFUNCTION("""COMPUTED_VALUE"""),45555.0)</f>
        <v>45555</v>
      </c>
      <c r="G46" s="60" t="str">
        <f>IFERROR(__xludf.DUMMYFUNCTION("""COMPUTED_VALUE"""),"Completed")</f>
        <v>Completed</v>
      </c>
      <c r="H46" s="60" t="str">
        <f>IFERROR(__xludf.DUMMYFUNCTION("""COMPUTED_VALUE"""),"Abdul Aziz Ahmad")</f>
        <v>Abdul Aziz Ahmad</v>
      </c>
      <c r="I46" s="60" t="str">
        <f>IFERROR(__xludf.DUMMYFUNCTION("""COMPUTED_VALUE"""),"aziz.ahmad@mmu.edu.my")</f>
        <v>aziz.ahmad@mmu.edu.my</v>
      </c>
      <c r="J46" s="60" t="str">
        <f>IFERROR(__xludf.DUMMYFUNCTION("""COMPUTED_VALUE"""),"MoU")</f>
        <v>MoU</v>
      </c>
      <c r="K46" s="60" t="str">
        <f>IFERROR(__xludf.DUMMYFUNCTION("""COMPUTED_VALUE"""),"3 years ")</f>
        <v>3 years </v>
      </c>
      <c r="L46" s="60" t="str">
        <f>IFERROR(__xludf.DUMMYFUNCTION("""COMPUTED_VALUE"""),"Active")</f>
        <v>Active</v>
      </c>
      <c r="M46" s="62" t="str">
        <f>IFERROR(__xludf.DUMMYFUNCTION("""COMPUTED_VALUE"""),"https://drive.google.com/open?id=1igA5cQnytUCuhO9V1z7-98Sn3fVGrESO")</f>
        <v>https://drive.google.com/open?id=1igA5cQnytUCuhO9V1z7-98Sn3fVGrESO</v>
      </c>
    </row>
    <row r="47">
      <c r="A47" s="60"/>
      <c r="B47" s="61">
        <f>IFERROR(__xludf.DUMMYFUNCTION("""COMPUTED_VALUE"""),44971.0)</f>
        <v>44971</v>
      </c>
      <c r="C47" s="60" t="str">
        <f>IFERROR(__xludf.DUMMYFUNCTION("""COMPUTED_VALUE"""),"Latvia ")</f>
        <v>Latvia </v>
      </c>
      <c r="D47" s="60" t="str">
        <f>IFERROR(__xludf.DUMMYFUNCTION("""COMPUTED_VALUE"""),"Baltic International Academy")</f>
        <v>Baltic International Academy</v>
      </c>
      <c r="E47" s="60" t="str">
        <f>IFERROR(__xludf.DUMMYFUNCTION("""COMPUTED_VALUE"""),"Business Management")</f>
        <v>Business Management</v>
      </c>
      <c r="F47" s="61">
        <f>IFERROR(__xludf.DUMMYFUNCTION("""COMPUTED_VALUE"""),45045.0)</f>
        <v>45045</v>
      </c>
      <c r="G47" s="60" t="str">
        <f>IFERROR(__xludf.DUMMYFUNCTION("""COMPUTED_VALUE"""),"Completed")</f>
        <v>Completed</v>
      </c>
      <c r="H47" s="60" t="str">
        <f>IFERROR(__xludf.DUMMYFUNCTION("""COMPUTED_VALUE"""),"Inta Buka")</f>
        <v>Inta Buka</v>
      </c>
      <c r="I47" s="60" t="str">
        <f>IFERROR(__xludf.DUMMYFUNCTION("""COMPUTED_VALUE"""),"inta.buka@bsa.edu.lv")</f>
        <v>inta.buka@bsa.edu.lv</v>
      </c>
      <c r="J47" s="60" t="str">
        <f>IFERROR(__xludf.DUMMYFUNCTION("""COMPUTED_VALUE"""),"MoU")</f>
        <v>MoU</v>
      </c>
      <c r="K47" s="60" t="str">
        <f>IFERROR(__xludf.DUMMYFUNCTION("""COMPUTED_VALUE"""),"Indefinite term")</f>
        <v>Indefinite term</v>
      </c>
      <c r="L47" s="60" t="str">
        <f>IFERROR(__xludf.DUMMYFUNCTION("""COMPUTED_VALUE"""),"Active")</f>
        <v>Active</v>
      </c>
      <c r="M47" s="62" t="str">
        <f>IFERROR(__xludf.DUMMYFUNCTION("""COMPUTED_VALUE"""),"https://drive.google.com/open?id=1-VCMROxXxElA90pkD6MdGFauIWgzGrs4")</f>
        <v>https://drive.google.com/open?id=1-VCMROxXxElA90pkD6MdGFauIWgzGrs4</v>
      </c>
    </row>
    <row r="48">
      <c r="A48" s="60"/>
      <c r="B48" s="61">
        <f>IFERROR(__xludf.DUMMYFUNCTION("""COMPUTED_VALUE"""),44999.0)</f>
        <v>44999</v>
      </c>
      <c r="C48" s="60" t="str">
        <f>IFERROR(__xludf.DUMMYFUNCTION("""COMPUTED_VALUE"""),"USA")</f>
        <v>USA</v>
      </c>
      <c r="D48" s="60" t="str">
        <f>IFERROR(__xludf.DUMMYFUNCTION("""COMPUTED_VALUE"""),"University of South Carolina Aiken")</f>
        <v>University of South Carolina Aiken</v>
      </c>
      <c r="E48" s="60" t="str">
        <f>IFERROR(__xludf.DUMMYFUNCTION("""COMPUTED_VALUE"""),"Engineering and Business Management")</f>
        <v>Engineering and Business Management</v>
      </c>
      <c r="F48" s="61">
        <f>IFERROR(__xludf.DUMMYFUNCTION("""COMPUTED_VALUE"""),45008.0)</f>
        <v>45008</v>
      </c>
      <c r="G48" s="60" t="str">
        <f>IFERROR(__xludf.DUMMYFUNCTION("""COMPUTED_VALUE"""),"Completed")</f>
        <v>Completed</v>
      </c>
      <c r="H48" s="60" t="str">
        <f>IFERROR(__xludf.DUMMYFUNCTION("""COMPUTED_VALUE"""),"Ani Agnihotri/ Dr. Daniel Heimmermann")</f>
        <v>Ani Agnihotri/ Dr. Daniel Heimmermann</v>
      </c>
      <c r="I48" s="60" t="str">
        <f>IFERROR(__xludf.DUMMYFUNCTION("""COMPUTED_VALUE"""),"ani@usaindiabusinesssummit.com, Daniel.Heimmermann@usca.edu")</f>
        <v>ani@usaindiabusinesssummit.com, Daniel.Heimmermann@usca.edu</v>
      </c>
      <c r="J48" s="60" t="str">
        <f>IFERROR(__xludf.DUMMYFUNCTION("""COMPUTED_VALUE"""),"MoU")</f>
        <v>MoU</v>
      </c>
      <c r="K48" s="60" t="str">
        <f>IFERROR(__xludf.DUMMYFUNCTION("""COMPUTED_VALUE"""),"1 Year ")</f>
        <v>1 Year </v>
      </c>
      <c r="L48" s="60" t="str">
        <f>IFERROR(__xludf.DUMMYFUNCTION("""COMPUTED_VALUE"""),"Expired")</f>
        <v>Expired</v>
      </c>
      <c r="M48" s="62" t="str">
        <f>IFERROR(__xludf.DUMMYFUNCTION("""COMPUTED_VALUE"""),"https://drive.google.com/open?id=1VjshEBrfhLuVPoDpTZISvC6Pa3wo1duI")</f>
        <v>https://drive.google.com/open?id=1VjshEBrfhLuVPoDpTZISvC6Pa3wo1duI</v>
      </c>
    </row>
    <row r="49">
      <c r="A49" s="60"/>
      <c r="B49" s="61">
        <f>IFERROR(__xludf.DUMMYFUNCTION("""COMPUTED_VALUE"""),45052.0)</f>
        <v>45052</v>
      </c>
      <c r="C49" s="60" t="str">
        <f>IFERROR(__xludf.DUMMYFUNCTION("""COMPUTED_VALUE"""),"USA")</f>
        <v>USA</v>
      </c>
      <c r="D49" s="60" t="str">
        <f>IFERROR(__xludf.DUMMYFUNCTION("""COMPUTED_VALUE"""),"The University of Wisconsin–Madison, USA")</f>
        <v>The University of Wisconsin–Madison, USA</v>
      </c>
      <c r="E49" s="60" t="str">
        <f>IFERROR(__xludf.DUMMYFUNCTION("""COMPUTED_VALUE"""),"Engineering")</f>
        <v>Engineering</v>
      </c>
      <c r="F49" s="61">
        <f>IFERROR(__xludf.DUMMYFUNCTION("""COMPUTED_VALUE"""),45104.0)</f>
        <v>45104</v>
      </c>
      <c r="G49" s="60" t="str">
        <f>IFERROR(__xludf.DUMMYFUNCTION("""COMPUTED_VALUE"""),"Completed")</f>
        <v>Completed</v>
      </c>
      <c r="H49" s="60" t="str">
        <f>IFERROR(__xludf.DUMMYFUNCTION("""COMPUTED_VALUE"""),"CALYN M OSTROWSKI ")</f>
        <v>CALYN M OSTROWSKI </v>
      </c>
      <c r="I49" s="60" t="str">
        <f>IFERROR(__xludf.DUMMYFUNCTION("""COMPUTED_VALUE"""),"calyn.ostrowski@wisc.edu")</f>
        <v>calyn.ostrowski@wisc.edu</v>
      </c>
      <c r="J49" s="60" t="str">
        <f>IFERROR(__xludf.DUMMYFUNCTION("""COMPUTED_VALUE"""),"MoU")</f>
        <v>MoU</v>
      </c>
      <c r="K49" s="60" t="str">
        <f>IFERROR(__xludf.DUMMYFUNCTION("""COMPUTED_VALUE"""),"No date mentioned")</f>
        <v>No date mentioned</v>
      </c>
      <c r="L49" s="60" t="str">
        <f>IFERROR(__xludf.DUMMYFUNCTION("""COMPUTED_VALUE"""),"Active")</f>
        <v>Active</v>
      </c>
      <c r="M49" s="62" t="str">
        <f>IFERROR(__xludf.DUMMYFUNCTION("""COMPUTED_VALUE"""),"https://drive.google.com/open?id=1TyxaDr_9VahH1YleK1ER2SvtGLnJEOn8")</f>
        <v>https://drive.google.com/open?id=1TyxaDr_9VahH1YleK1ER2SvtGLnJEOn8</v>
      </c>
    </row>
    <row r="50">
      <c r="A50" s="60"/>
      <c r="B50" s="61">
        <f>IFERROR(__xludf.DUMMYFUNCTION("""COMPUTED_VALUE"""),45146.0)</f>
        <v>45146</v>
      </c>
      <c r="C50" s="60" t="str">
        <f>IFERROR(__xludf.DUMMYFUNCTION("""COMPUTED_VALUE"""),"Kazakhstan")</f>
        <v>Kazakhstan</v>
      </c>
      <c r="D50" s="60" t="str">
        <f>IFERROR(__xludf.DUMMYFUNCTION("""COMPUTED_VALUE"""),"The Karaganda Medical University")</f>
        <v>The Karaganda Medical University</v>
      </c>
      <c r="E50" s="60" t="str">
        <f>IFERROR(__xludf.DUMMYFUNCTION("""COMPUTED_VALUE"""),"Medical")</f>
        <v>Medical</v>
      </c>
      <c r="F50" s="61">
        <f>IFERROR(__xludf.DUMMYFUNCTION("""COMPUTED_VALUE"""),45184.0)</f>
        <v>45184</v>
      </c>
      <c r="G50" s="60" t="str">
        <f>IFERROR(__xludf.DUMMYFUNCTION("""COMPUTED_VALUE"""),"Completed")</f>
        <v>Completed</v>
      </c>
      <c r="H50" s="60" t="str">
        <f>IFERROR(__xludf.DUMMYFUNCTION("""COMPUTED_VALUE"""),"Dana Gissa")</f>
        <v>Dana Gissa</v>
      </c>
      <c r="I50" s="60" t="str">
        <f>IFERROR(__xludf.DUMMYFUNCTION("""COMPUTED_VALUE"""),"Ghisa@qmu.kz")</f>
        <v>Ghisa@qmu.kz</v>
      </c>
      <c r="J50" s="60" t="str">
        <f>IFERROR(__xludf.DUMMYFUNCTION("""COMPUTED_VALUE"""),"MoU")</f>
        <v>MoU</v>
      </c>
      <c r="K50" s="60" t="str">
        <f>IFERROR(__xludf.DUMMYFUNCTION("""COMPUTED_VALUE"""),"5 years ")</f>
        <v>5 years </v>
      </c>
      <c r="L50" s="60" t="str">
        <f>IFERROR(__xludf.DUMMYFUNCTION("""COMPUTED_VALUE"""),"Active")</f>
        <v>Active</v>
      </c>
      <c r="M50" s="62" t="str">
        <f>IFERROR(__xludf.DUMMYFUNCTION("""COMPUTED_VALUE"""),"https://drive.google.com/open?id=1AVYKVjE-6dxvVV4Vo6xHAPUDHMZotEka")</f>
        <v>https://drive.google.com/open?id=1AVYKVjE-6dxvVV4Vo6xHAPUDHMZotEka</v>
      </c>
    </row>
    <row r="51">
      <c r="A51" s="60"/>
      <c r="B51" s="61">
        <f>IFERROR(__xludf.DUMMYFUNCTION("""COMPUTED_VALUE"""),45289.0)</f>
        <v>45289</v>
      </c>
      <c r="C51" s="60" t="str">
        <f>IFERROR(__xludf.DUMMYFUNCTION("""COMPUTED_VALUE"""),"Kazakhstan")</f>
        <v>Kazakhstan</v>
      </c>
      <c r="D51" s="60" t="str">
        <f>IFERROR(__xludf.DUMMYFUNCTION("""COMPUTED_VALUE"""),"Atyrau University")</f>
        <v>Atyrau University</v>
      </c>
      <c r="E51" s="60" t="str">
        <f>IFERROR(__xludf.DUMMYFUNCTION("""COMPUTED_VALUE"""),"Engineering and Law")</f>
        <v>Engineering and Law</v>
      </c>
      <c r="F51" s="61">
        <f>IFERROR(__xludf.DUMMYFUNCTION("""COMPUTED_VALUE"""),45289.0)</f>
        <v>45289</v>
      </c>
      <c r="G51" s="60" t="str">
        <f>IFERROR(__xludf.DUMMYFUNCTION("""COMPUTED_VALUE"""),"Completed")</f>
        <v>Completed</v>
      </c>
      <c r="H51" s="60" t="str">
        <f>IFERROR(__xludf.DUMMYFUNCTION("""COMPUTED_VALUE"""),"SN Idrisssov")</f>
        <v>SN Idrisssov</v>
      </c>
      <c r="I51" s="60" t="str">
        <f>IFERROR(__xludf.DUMMYFUNCTION("""COMPUTED_VALUE"""),"international_office@asu.edu.kz ")</f>
        <v>international_office@asu.edu.kz </v>
      </c>
      <c r="J51" s="60" t="str">
        <f>IFERROR(__xludf.DUMMYFUNCTION("""COMPUTED_VALUE"""),"MoU")</f>
        <v>MoU</v>
      </c>
      <c r="K51" s="60" t="str">
        <f>IFERROR(__xludf.DUMMYFUNCTION("""COMPUTED_VALUE"""),"5 years ")</f>
        <v>5 years </v>
      </c>
      <c r="L51" s="60" t="str">
        <f>IFERROR(__xludf.DUMMYFUNCTION("""COMPUTED_VALUE"""),"Active")</f>
        <v>Active</v>
      </c>
      <c r="M51" s="62" t="str">
        <f>IFERROR(__xludf.DUMMYFUNCTION("""COMPUTED_VALUE"""),"https://drive.google.com/open?id=1t8nFpZMFQXpMjelsjneQkThPlCgH6bKk")</f>
        <v>https://drive.google.com/open?id=1t8nFpZMFQXpMjelsjneQkThPlCgH6bKk</v>
      </c>
    </row>
    <row r="52">
      <c r="A52" s="60"/>
      <c r="B52" s="61">
        <f>IFERROR(__xludf.DUMMYFUNCTION("""COMPUTED_VALUE"""),45021.0)</f>
        <v>45021</v>
      </c>
      <c r="C52" s="60" t="str">
        <f>IFERROR(__xludf.DUMMYFUNCTION("""COMPUTED_VALUE"""),"Italy")</f>
        <v>Italy</v>
      </c>
      <c r="D52" s="60" t="str">
        <f>IFERROR(__xludf.DUMMYFUNCTION("""COMPUTED_VALUE"""),"University of Messina")</f>
        <v>University of Messina</v>
      </c>
      <c r="E52" s="60" t="str">
        <f>IFERROR(__xludf.DUMMYFUNCTION("""COMPUTED_VALUE"""),"Engineering and Business Management")</f>
        <v>Engineering and Business Management</v>
      </c>
      <c r="F52" s="61">
        <f>IFERROR(__xludf.DUMMYFUNCTION("""COMPUTED_VALUE"""),45021.0)</f>
        <v>45021</v>
      </c>
      <c r="G52" s="60" t="str">
        <f>IFERROR(__xludf.DUMMYFUNCTION("""COMPUTED_VALUE"""),"Completed")</f>
        <v>Completed</v>
      </c>
      <c r="H52" s="60" t="str">
        <f>IFERROR(__xludf.DUMMYFUNCTION("""COMPUTED_VALUE"""),"Ms.  Simona Fazio")</f>
        <v>Ms.  Simona Fazio</v>
      </c>
      <c r="I52" s="60" t="str">
        <f>IFERROR(__xludf.DUMMYFUNCTION("""COMPUTED_VALUE"""),"simona.fazio@unime.it")</f>
        <v>simona.fazio@unime.it</v>
      </c>
      <c r="J52" s="60" t="str">
        <f>IFERROR(__xludf.DUMMYFUNCTION("""COMPUTED_VALUE"""),"MoU")</f>
        <v>MoU</v>
      </c>
      <c r="K52" s="60" t="str">
        <f>IFERROR(__xludf.DUMMYFUNCTION("""COMPUTED_VALUE"""),"5 years ")</f>
        <v>5 years </v>
      </c>
      <c r="L52" s="60" t="str">
        <f>IFERROR(__xludf.DUMMYFUNCTION("""COMPUTED_VALUE"""),"Active")</f>
        <v>Active</v>
      </c>
      <c r="M52" s="62" t="str">
        <f>IFERROR(__xludf.DUMMYFUNCTION("""COMPUTED_VALUE"""),"https://drive.google.com/open?id=1h-vwl5SnMQCyAZjFLg-ve3mThYrBpltC")</f>
        <v>https://drive.google.com/open?id=1h-vwl5SnMQCyAZjFLg-ve3mThYrBpltC</v>
      </c>
    </row>
    <row r="53">
      <c r="A53" s="60"/>
      <c r="B53" s="61">
        <f>IFERROR(__xludf.DUMMYFUNCTION("""COMPUTED_VALUE"""),45090.0)</f>
        <v>45090</v>
      </c>
      <c r="C53" s="60" t="str">
        <f>IFERROR(__xludf.DUMMYFUNCTION("""COMPUTED_VALUE"""),"Italy")</f>
        <v>Italy</v>
      </c>
      <c r="D53" s="60" t="str">
        <f>IFERROR(__xludf.DUMMYFUNCTION("""COMPUTED_VALUE"""),"The University of Brescia")</f>
        <v>The University of Brescia</v>
      </c>
      <c r="E53" s="60" t="str">
        <f>IFERROR(__xludf.DUMMYFUNCTION("""COMPUTED_VALUE"""),"Engineering")</f>
        <v>Engineering</v>
      </c>
      <c r="F53" s="61">
        <f>IFERROR(__xludf.DUMMYFUNCTION("""COMPUTED_VALUE"""),45199.0)</f>
        <v>45199</v>
      </c>
      <c r="G53" s="60" t="str">
        <f>IFERROR(__xludf.DUMMYFUNCTION("""COMPUTED_VALUE"""),"Completed")</f>
        <v>Completed</v>
      </c>
      <c r="H53" s="60" t="str">
        <f>IFERROR(__xludf.DUMMYFUNCTION("""COMPUTED_VALUE"""),"Stefano Rinaldi")</f>
        <v>Stefano Rinaldi</v>
      </c>
      <c r="I53" s="60" t="str">
        <f>IFERROR(__xludf.DUMMYFUNCTION("""COMPUTED_VALUE"""),"stefano.rinaldi@unibs.it")</f>
        <v>stefano.rinaldi@unibs.it</v>
      </c>
      <c r="J53" s="60" t="str">
        <f>IFERROR(__xludf.DUMMYFUNCTION("""COMPUTED_VALUE"""),"MoU")</f>
        <v>MoU</v>
      </c>
      <c r="K53" s="60" t="str">
        <f>IFERROR(__xludf.DUMMYFUNCTION("""COMPUTED_VALUE"""),"5 years ")</f>
        <v>5 years </v>
      </c>
      <c r="L53" s="60" t="str">
        <f>IFERROR(__xludf.DUMMYFUNCTION("""COMPUTED_VALUE"""),"Active")</f>
        <v>Active</v>
      </c>
      <c r="M53" s="62" t="str">
        <f>IFERROR(__xludf.DUMMYFUNCTION("""COMPUTED_VALUE"""),"https://drive.google.com/open?id=1E6PVrXteD_0j4zrqpXHxncCg7gF35SXx")</f>
        <v>https://drive.google.com/open?id=1E6PVrXteD_0j4zrqpXHxncCg7gF35SXx</v>
      </c>
    </row>
    <row r="54">
      <c r="A54" s="60"/>
      <c r="B54" s="61">
        <f>IFERROR(__xludf.DUMMYFUNCTION("""COMPUTED_VALUE"""),45838.0)</f>
        <v>45838</v>
      </c>
      <c r="C54" s="60" t="str">
        <f>IFERROR(__xludf.DUMMYFUNCTION("""COMPUTED_VALUE"""),"Indonesia")</f>
        <v>Indonesia</v>
      </c>
      <c r="D54" s="60" t="str">
        <f>IFERROR(__xludf.DUMMYFUNCTION("""COMPUTED_VALUE"""),"Hasanuddin University")</f>
        <v>Hasanuddin University</v>
      </c>
      <c r="E54" s="60" t="str">
        <f>IFERROR(__xludf.DUMMYFUNCTION("""COMPUTED_VALUE"""),"Management / engineering")</f>
        <v>Management / engineering</v>
      </c>
      <c r="F54" s="61">
        <f>IFERROR(__xludf.DUMMYFUNCTION("""COMPUTED_VALUE"""),45845.0)</f>
        <v>45845</v>
      </c>
      <c r="G54" s="60" t="str">
        <f>IFERROR(__xludf.DUMMYFUNCTION("""COMPUTED_VALUE"""),"Completed")</f>
        <v>Completed</v>
      </c>
      <c r="H54" s="60" t="str">
        <f>IFERROR(__xludf.DUMMYFUNCTION("""COMPUTED_VALUE"""),"Zulkifli Tahir")</f>
        <v>Zulkifli Tahir</v>
      </c>
      <c r="I54" s="60" t="str">
        <f>IFERROR(__xludf.DUMMYFUNCTION("""COMPUTED_VALUE"""),"intl.partnership@unhas.ac.id")</f>
        <v>intl.partnership@unhas.ac.id</v>
      </c>
      <c r="J54" s="60" t="str">
        <f>IFERROR(__xludf.DUMMYFUNCTION("""COMPUTED_VALUE"""),"MoU")</f>
        <v>MoU</v>
      </c>
      <c r="K54" s="60" t="str">
        <f>IFERROR(__xludf.DUMMYFUNCTION("""COMPUTED_VALUE"""),"5 years ")</f>
        <v>5 years </v>
      </c>
      <c r="L54" s="60" t="str">
        <f>IFERROR(__xludf.DUMMYFUNCTION("""COMPUTED_VALUE"""),"Active")</f>
        <v>Active</v>
      </c>
      <c r="M54" s="62" t="str">
        <f>IFERROR(__xludf.DUMMYFUNCTION("""COMPUTED_VALUE"""),"https://drive.google.com/open?id=1ifBKwag83eSVwtZopO8Fo79FPqbewWjL")</f>
        <v>https://drive.google.com/open?id=1ifBKwag83eSVwtZopO8Fo79FPqbewWjL</v>
      </c>
    </row>
    <row r="55">
      <c r="A55" s="60"/>
      <c r="B55" s="61">
        <f>IFERROR(__xludf.DUMMYFUNCTION("""COMPUTED_VALUE"""),45756.0)</f>
        <v>45756</v>
      </c>
      <c r="C55" s="60" t="str">
        <f>IFERROR(__xludf.DUMMYFUNCTION("""COMPUTED_VALUE"""),"HUNGARY")</f>
        <v>HUNGARY</v>
      </c>
      <c r="D55" s="60" t="str">
        <f>IFERROR(__xludf.DUMMYFUNCTION("""COMPUTED_VALUE"""),"SZÉCHENYI ISTVÁN UNIVERSITY, ")</f>
        <v>SZÉCHENYI ISTVÁN UNIVERSITY, </v>
      </c>
      <c r="E55" s="60" t="str">
        <f>IFERROR(__xludf.DUMMYFUNCTION("""COMPUTED_VALUE"""),"Enginerring")</f>
        <v>Enginerring</v>
      </c>
      <c r="F55" s="61">
        <f>IFERROR(__xludf.DUMMYFUNCTION("""COMPUTED_VALUE"""),45886.0)</f>
        <v>45886</v>
      </c>
      <c r="G55" s="60" t="str">
        <f>IFERROR(__xludf.DUMMYFUNCTION("""COMPUTED_VALUE"""),"Completed")</f>
        <v>Completed</v>
      </c>
      <c r="H55" s="60" t="str">
        <f>IFERROR(__xludf.DUMMYFUNCTION("""COMPUTED_VALUE"""),"Bihari Annabella")</f>
        <v>Bihari Annabella</v>
      </c>
      <c r="I55" s="60" t="str">
        <f>IFERROR(__xludf.DUMMYFUNCTION("""COMPUTED_VALUE"""),"bihari.annabella@ga.sze.hu")</f>
        <v>bihari.annabella@ga.sze.hu</v>
      </c>
      <c r="J55" s="60" t="str">
        <f>IFERROR(__xludf.DUMMYFUNCTION("""COMPUTED_VALUE"""),"MoU")</f>
        <v>MoU</v>
      </c>
      <c r="K55" s="60" t="str">
        <f>IFERROR(__xludf.DUMMYFUNCTION("""COMPUTED_VALUE"""),"5 years ")</f>
        <v>5 years </v>
      </c>
      <c r="L55" s="60" t="str">
        <f>IFERROR(__xludf.DUMMYFUNCTION("""COMPUTED_VALUE"""),"Active")</f>
        <v>Active</v>
      </c>
      <c r="M55" s="62" t="str">
        <f>IFERROR(__xludf.DUMMYFUNCTION("""COMPUTED_VALUE"""),"https://drive.google.com/open?id=1dU1ClWbRkpDZ4X0MDYJLKswna89I6cUN")</f>
        <v>https://drive.google.com/open?id=1dU1ClWbRkpDZ4X0MDYJLKswna89I6cUN</v>
      </c>
    </row>
    <row r="56">
      <c r="A56" s="60"/>
      <c r="B56" s="61">
        <f>IFERROR(__xludf.DUMMYFUNCTION("""COMPUTED_VALUE"""),45301.0)</f>
        <v>45301</v>
      </c>
      <c r="C56" s="60" t="str">
        <f>IFERROR(__xludf.DUMMYFUNCTION("""COMPUTED_VALUE"""),"Germany")</f>
        <v>Germany</v>
      </c>
      <c r="D56" s="60" t="str">
        <f>IFERROR(__xludf.DUMMYFUNCTION("""COMPUTED_VALUE"""),"Ernst Abbe University of Applied Sciences Jena")</f>
        <v>Ernst Abbe University of Applied Sciences Jena</v>
      </c>
      <c r="E56" s="60" t="str">
        <f>IFERROR(__xludf.DUMMYFUNCTION("""COMPUTED_VALUE"""),"Engineering ")</f>
        <v>Engineering </v>
      </c>
      <c r="F56" s="61">
        <f>IFERROR(__xludf.DUMMYFUNCTION("""COMPUTED_VALUE"""),45414.0)</f>
        <v>45414</v>
      </c>
      <c r="G56" s="60" t="str">
        <f>IFERROR(__xludf.DUMMYFUNCTION("""COMPUTED_VALUE"""),"Completed")</f>
        <v>Completed</v>
      </c>
      <c r="H56" s="60" t="str">
        <f>IFERROR(__xludf.DUMMYFUNCTION("""COMPUTED_VALUE"""),"Reichel, Nancy")</f>
        <v>Reichel, Nancy</v>
      </c>
      <c r="I56" s="60" t="str">
        <f>IFERROR(__xludf.DUMMYFUNCTION("""COMPUTED_VALUE"""),"Nancy.Reichel@eah-jena.de")</f>
        <v>Nancy.Reichel@eah-jena.de</v>
      </c>
      <c r="J56" s="60" t="str">
        <f>IFERROR(__xludf.DUMMYFUNCTION("""COMPUTED_VALUE"""),"MoU")</f>
        <v>MoU</v>
      </c>
      <c r="K56" s="60" t="str">
        <f>IFERROR(__xludf.DUMMYFUNCTION("""COMPUTED_VALUE"""),"not mentioned ")</f>
        <v>not mentioned </v>
      </c>
      <c r="L56" s="60" t="str">
        <f>IFERROR(__xludf.DUMMYFUNCTION("""COMPUTED_VALUE"""),"Active")</f>
        <v>Active</v>
      </c>
      <c r="M56" s="62" t="str">
        <f>IFERROR(__xludf.DUMMYFUNCTION("""COMPUTED_VALUE"""),"https://drive.google.com/open?id=1KHqsKeKvfYqZeJCaGaBNpSnNHrMsOtmC")</f>
        <v>https://drive.google.com/open?id=1KHqsKeKvfYqZeJCaGaBNpSnNHrMsOtmC</v>
      </c>
    </row>
    <row r="57">
      <c r="A57" s="60"/>
      <c r="B57" s="61">
        <f>IFERROR(__xludf.DUMMYFUNCTION("""COMPUTED_VALUE"""),45336.0)</f>
        <v>45336</v>
      </c>
      <c r="C57" s="60" t="str">
        <f>IFERROR(__xludf.DUMMYFUNCTION("""COMPUTED_VALUE"""),"Germany")</f>
        <v>Germany</v>
      </c>
      <c r="D57" s="60" t="str">
        <f>IFERROR(__xludf.DUMMYFUNCTION("""COMPUTED_VALUE"""),"Hof University of Applied Sciences, Hof ")</f>
        <v>Hof University of Applied Sciences, Hof </v>
      </c>
      <c r="E57" s="60" t="str">
        <f>IFERROR(__xludf.DUMMYFUNCTION("""COMPUTED_VALUE"""),"Medical")</f>
        <v>Medical</v>
      </c>
      <c r="F57" s="61">
        <f>IFERROR(__xludf.DUMMYFUNCTION("""COMPUTED_VALUE"""),45378.0)</f>
        <v>45378</v>
      </c>
      <c r="G57" s="60" t="str">
        <f>IFERROR(__xludf.DUMMYFUNCTION("""COMPUTED_VALUE"""),"Completed")</f>
        <v>Completed</v>
      </c>
      <c r="H57" s="60" t="str">
        <f>IFERROR(__xludf.DUMMYFUNCTION("""COMPUTED_VALUE"""),"Gerald Schmola")</f>
        <v>Gerald Schmola</v>
      </c>
      <c r="I57" s="60" t="str">
        <f>IFERROR(__xludf.DUMMYFUNCTION("""COMPUTED_VALUE"""),"gerald.schmola@hof-university.de")</f>
        <v>gerald.schmola@hof-university.de</v>
      </c>
      <c r="J57" s="60" t="str">
        <f>IFERROR(__xludf.DUMMYFUNCTION("""COMPUTED_VALUE"""),"MoU")</f>
        <v>MoU</v>
      </c>
      <c r="K57" s="60" t="str">
        <f>IFERROR(__xludf.DUMMYFUNCTION("""COMPUTED_VALUE"""),"not mentioned ")</f>
        <v>not mentioned </v>
      </c>
      <c r="L57" s="60" t="str">
        <f>IFERROR(__xludf.DUMMYFUNCTION("""COMPUTED_VALUE"""),"Active")</f>
        <v>Active</v>
      </c>
      <c r="M57" s="62" t="str">
        <f>IFERROR(__xludf.DUMMYFUNCTION("""COMPUTED_VALUE"""),"https://drive.google.com/open?id=1WIqcbhP4OjgfRAACNp-8UTfaUBRgL_m1")</f>
        <v>https://drive.google.com/open?id=1WIqcbhP4OjgfRAACNp-8UTfaUBRgL_m1</v>
      </c>
    </row>
    <row r="58">
      <c r="A58" s="60"/>
      <c r="B58" s="61">
        <f>IFERROR(__xludf.DUMMYFUNCTION("""COMPUTED_VALUE"""),45347.0)</f>
        <v>45347</v>
      </c>
      <c r="C58" s="60" t="str">
        <f>IFERROR(__xludf.DUMMYFUNCTION("""COMPUTED_VALUE"""),"Germany")</f>
        <v>Germany</v>
      </c>
      <c r="D58" s="60" t="str">
        <f>IFERROR(__xludf.DUMMYFUNCTION("""COMPUTED_VALUE"""),"Mediatos GmbH, Nuremberg Germany")</f>
        <v>Mediatos GmbH, Nuremberg Germany</v>
      </c>
      <c r="E58" s="60" t="str">
        <f>IFERROR(__xludf.DUMMYFUNCTION("""COMPUTED_VALUE"""),"Medical")</f>
        <v>Medical</v>
      </c>
      <c r="F58" s="61">
        <f>IFERROR(__xludf.DUMMYFUNCTION("""COMPUTED_VALUE"""),45454.0)</f>
        <v>45454</v>
      </c>
      <c r="G58" s="60" t="str">
        <f>IFERROR(__xludf.DUMMYFUNCTION("""COMPUTED_VALUE"""),"Completed")</f>
        <v>Completed</v>
      </c>
      <c r="H58" s="60" t="str">
        <f>IFERROR(__xludf.DUMMYFUNCTION("""COMPUTED_VALUE"""),"Maximilian Daiber")</f>
        <v>Maximilian Daiber</v>
      </c>
      <c r="I58" s="60" t="str">
        <f>IFERROR(__xludf.DUMMYFUNCTION("""COMPUTED_VALUE"""),"m.daiber@mediatos.eu")</f>
        <v>m.daiber@mediatos.eu</v>
      </c>
      <c r="J58" s="60" t="str">
        <f>IFERROR(__xludf.DUMMYFUNCTION("""COMPUTED_VALUE"""),"MoU")</f>
        <v>MoU</v>
      </c>
      <c r="K58" s="60" t="str">
        <f>IFERROR(__xludf.DUMMYFUNCTION("""COMPUTED_VALUE"""),"3 years")</f>
        <v>3 years</v>
      </c>
      <c r="L58" s="60" t="str">
        <f>IFERROR(__xludf.DUMMYFUNCTION("""COMPUTED_VALUE"""),"Active")</f>
        <v>Active</v>
      </c>
      <c r="M58" s="62" t="str">
        <f>IFERROR(__xludf.DUMMYFUNCTION("""COMPUTED_VALUE"""),"https://drive.google.com/open?id=1kH7D1R24BML4ONbVEUuD3AkvZG8tHvzH")</f>
        <v>https://drive.google.com/open?id=1kH7D1R24BML4ONbVEUuD3AkvZG8tHvzH</v>
      </c>
    </row>
    <row r="59">
      <c r="A59" s="60"/>
      <c r="B59" s="61">
        <f>IFERROR(__xludf.DUMMYFUNCTION("""COMPUTED_VALUE"""),45011.0)</f>
        <v>45011</v>
      </c>
      <c r="C59" s="60" t="str">
        <f>IFERROR(__xludf.DUMMYFUNCTION("""COMPUTED_VALUE"""),"Germany")</f>
        <v>Germany</v>
      </c>
      <c r="D59" s="60" t="str">
        <f>IFERROR(__xludf.DUMMYFUNCTION("""COMPUTED_VALUE"""),"Hochschule Kempten University of Applied Sciences")</f>
        <v>Hochschule Kempten University of Applied Sciences</v>
      </c>
      <c r="E59" s="60" t="str">
        <f>IFERROR(__xludf.DUMMYFUNCTION("""COMPUTED_VALUE"""),"Business ")</f>
        <v>Business </v>
      </c>
      <c r="F59" s="61">
        <f>IFERROR(__xludf.DUMMYFUNCTION("""COMPUTED_VALUE"""),45402.0)</f>
        <v>45402</v>
      </c>
      <c r="G59" s="60" t="str">
        <f>IFERROR(__xludf.DUMMYFUNCTION("""COMPUTED_VALUE"""),"Completed")</f>
        <v>Completed</v>
      </c>
      <c r="H59" s="60" t="str">
        <f>IFERROR(__xludf.DUMMYFUNCTION("""COMPUTED_VALUE"""),"Dr. Martin Gobl")</f>
        <v>Dr. Martin Gobl</v>
      </c>
      <c r="I59" s="60" t="str">
        <f>IFERROR(__xludf.DUMMYFUNCTION("""COMPUTED_VALUE"""),"martin.goebl@hs-kempten.de")</f>
        <v>martin.goebl@hs-kempten.de</v>
      </c>
      <c r="J59" s="60" t="str">
        <f>IFERROR(__xludf.DUMMYFUNCTION("""COMPUTED_VALUE"""),"MoU")</f>
        <v>MoU</v>
      </c>
      <c r="K59" s="60" t="str">
        <f>IFERROR(__xludf.DUMMYFUNCTION("""COMPUTED_VALUE"""),"5 years ")</f>
        <v>5 years </v>
      </c>
      <c r="L59" s="60" t="str">
        <f>IFERROR(__xludf.DUMMYFUNCTION("""COMPUTED_VALUE"""),"Active")</f>
        <v>Active</v>
      </c>
      <c r="M59" s="62" t="str">
        <f>IFERROR(__xludf.DUMMYFUNCTION("""COMPUTED_VALUE"""),"https://drive.google.com/open?id=1QBmmhEghV7AJvRb_1vooCoTprKg_2swl")</f>
        <v>https://drive.google.com/open?id=1QBmmhEghV7AJvRb_1vooCoTprKg_2swl</v>
      </c>
    </row>
    <row r="60">
      <c r="A60" s="60"/>
      <c r="B60" s="61">
        <f>IFERROR(__xludf.DUMMYFUNCTION("""COMPUTED_VALUE"""),45079.0)</f>
        <v>45079</v>
      </c>
      <c r="C60" s="60" t="str">
        <f>IFERROR(__xludf.DUMMYFUNCTION("""COMPUTED_VALUE"""),"Germany")</f>
        <v>Germany</v>
      </c>
      <c r="D60" s="60" t="str">
        <f>IFERROR(__xludf.DUMMYFUNCTION("""COMPUTED_VALUE"""),"German Varisty, Aachen")</f>
        <v>German Varisty, Aachen</v>
      </c>
      <c r="E60" s="60" t="str">
        <f>IFERROR(__xludf.DUMMYFUNCTION("""COMPUTED_VALUE"""),"Engineering")</f>
        <v>Engineering</v>
      </c>
      <c r="F60" s="61">
        <f>IFERROR(__xludf.DUMMYFUNCTION("""COMPUTED_VALUE"""),45085.0)</f>
        <v>45085</v>
      </c>
      <c r="G60" s="60" t="str">
        <f>IFERROR(__xludf.DUMMYFUNCTION("""COMPUTED_VALUE"""),"Completed")</f>
        <v>Completed</v>
      </c>
      <c r="H60" s="60" t="str">
        <f>IFERROR(__xludf.DUMMYFUNCTION("""COMPUTED_VALUE"""),"Hema Chowdry")</f>
        <v>Hema Chowdry</v>
      </c>
      <c r="I60" s="60" t="str">
        <f>IFERROR(__xludf.DUMMYFUNCTION("""COMPUTED_VALUE"""),"manager.operations@indoeurosync.com")</f>
        <v>manager.operations@indoeurosync.com</v>
      </c>
      <c r="J60" s="60" t="str">
        <f>IFERROR(__xludf.DUMMYFUNCTION("""COMPUTED_VALUE"""),"MoU")</f>
        <v>MoU</v>
      </c>
      <c r="K60" s="60" t="str">
        <f>IFERROR(__xludf.DUMMYFUNCTION("""COMPUTED_VALUE"""),"Can terminate ")</f>
        <v>Can terminate </v>
      </c>
      <c r="L60" s="60" t="str">
        <f>IFERROR(__xludf.DUMMYFUNCTION("""COMPUTED_VALUE"""),"Active")</f>
        <v>Active</v>
      </c>
      <c r="M60" s="62" t="str">
        <f>IFERROR(__xludf.DUMMYFUNCTION("""COMPUTED_VALUE"""),"https://drive.google.com/open?id=1TWyd2bMbkcmQe4IanR2aJn8br8OoWsy3")</f>
        <v>https://drive.google.com/open?id=1TWyd2bMbkcmQe4IanR2aJn8br8OoWsy3</v>
      </c>
    </row>
    <row r="61">
      <c r="A61" s="60"/>
      <c r="B61" s="61">
        <f>IFERROR(__xludf.DUMMYFUNCTION("""COMPUTED_VALUE"""),45104.0)</f>
        <v>45104</v>
      </c>
      <c r="C61" s="60" t="str">
        <f>IFERROR(__xludf.DUMMYFUNCTION("""COMPUTED_VALUE"""),"Germany")</f>
        <v>Germany</v>
      </c>
      <c r="D61" s="60" t="str">
        <f>IFERROR(__xludf.DUMMYFUNCTION("""COMPUTED_VALUE"""),"Steinbeis University")</f>
        <v>Steinbeis University</v>
      </c>
      <c r="E61" s="60" t="str">
        <f>IFERROR(__xludf.DUMMYFUNCTION("""COMPUTED_VALUE"""),"Engineering")</f>
        <v>Engineering</v>
      </c>
      <c r="F61" s="61">
        <f>IFERROR(__xludf.DUMMYFUNCTION("""COMPUTED_VALUE"""),45116.0)</f>
        <v>45116</v>
      </c>
      <c r="G61" s="60" t="str">
        <f>IFERROR(__xludf.DUMMYFUNCTION("""COMPUTED_VALUE"""),"Completed")</f>
        <v>Completed</v>
      </c>
      <c r="H61" s="60" t="str">
        <f>IFERROR(__xludf.DUMMYFUNCTION("""COMPUTED_VALUE"""),"Michael Johnson")</f>
        <v>Michael Johnson</v>
      </c>
      <c r="I61" s="60" t="str">
        <f>IFERROR(__xludf.DUMMYFUNCTION("""COMPUTED_VALUE"""),"m.johnson@steinbeis-next.de")</f>
        <v>m.johnson@steinbeis-next.de</v>
      </c>
      <c r="J61" s="60" t="str">
        <f>IFERROR(__xludf.DUMMYFUNCTION("""COMPUTED_VALUE"""),"MoU")</f>
        <v>MoU</v>
      </c>
      <c r="K61" s="60" t="str">
        <f>IFERROR(__xludf.DUMMYFUNCTION("""COMPUTED_VALUE"""),"5 years")</f>
        <v>5 years</v>
      </c>
      <c r="L61" s="60" t="str">
        <f>IFERROR(__xludf.DUMMYFUNCTION("""COMPUTED_VALUE"""),"Active")</f>
        <v>Active</v>
      </c>
      <c r="M61" s="62" t="str">
        <f>IFERROR(__xludf.DUMMYFUNCTION("""COMPUTED_VALUE"""),"https://drive.google.com/open?id=1qEwEmLJqobSGsemKWP2hjlR65__fyjH5")</f>
        <v>https://drive.google.com/open?id=1qEwEmLJqobSGsemKWP2hjlR65__fyjH5</v>
      </c>
    </row>
    <row r="62">
      <c r="A62" s="60"/>
      <c r="B62" s="61">
        <f>IFERROR(__xludf.DUMMYFUNCTION("""COMPUTED_VALUE"""),45183.0)</f>
        <v>45183</v>
      </c>
      <c r="C62" s="60" t="str">
        <f>IFERROR(__xludf.DUMMYFUNCTION("""COMPUTED_VALUE"""),"Germany")</f>
        <v>Germany</v>
      </c>
      <c r="D62" s="60" t="str">
        <f>IFERROR(__xludf.DUMMYFUNCTION("""COMPUTED_VALUE"""),"RWTH Aachen University")</f>
        <v>RWTH Aachen University</v>
      </c>
      <c r="E62" s="60" t="str">
        <f>IFERROR(__xludf.DUMMYFUNCTION("""COMPUTED_VALUE"""),"Engineering")</f>
        <v>Engineering</v>
      </c>
      <c r="F62" s="61">
        <f>IFERROR(__xludf.DUMMYFUNCTION("""COMPUTED_VALUE"""),45183.0)</f>
        <v>45183</v>
      </c>
      <c r="G62" s="60" t="str">
        <f>IFERROR(__xludf.DUMMYFUNCTION("""COMPUTED_VALUE"""),"Completed")</f>
        <v>Completed</v>
      </c>
      <c r="H62" s="60" t="str">
        <f>IFERROR(__xludf.DUMMYFUNCTION("""COMPUTED_VALUE"""),"Sandeep Patel")</f>
        <v>Sandeep Patel</v>
      </c>
      <c r="I62" s="60" t="str">
        <f>IFERROR(__xludf.DUMMYFUNCTION("""COMPUTED_VALUE"""),"india.office@academy.rwth-aachen.de")</f>
        <v>india.office@academy.rwth-aachen.de</v>
      </c>
      <c r="J62" s="60" t="str">
        <f>IFERROR(__xludf.DUMMYFUNCTION("""COMPUTED_VALUE"""),"MoU")</f>
        <v>MoU</v>
      </c>
      <c r="K62" s="60" t="str">
        <f>IFERROR(__xludf.DUMMYFUNCTION("""COMPUTED_VALUE"""),"5 years ")</f>
        <v>5 years </v>
      </c>
      <c r="L62" s="60" t="str">
        <f>IFERROR(__xludf.DUMMYFUNCTION("""COMPUTED_VALUE"""),"Active")</f>
        <v>Active</v>
      </c>
      <c r="M62" s="62" t="str">
        <f>IFERROR(__xludf.DUMMYFUNCTION("""COMPUTED_VALUE"""),"https://drive.google.com/open?id=12C0dryT8SCwkUXNYgm6RUBahqaUzctLE")</f>
        <v>https://drive.google.com/open?id=12C0dryT8SCwkUXNYgm6RUBahqaUzctLE</v>
      </c>
    </row>
    <row r="63">
      <c r="A63" s="60"/>
      <c r="B63" s="61">
        <f>IFERROR(__xludf.DUMMYFUNCTION("""COMPUTED_VALUE"""),45275.0)</f>
        <v>45275</v>
      </c>
      <c r="C63" s="60" t="str">
        <f>IFERROR(__xludf.DUMMYFUNCTION("""COMPUTED_VALUE"""),"Germany")</f>
        <v>Germany</v>
      </c>
      <c r="D63" s="60" t="str">
        <f>IFERROR(__xludf.DUMMYFUNCTION("""COMPUTED_VALUE"""),"Indo Eurosynchronisation Pvt Ltd")</f>
        <v>Indo Eurosynchronisation Pvt Ltd</v>
      </c>
      <c r="E63" s="60" t="str">
        <f>IFERROR(__xludf.DUMMYFUNCTION("""COMPUTED_VALUE"""),"Engineering")</f>
        <v>Engineering</v>
      </c>
      <c r="F63" s="61">
        <f>IFERROR(__xludf.DUMMYFUNCTION("""COMPUTED_VALUE"""),45275.0)</f>
        <v>45275</v>
      </c>
      <c r="G63" s="60" t="str">
        <f>IFERROR(__xludf.DUMMYFUNCTION("""COMPUTED_VALUE"""),"Completed")</f>
        <v>Completed</v>
      </c>
      <c r="H63" s="60" t="str">
        <f>IFERROR(__xludf.DUMMYFUNCTION("""COMPUTED_VALUE"""),"Dr. Pushpa sarkar")</f>
        <v>Dr. Pushpa sarkar</v>
      </c>
      <c r="I63" s="60" t="str">
        <f>IFERROR(__xludf.DUMMYFUNCTION("""COMPUTED_VALUE"""),"raj.venkat@indoeurosync.com ")</f>
        <v>raj.venkat@indoeurosync.com </v>
      </c>
      <c r="J63" s="60" t="str">
        <f>IFERROR(__xludf.DUMMYFUNCTION("""COMPUTED_VALUE"""),"MoU")</f>
        <v>MoU</v>
      </c>
      <c r="K63" s="60" t="str">
        <f>IFERROR(__xludf.DUMMYFUNCTION("""COMPUTED_VALUE"""),"5 years ")</f>
        <v>5 years </v>
      </c>
      <c r="L63" s="60" t="str">
        <f>IFERROR(__xludf.DUMMYFUNCTION("""COMPUTED_VALUE"""),"Active")</f>
        <v>Active</v>
      </c>
      <c r="M63" s="62" t="str">
        <f>IFERROR(__xludf.DUMMYFUNCTION("""COMPUTED_VALUE"""),"https://drive.google.com/open?id=1-abf0hjs1wqxESTmYwCaIPpbNhNxvA-8")</f>
        <v>https://drive.google.com/open?id=1-abf0hjs1wqxESTmYwCaIPpbNhNxvA-8</v>
      </c>
    </row>
    <row r="64">
      <c r="A64" s="60"/>
      <c r="B64" s="61">
        <f>IFERROR(__xludf.DUMMYFUNCTION("""COMPUTED_VALUE"""),45776.0)</f>
        <v>45776</v>
      </c>
      <c r="C64" s="60" t="str">
        <f>IFERROR(__xludf.DUMMYFUNCTION("""COMPUTED_VALUE"""),"Germany")</f>
        <v>Germany</v>
      </c>
      <c r="D64" s="60" t="str">
        <f>IFERROR(__xludf.DUMMYFUNCTION("""COMPUTED_VALUE"""),"Hochschule fuer angewandte Wissenschaften Neu-Ulm (HNU)")</f>
        <v>Hochschule fuer angewandte Wissenschaften Neu-Ulm (HNU)</v>
      </c>
      <c r="E64" s="60" t="str">
        <f>IFERROR(__xludf.DUMMYFUNCTION("""COMPUTED_VALUE"""),"Engineering")</f>
        <v>Engineering</v>
      </c>
      <c r="F64" s="61">
        <f>IFERROR(__xludf.DUMMYFUNCTION("""COMPUTED_VALUE"""),45831.0)</f>
        <v>45831</v>
      </c>
      <c r="G64" s="60" t="str">
        <f>IFERROR(__xludf.DUMMYFUNCTION("""COMPUTED_VALUE"""),"Completed")</f>
        <v>Completed</v>
      </c>
      <c r="H64" s="60" t="str">
        <f>IFERROR(__xludf.DUMMYFUNCTION("""COMPUTED_VALUE"""),"Verena Seitz")</f>
        <v>Verena Seitz</v>
      </c>
      <c r="I64" s="60" t="str">
        <f>IFERROR(__xludf.DUMMYFUNCTION("""COMPUTED_VALUE"""),"verena.seitz@hnu.de")</f>
        <v>verena.seitz@hnu.de</v>
      </c>
      <c r="J64" s="60" t="str">
        <f>IFERROR(__xludf.DUMMYFUNCTION("""COMPUTED_VALUE"""),"MoU")</f>
        <v>MoU</v>
      </c>
      <c r="K64" s="60" t="str">
        <f>IFERROR(__xludf.DUMMYFUNCTION("""COMPUTED_VALUE"""),"5 years")</f>
        <v>5 years</v>
      </c>
      <c r="L64" s="60" t="str">
        <f>IFERROR(__xludf.DUMMYFUNCTION("""COMPUTED_VALUE"""),"Active")</f>
        <v>Active</v>
      </c>
      <c r="M64" s="62" t="str">
        <f>IFERROR(__xludf.DUMMYFUNCTION("""COMPUTED_VALUE"""),"https://drive.google.com/open?id=1xbHPOqHEZ7oVc6mi4YhXzR1ajQ57oGTS")</f>
        <v>https://drive.google.com/open?id=1xbHPOqHEZ7oVc6mi4YhXzR1ajQ57oGTS</v>
      </c>
    </row>
    <row r="65">
      <c r="A65" s="60"/>
      <c r="B65" s="61">
        <f>IFERROR(__xludf.DUMMYFUNCTION("""COMPUTED_VALUE"""),45583.0)</f>
        <v>45583</v>
      </c>
      <c r="C65" s="60" t="str">
        <f>IFERROR(__xludf.DUMMYFUNCTION("""COMPUTED_VALUE"""),"France")</f>
        <v>France</v>
      </c>
      <c r="D65" s="60" t="str">
        <f>IFERROR(__xludf.DUMMYFUNCTION("""COMPUTED_VALUE"""),"DSTI - School of Engineering")</f>
        <v>DSTI - School of Engineering</v>
      </c>
      <c r="E65" s="60" t="str">
        <f>IFERROR(__xludf.DUMMYFUNCTION("""COMPUTED_VALUE"""),"Engineering")</f>
        <v>Engineering</v>
      </c>
      <c r="F65" s="61">
        <f>IFERROR(__xludf.DUMMYFUNCTION("""COMPUTED_VALUE"""),45589.0)</f>
        <v>45589</v>
      </c>
      <c r="G65" s="60" t="str">
        <f>IFERROR(__xludf.DUMMYFUNCTION("""COMPUTED_VALUE"""),"Completed")</f>
        <v>Completed</v>
      </c>
      <c r="H65" s="60" t="str">
        <f>IFERROR(__xludf.DUMMYFUNCTION("""COMPUTED_VALUE"""),"Niraj Deobhankar")</f>
        <v>Niraj Deobhankar</v>
      </c>
      <c r="I65" s="60" t="str">
        <f>IFERROR(__xludf.DUMMYFUNCTION("""COMPUTED_VALUE"""),"niraj-chandrashekhar.deobhankar@edu.dsti.institute ")</f>
        <v>niraj-chandrashekhar.deobhankar@edu.dsti.institute </v>
      </c>
      <c r="J65" s="60" t="str">
        <f>IFERROR(__xludf.DUMMYFUNCTION("""COMPUTED_VALUE"""),"MoU")</f>
        <v>MoU</v>
      </c>
      <c r="K65" s="60" t="str">
        <f>IFERROR(__xludf.DUMMYFUNCTION("""COMPUTED_VALUE"""),"5 years")</f>
        <v>5 years</v>
      </c>
      <c r="L65" s="60" t="str">
        <f>IFERROR(__xludf.DUMMYFUNCTION("""COMPUTED_VALUE"""),"Active")</f>
        <v>Active</v>
      </c>
      <c r="M65" s="62" t="str">
        <f>IFERROR(__xludf.DUMMYFUNCTION("""COMPUTED_VALUE"""),"https://drive.google.com/open?id=1ddCOdJ-3wJuKVTsUajMMJqs1rdw1jrar")</f>
        <v>https://drive.google.com/open?id=1ddCOdJ-3wJuKVTsUajMMJqs1rdw1jrar</v>
      </c>
    </row>
    <row r="66">
      <c r="A66" s="60"/>
      <c r="B66" s="61">
        <f>IFERROR(__xludf.DUMMYFUNCTION("""COMPUTED_VALUE"""),45000.0)</f>
        <v>45000</v>
      </c>
      <c r="C66" s="60" t="str">
        <f>IFERROR(__xludf.DUMMYFUNCTION("""COMPUTED_VALUE"""),"France")</f>
        <v>France</v>
      </c>
      <c r="D66" s="60" t="str">
        <f>IFERROR(__xludf.DUMMYFUNCTION("""COMPUTED_VALUE"""),"MBway Management and business school")</f>
        <v>MBway Management and business school</v>
      </c>
      <c r="E66" s="60" t="str">
        <f>IFERROR(__xludf.DUMMYFUNCTION("""COMPUTED_VALUE"""),"Business Management")</f>
        <v>Business Management</v>
      </c>
      <c r="F66" s="61">
        <f>IFERROR(__xludf.DUMMYFUNCTION("""COMPUTED_VALUE"""),45027.0)</f>
        <v>45027</v>
      </c>
      <c r="G66" s="60" t="str">
        <f>IFERROR(__xludf.DUMMYFUNCTION("""COMPUTED_VALUE"""),"Completed")</f>
        <v>Completed</v>
      </c>
      <c r="H66" s="60" t="str">
        <f>IFERROR(__xludf.DUMMYFUNCTION("""COMPUTED_VALUE"""),"Mr. Ankit Soni")</f>
        <v>Mr. Ankit Soni</v>
      </c>
      <c r="I66" s="60" t="str">
        <f>IFERROR(__xludf.DUMMYFUNCTION("""COMPUTED_VALUE"""),"ankit.soni@mbway.com")</f>
        <v>ankit.soni@mbway.com</v>
      </c>
      <c r="J66" s="60" t="str">
        <f>IFERROR(__xludf.DUMMYFUNCTION("""COMPUTED_VALUE"""),"MoU")</f>
        <v>MoU</v>
      </c>
      <c r="K66" s="60" t="str">
        <f>IFERROR(__xludf.DUMMYFUNCTION("""COMPUTED_VALUE"""),"5 years")</f>
        <v>5 years</v>
      </c>
      <c r="L66" s="60" t="str">
        <f>IFERROR(__xludf.DUMMYFUNCTION("""COMPUTED_VALUE"""),"Active")</f>
        <v>Active</v>
      </c>
      <c r="M66" s="62" t="str">
        <f>IFERROR(__xludf.DUMMYFUNCTION("""COMPUTED_VALUE"""),"https://drive.google.com/open?id=1z74ufv2F-VoNua4Ma5JmRUwUrba69QrO")</f>
        <v>https://drive.google.com/open?id=1z74ufv2F-VoNua4Ma5JmRUwUrba69QrO</v>
      </c>
    </row>
    <row r="67">
      <c r="A67" s="60"/>
      <c r="B67" s="61">
        <f>IFERROR(__xludf.DUMMYFUNCTION("""COMPUTED_VALUE"""),45146.0)</f>
        <v>45146</v>
      </c>
      <c r="C67" s="60" t="str">
        <f>IFERROR(__xludf.DUMMYFUNCTION("""COMPUTED_VALUE"""),"France")</f>
        <v>France</v>
      </c>
      <c r="D67" s="60" t="str">
        <f>IFERROR(__xludf.DUMMYFUNCTION("""COMPUTED_VALUE"""),"Uni La Salle Polytechnic Institute")</f>
        <v>Uni La Salle Polytechnic Institute</v>
      </c>
      <c r="E67" s="60" t="str">
        <f>IFERROR(__xludf.DUMMYFUNCTION("""COMPUTED_VALUE"""),"Engineering")</f>
        <v>Engineering</v>
      </c>
      <c r="F67" s="61">
        <f>IFERROR(__xludf.DUMMYFUNCTION("""COMPUTED_VALUE"""),45245.0)</f>
        <v>45245</v>
      </c>
      <c r="G67" s="60" t="str">
        <f>IFERROR(__xludf.DUMMYFUNCTION("""COMPUTED_VALUE"""),"Completed")</f>
        <v>Completed</v>
      </c>
      <c r="H67" s="60" t="str">
        <f>IFERROR(__xludf.DUMMYFUNCTION("""COMPUTED_VALUE"""),"Sebastian Rieder")</f>
        <v>Sebastian Rieder</v>
      </c>
      <c r="I67" s="60" t="str">
        <f>IFERROR(__xludf.DUMMYFUNCTION("""COMPUTED_VALUE"""),"Sebastian.RIEDER@unilasalle.fr")</f>
        <v>Sebastian.RIEDER@unilasalle.fr</v>
      </c>
      <c r="J67" s="60" t="str">
        <f>IFERROR(__xludf.DUMMYFUNCTION("""COMPUTED_VALUE"""),"MoU")</f>
        <v>MoU</v>
      </c>
      <c r="K67" s="60" t="str">
        <f>IFERROR(__xludf.DUMMYFUNCTION("""COMPUTED_VALUE"""),"5 years")</f>
        <v>5 years</v>
      </c>
      <c r="L67" s="60" t="str">
        <f>IFERROR(__xludf.DUMMYFUNCTION("""COMPUTED_VALUE"""),"Active")</f>
        <v>Active</v>
      </c>
      <c r="M67" s="62" t="str">
        <f>IFERROR(__xludf.DUMMYFUNCTION("""COMPUTED_VALUE"""),"https://drive.google.com/open?id=1Jbym7hsUhq6ZdjF2TJfSA9shFI2x_Rh7")</f>
        <v>https://drive.google.com/open?id=1Jbym7hsUhq6ZdjF2TJfSA9shFI2x_Rh7</v>
      </c>
    </row>
    <row r="68">
      <c r="A68" s="60"/>
      <c r="B68" s="61">
        <f>IFERROR(__xludf.DUMMYFUNCTION("""COMPUTED_VALUE"""),45251.0)</f>
        <v>45251</v>
      </c>
      <c r="C68" s="60" t="str">
        <f>IFERROR(__xludf.DUMMYFUNCTION("""COMPUTED_VALUE"""),"Czechia")</f>
        <v>Czechia</v>
      </c>
      <c r="D68" s="60" t="str">
        <f>IFERROR(__xludf.DUMMYFUNCTION("""COMPUTED_VALUE"""),"MENDEL UNIVERSITY IN BRNO")</f>
        <v>MENDEL UNIVERSITY IN BRNO</v>
      </c>
      <c r="E68" s="60" t="str">
        <f>IFERROR(__xludf.DUMMYFUNCTION("""COMPUTED_VALUE"""),"Engineering")</f>
        <v>Engineering</v>
      </c>
      <c r="F68" s="61">
        <f>IFERROR(__xludf.DUMMYFUNCTION("""COMPUTED_VALUE"""),45275.0)</f>
        <v>45275</v>
      </c>
      <c r="G68" s="60" t="str">
        <f>IFERROR(__xludf.DUMMYFUNCTION("""COMPUTED_VALUE"""),"Completed")</f>
        <v>Completed</v>
      </c>
      <c r="H68" s="60" t="str">
        <f>IFERROR(__xludf.DUMMYFUNCTION("""COMPUTED_VALUE"""),"Martina Rašticová")</f>
        <v>Martina Rašticová</v>
      </c>
      <c r="I68" s="60" t="str">
        <f>IFERROR(__xludf.DUMMYFUNCTION("""COMPUTED_VALUE"""),"martina.rasticova@mendelu.cz")</f>
        <v>martina.rasticova@mendelu.cz</v>
      </c>
      <c r="J68" s="60" t="str">
        <f>IFERROR(__xludf.DUMMYFUNCTION("""COMPUTED_VALUE"""),"MoU")</f>
        <v>MoU</v>
      </c>
      <c r="K68" s="60" t="str">
        <f>IFERROR(__xludf.DUMMYFUNCTION("""COMPUTED_VALUE"""),"5 years")</f>
        <v>5 years</v>
      </c>
      <c r="L68" s="60" t="str">
        <f>IFERROR(__xludf.DUMMYFUNCTION("""COMPUTED_VALUE"""),"Active")</f>
        <v>Active</v>
      </c>
      <c r="M68" s="62" t="str">
        <f>IFERROR(__xludf.DUMMYFUNCTION("""COMPUTED_VALUE"""),"https://drive.google.com/open?id=1uSutGuskVPuffjvGTSBZjkE1MP0kZO7-")</f>
        <v>https://drive.google.com/open?id=1uSutGuskVPuffjvGTSBZjkE1MP0kZO7-</v>
      </c>
    </row>
    <row r="69">
      <c r="A69" s="60"/>
      <c r="B69" s="61">
        <f>IFERROR(__xludf.DUMMYFUNCTION("""COMPUTED_VALUE"""),45594.0)</f>
        <v>45594</v>
      </c>
      <c r="C69" s="60" t="str">
        <f>IFERROR(__xludf.DUMMYFUNCTION("""COMPUTED_VALUE"""),"Crotia")</f>
        <v>Crotia</v>
      </c>
      <c r="D69" s="60" t="str">
        <f>IFERROR(__xludf.DUMMYFUNCTION("""COMPUTED_VALUE"""),"Algebra University")</f>
        <v>Algebra University</v>
      </c>
      <c r="E69" s="60" t="str">
        <f>IFERROR(__xludf.DUMMYFUNCTION("""COMPUTED_VALUE"""),"Engineering")</f>
        <v>Engineering</v>
      </c>
      <c r="F69" s="61">
        <f>IFERROR(__xludf.DUMMYFUNCTION("""COMPUTED_VALUE"""),45595.0)</f>
        <v>45595</v>
      </c>
      <c r="G69" s="60" t="str">
        <f>IFERROR(__xludf.DUMMYFUNCTION("""COMPUTED_VALUE"""),"Completed")</f>
        <v>Completed</v>
      </c>
      <c r="H69" s="60" t="str">
        <f>IFERROR(__xludf.DUMMYFUNCTION("""COMPUTED_VALUE"""),"Mislav")</f>
        <v>Mislav</v>
      </c>
      <c r="I69" s="60" t="str">
        <f>IFERROR(__xludf.DUMMYFUNCTION("""COMPUTED_VALUE"""),"mislav.balkovic@algebra.hr")</f>
        <v>mislav.balkovic@algebra.hr</v>
      </c>
      <c r="J69" s="60" t="str">
        <f>IFERROR(__xludf.DUMMYFUNCTION("""COMPUTED_VALUE"""),"MoU")</f>
        <v>MoU</v>
      </c>
      <c r="K69" s="60" t="str">
        <f>IFERROR(__xludf.DUMMYFUNCTION("""COMPUTED_VALUE""")," Not specific")</f>
        <v> Not specific</v>
      </c>
      <c r="L69" s="60" t="str">
        <f>IFERROR(__xludf.DUMMYFUNCTION("""COMPUTED_VALUE"""),"Active")</f>
        <v>Active</v>
      </c>
      <c r="M69" s="62" t="str">
        <f>IFERROR(__xludf.DUMMYFUNCTION("""COMPUTED_VALUE"""),"https://drive.google.com/open?id=1asNdAD7lXHOhdawbVvrnyvaXO9_Hg-dU")</f>
        <v>https://drive.google.com/open?id=1asNdAD7lXHOhdawbVvrnyvaXO9_Hg-dU</v>
      </c>
    </row>
    <row r="70">
      <c r="A70" s="60"/>
      <c r="B70" s="61">
        <f>IFERROR(__xludf.DUMMYFUNCTION("""COMPUTED_VALUE"""),45033.0)</f>
        <v>45033</v>
      </c>
      <c r="C70" s="60" t="str">
        <f>IFERROR(__xludf.DUMMYFUNCTION("""COMPUTED_VALUE"""),"Bangladesh")</f>
        <v>Bangladesh</v>
      </c>
      <c r="D70" s="60" t="str">
        <f>IFERROR(__xludf.DUMMYFUNCTION("""COMPUTED_VALUE"""),"Daffodil University")</f>
        <v>Daffodil University</v>
      </c>
      <c r="E70" s="60" t="str">
        <f>IFERROR(__xludf.DUMMYFUNCTION("""COMPUTED_VALUE"""),"Engineering")</f>
        <v>Engineering</v>
      </c>
      <c r="F70" s="61">
        <f>IFERROR(__xludf.DUMMYFUNCTION("""COMPUTED_VALUE"""),45057.0)</f>
        <v>45057</v>
      </c>
      <c r="G70" s="60" t="str">
        <f>IFERROR(__xludf.DUMMYFUNCTION("""COMPUTED_VALUE"""),"Completed")</f>
        <v>Completed</v>
      </c>
      <c r="H70" s="60" t="str">
        <f>IFERROR(__xludf.DUMMYFUNCTION("""COMPUTED_VALUE"""),"Md. Nazmul Islam")</f>
        <v>Md. Nazmul Islam</v>
      </c>
      <c r="I70" s="60" t="str">
        <f>IFERROR(__xludf.DUMMYFUNCTION("""COMPUTED_VALUE"""),"mobility@daffodilvarsity.edu.bd")</f>
        <v>mobility@daffodilvarsity.edu.bd</v>
      </c>
      <c r="J70" s="60" t="str">
        <f>IFERROR(__xludf.DUMMYFUNCTION("""COMPUTED_VALUE"""),"MoU")</f>
        <v>MoU</v>
      </c>
      <c r="K70" s="60" t="str">
        <f>IFERROR(__xludf.DUMMYFUNCTION("""COMPUTED_VALUE"""),"5 years ")</f>
        <v>5 years </v>
      </c>
      <c r="L70" s="60" t="str">
        <f>IFERROR(__xludf.DUMMYFUNCTION("""COMPUTED_VALUE"""),"Active")</f>
        <v>Active</v>
      </c>
      <c r="M70" s="62" t="str">
        <f>IFERROR(__xludf.DUMMYFUNCTION("""COMPUTED_VALUE"""),"https://drive.google.com/open?id=14phbnL7ZE0NfEF097T8YhsKw-aa55Nua")</f>
        <v>https://drive.google.com/open?id=14phbnL7ZE0NfEF097T8YhsKw-aa55Nua</v>
      </c>
    </row>
    <row r="71">
      <c r="A71" s="60"/>
      <c r="B71" s="61">
        <f>IFERROR(__xludf.DUMMYFUNCTION("""COMPUTED_VALUE"""),45049.0)</f>
        <v>45049</v>
      </c>
      <c r="C71" s="60" t="str">
        <f>IFERROR(__xludf.DUMMYFUNCTION("""COMPUTED_VALUE"""),"Bangladesh")</f>
        <v>Bangladesh</v>
      </c>
      <c r="D71" s="60" t="str">
        <f>IFERROR(__xludf.DUMMYFUNCTION("""COMPUTED_VALUE"""),"University of Liberal Arts ULAB")</f>
        <v>University of Liberal Arts ULAB</v>
      </c>
      <c r="E71" s="60" t="str">
        <f>IFERROR(__xludf.DUMMYFUNCTION("""COMPUTED_VALUE"""),"Engineering and Business Management")</f>
        <v>Engineering and Business Management</v>
      </c>
      <c r="F71" s="61">
        <f>IFERROR(__xludf.DUMMYFUNCTION("""COMPUTED_VALUE"""),45116.0)</f>
        <v>45116</v>
      </c>
      <c r="G71" s="60" t="str">
        <f>IFERROR(__xludf.DUMMYFUNCTION("""COMPUTED_VALUE"""),"Completed")</f>
        <v>Completed</v>
      </c>
      <c r="H71" s="60" t="str">
        <f>IFERROR(__xludf.DUMMYFUNCTION("""COMPUTED_VALUE"""),"Jennifer Hossain")</f>
        <v>Jennifer Hossain</v>
      </c>
      <c r="I71" s="60" t="str">
        <f>IFERROR(__xludf.DUMMYFUNCTION("""COMPUTED_VALUE"""),"jennifer.hossain@ulab.edu.bd")</f>
        <v>jennifer.hossain@ulab.edu.bd</v>
      </c>
      <c r="J71" s="60" t="str">
        <f>IFERROR(__xludf.DUMMYFUNCTION("""COMPUTED_VALUE"""),"MoU")</f>
        <v>MoU</v>
      </c>
      <c r="K71" s="60" t="str">
        <f>IFERROR(__xludf.DUMMYFUNCTION("""COMPUTED_VALUE"""),"5 years")</f>
        <v>5 years</v>
      </c>
      <c r="L71" s="60" t="str">
        <f>IFERROR(__xludf.DUMMYFUNCTION("""COMPUTED_VALUE"""),"Active")</f>
        <v>Active</v>
      </c>
      <c r="M71" s="62" t="str">
        <f>IFERROR(__xludf.DUMMYFUNCTION("""COMPUTED_VALUE"""),"https://drive.google.com/open?id=1C5sQ89MLzT9P0VTYumacLNDF3s0ZMRMF")</f>
        <v>https://drive.google.com/open?id=1C5sQ89MLzT9P0VTYumacLNDF3s0ZMRMF</v>
      </c>
    </row>
    <row r="72">
      <c r="A72" s="60"/>
      <c r="B72" s="60"/>
      <c r="C72" s="60"/>
      <c r="D72" s="60"/>
      <c r="E72" s="60"/>
      <c r="F72" s="60"/>
      <c r="G72" s="60"/>
      <c r="H72" s="60"/>
      <c r="I72" s="60"/>
      <c r="J72" s="60"/>
      <c r="K72" s="60"/>
      <c r="L72" s="60"/>
      <c r="M72" s="60"/>
    </row>
    <row r="73">
      <c r="A73" s="60"/>
      <c r="B73" s="60"/>
      <c r="C73" s="60"/>
      <c r="D73" s="60"/>
      <c r="E73" s="60"/>
      <c r="F73" s="60"/>
      <c r="G73" s="60"/>
      <c r="H73" s="60"/>
      <c r="I73" s="60"/>
      <c r="J73" s="60"/>
      <c r="K73" s="60"/>
      <c r="L73" s="60"/>
      <c r="M73" s="60"/>
    </row>
    <row r="74">
      <c r="A74" s="60"/>
      <c r="B74" s="60"/>
      <c r="C74" s="60"/>
      <c r="D74" s="60"/>
      <c r="E74" s="60"/>
      <c r="F74" s="60"/>
      <c r="G74" s="60"/>
      <c r="H74" s="60"/>
      <c r="I74" s="60"/>
      <c r="J74" s="60"/>
      <c r="K74" s="60"/>
      <c r="L74" s="60"/>
      <c r="M74" s="60"/>
    </row>
    <row r="75">
      <c r="A75" s="60"/>
      <c r="B75" s="60"/>
      <c r="C75" s="60"/>
      <c r="D75" s="60"/>
      <c r="E75" s="60"/>
      <c r="F75" s="60"/>
      <c r="G75" s="60"/>
      <c r="H75" s="60"/>
      <c r="I75" s="60"/>
      <c r="J75" s="60"/>
      <c r="K75" s="60"/>
      <c r="L75" s="60"/>
      <c r="M75" s="60"/>
    </row>
    <row r="76">
      <c r="A76" s="60"/>
      <c r="B76" s="60"/>
      <c r="C76" s="60"/>
      <c r="D76" s="60"/>
      <c r="E76" s="60"/>
      <c r="F76" s="60"/>
      <c r="G76" s="60"/>
      <c r="H76" s="60"/>
      <c r="I76" s="60"/>
      <c r="J76" s="60"/>
      <c r="K76" s="60"/>
      <c r="L76" s="60"/>
      <c r="M76" s="60"/>
    </row>
    <row r="77">
      <c r="A77" s="60"/>
      <c r="B77" s="60"/>
      <c r="C77" s="60"/>
      <c r="D77" s="60"/>
      <c r="E77" s="60"/>
      <c r="F77" s="60"/>
      <c r="G77" s="60"/>
      <c r="H77" s="60"/>
      <c r="I77" s="60"/>
      <c r="J77" s="60"/>
      <c r="K77" s="60"/>
      <c r="L77" s="60"/>
      <c r="M77" s="60"/>
    </row>
    <row r="78">
      <c r="A78" s="60"/>
      <c r="B78" s="60"/>
      <c r="C78" s="60"/>
      <c r="D78" s="60"/>
      <c r="E78" s="60"/>
      <c r="F78" s="60"/>
      <c r="G78" s="60"/>
      <c r="H78" s="60"/>
      <c r="I78" s="60"/>
      <c r="J78" s="60"/>
      <c r="K78" s="60"/>
      <c r="L78" s="60"/>
      <c r="M78" s="60"/>
    </row>
    <row r="79">
      <c r="A79" s="60"/>
      <c r="B79" s="60"/>
      <c r="C79" s="60"/>
      <c r="D79" s="60"/>
      <c r="E79" s="60"/>
      <c r="F79" s="60"/>
      <c r="G79" s="60"/>
      <c r="H79" s="60"/>
      <c r="I79" s="60"/>
      <c r="J79" s="60"/>
      <c r="K79" s="60"/>
      <c r="L79" s="60"/>
      <c r="M79" s="60"/>
    </row>
    <row r="80">
      <c r="A80" s="60"/>
      <c r="B80" s="60"/>
      <c r="C80" s="60"/>
      <c r="D80" s="60"/>
      <c r="E80" s="60"/>
      <c r="F80" s="60"/>
      <c r="G80" s="60"/>
      <c r="H80" s="60"/>
      <c r="I80" s="60"/>
      <c r="J80" s="60"/>
      <c r="K80" s="60"/>
      <c r="L80" s="60"/>
      <c r="M80" s="60"/>
    </row>
    <row r="81">
      <c r="A81" s="60"/>
      <c r="B81" s="60"/>
      <c r="C81" s="60"/>
      <c r="D81" s="60"/>
      <c r="E81" s="60"/>
      <c r="F81" s="60"/>
      <c r="G81" s="60"/>
      <c r="H81" s="60"/>
      <c r="I81" s="60"/>
      <c r="J81" s="60"/>
      <c r="K81" s="60"/>
      <c r="L81" s="60"/>
      <c r="M81" s="60"/>
    </row>
    <row r="82">
      <c r="A82" s="60"/>
      <c r="B82" s="60"/>
      <c r="C82" s="60"/>
      <c r="D82" s="60"/>
      <c r="E82" s="60"/>
      <c r="F82" s="60"/>
      <c r="G82" s="60"/>
      <c r="H82" s="60"/>
      <c r="I82" s="60"/>
      <c r="J82" s="60"/>
      <c r="K82" s="60"/>
      <c r="L82" s="60"/>
      <c r="M82" s="60"/>
    </row>
    <row r="83">
      <c r="A83" s="60"/>
      <c r="B83" s="60"/>
      <c r="C83" s="60"/>
      <c r="D83" s="60"/>
      <c r="E83" s="60"/>
      <c r="F83" s="60"/>
      <c r="G83" s="60"/>
      <c r="H83" s="60"/>
      <c r="I83" s="60"/>
      <c r="J83" s="60"/>
      <c r="K83" s="60"/>
      <c r="L83" s="60"/>
      <c r="M83" s="60"/>
    </row>
    <row r="84">
      <c r="A84" s="60"/>
      <c r="B84" s="60"/>
      <c r="C84" s="60"/>
      <c r="D84" s="60"/>
      <c r="E84" s="60"/>
      <c r="F84" s="60"/>
      <c r="G84" s="60"/>
      <c r="H84" s="60"/>
      <c r="I84" s="60"/>
      <c r="J84" s="60"/>
      <c r="K84" s="60"/>
      <c r="L84" s="60"/>
      <c r="M84" s="60"/>
    </row>
    <row r="85">
      <c r="A85" s="60"/>
      <c r="B85" s="60"/>
      <c r="C85" s="60"/>
      <c r="D85" s="60"/>
      <c r="E85" s="60"/>
      <c r="F85" s="60"/>
      <c r="G85" s="60"/>
      <c r="H85" s="60"/>
      <c r="I85" s="60"/>
      <c r="J85" s="60"/>
      <c r="K85" s="60"/>
      <c r="L85" s="60"/>
      <c r="M85" s="60"/>
    </row>
    <row r="86">
      <c r="A86" s="60"/>
      <c r="B86" s="60"/>
      <c r="C86" s="60"/>
      <c r="D86" s="60"/>
      <c r="E86" s="60"/>
      <c r="F86" s="60"/>
      <c r="G86" s="60"/>
      <c r="H86" s="60"/>
      <c r="I86" s="60"/>
      <c r="J86" s="60"/>
      <c r="K86" s="60"/>
      <c r="L86" s="60"/>
      <c r="M86" s="60"/>
    </row>
    <row r="87">
      <c r="A87" s="60"/>
      <c r="B87" s="60"/>
      <c r="C87" s="60"/>
      <c r="D87" s="60"/>
      <c r="E87" s="60"/>
      <c r="F87" s="60"/>
      <c r="G87" s="60"/>
      <c r="H87" s="60"/>
      <c r="I87" s="60"/>
      <c r="J87" s="60"/>
      <c r="K87" s="60"/>
      <c r="L87" s="60"/>
      <c r="M87" s="60"/>
    </row>
    <row r="88">
      <c r="A88" s="60"/>
      <c r="B88" s="60"/>
      <c r="C88" s="60"/>
      <c r="D88" s="60"/>
      <c r="E88" s="60"/>
      <c r="F88" s="60"/>
      <c r="G88" s="60"/>
      <c r="H88" s="60"/>
      <c r="I88" s="60"/>
      <c r="J88" s="60"/>
      <c r="K88" s="60"/>
      <c r="L88" s="60"/>
      <c r="M88" s="60"/>
    </row>
    <row r="89">
      <c r="A89" s="60"/>
      <c r="B89" s="60"/>
      <c r="C89" s="60"/>
      <c r="D89" s="60"/>
      <c r="E89" s="60"/>
      <c r="F89" s="60"/>
      <c r="G89" s="60"/>
      <c r="H89" s="60"/>
      <c r="I89" s="60"/>
      <c r="J89" s="60"/>
      <c r="K89" s="60"/>
      <c r="L89" s="60"/>
      <c r="M89" s="60"/>
    </row>
    <row r="90">
      <c r="A90" s="60"/>
      <c r="B90" s="60"/>
      <c r="C90" s="60"/>
      <c r="D90" s="60"/>
      <c r="E90" s="60"/>
      <c r="F90" s="60"/>
      <c r="G90" s="60"/>
      <c r="H90" s="60"/>
      <c r="I90" s="60"/>
      <c r="J90" s="60"/>
      <c r="K90" s="60"/>
      <c r="L90" s="60"/>
      <c r="M90" s="60"/>
    </row>
    <row r="91">
      <c r="A91" s="60"/>
      <c r="B91" s="60"/>
      <c r="C91" s="60"/>
      <c r="D91" s="60"/>
      <c r="E91" s="60"/>
      <c r="F91" s="60"/>
      <c r="G91" s="60"/>
      <c r="H91" s="60"/>
      <c r="I91" s="60"/>
      <c r="J91" s="60"/>
      <c r="K91" s="60"/>
      <c r="L91" s="60"/>
      <c r="M91" s="60"/>
    </row>
    <row r="92">
      <c r="A92" s="60"/>
      <c r="B92" s="60"/>
      <c r="C92" s="60"/>
      <c r="D92" s="60"/>
      <c r="E92" s="60"/>
      <c r="F92" s="60"/>
      <c r="G92" s="60"/>
      <c r="H92" s="60"/>
      <c r="I92" s="60"/>
      <c r="J92" s="60"/>
      <c r="K92" s="60"/>
      <c r="L92" s="60"/>
      <c r="M92" s="60"/>
    </row>
    <row r="93">
      <c r="A93" s="60"/>
      <c r="B93" s="60"/>
      <c r="C93" s="60"/>
      <c r="D93" s="60"/>
      <c r="E93" s="60"/>
      <c r="F93" s="60"/>
      <c r="G93" s="60"/>
      <c r="H93" s="60"/>
      <c r="I93" s="60"/>
      <c r="J93" s="60"/>
      <c r="K93" s="60"/>
      <c r="L93" s="60"/>
      <c r="M93" s="60"/>
    </row>
    <row r="94">
      <c r="A94" s="60"/>
      <c r="B94" s="60"/>
      <c r="C94" s="60"/>
      <c r="D94" s="60"/>
      <c r="E94" s="60"/>
      <c r="F94" s="60"/>
      <c r="G94" s="60"/>
      <c r="H94" s="60"/>
      <c r="I94" s="60"/>
      <c r="J94" s="60"/>
      <c r="K94" s="60"/>
      <c r="L94" s="60"/>
      <c r="M94" s="60"/>
    </row>
    <row r="95">
      <c r="A95" s="60"/>
      <c r="B95" s="60"/>
      <c r="C95" s="60"/>
      <c r="D95" s="60"/>
      <c r="E95" s="60"/>
      <c r="F95" s="60"/>
      <c r="G95" s="60"/>
      <c r="H95" s="60"/>
      <c r="I95" s="60"/>
      <c r="J95" s="60"/>
      <c r="K95" s="60"/>
      <c r="L95" s="60"/>
      <c r="M95" s="60"/>
    </row>
    <row r="96">
      <c r="A96" s="60"/>
      <c r="B96" s="60"/>
      <c r="C96" s="60"/>
      <c r="D96" s="60"/>
      <c r="E96" s="60"/>
      <c r="F96" s="60"/>
      <c r="G96" s="60"/>
      <c r="H96" s="60"/>
      <c r="I96" s="60"/>
      <c r="J96" s="60"/>
      <c r="K96" s="60"/>
      <c r="L96" s="60"/>
      <c r="M96" s="60"/>
    </row>
    <row r="97">
      <c r="A97" s="60"/>
      <c r="B97" s="60"/>
      <c r="C97" s="60"/>
      <c r="D97" s="60"/>
      <c r="E97" s="60"/>
      <c r="F97" s="60"/>
      <c r="G97" s="60"/>
      <c r="H97" s="60"/>
      <c r="I97" s="60"/>
      <c r="J97" s="60"/>
      <c r="K97" s="60"/>
      <c r="L97" s="60"/>
      <c r="M97" s="60"/>
    </row>
    <row r="98">
      <c r="A98" s="60"/>
      <c r="B98" s="60"/>
      <c r="C98" s="60"/>
      <c r="D98" s="60"/>
      <c r="E98" s="60"/>
      <c r="F98" s="60"/>
      <c r="G98" s="60"/>
      <c r="H98" s="60"/>
      <c r="I98" s="60"/>
      <c r="J98" s="60"/>
      <c r="K98" s="60"/>
      <c r="L98" s="60"/>
      <c r="M98" s="60"/>
    </row>
    <row r="99">
      <c r="A99" s="60"/>
      <c r="B99" s="60"/>
      <c r="C99" s="60"/>
      <c r="D99" s="60"/>
      <c r="E99" s="60"/>
      <c r="F99" s="60"/>
      <c r="G99" s="60"/>
      <c r="H99" s="60"/>
      <c r="I99" s="60"/>
      <c r="J99" s="60"/>
      <c r="K99" s="60"/>
      <c r="L99" s="60"/>
      <c r="M99" s="60"/>
    </row>
    <row r="100">
      <c r="A100" s="60"/>
      <c r="B100" s="60"/>
      <c r="C100" s="60"/>
      <c r="D100" s="60"/>
      <c r="E100" s="60"/>
      <c r="F100" s="60"/>
      <c r="G100" s="60"/>
      <c r="H100" s="60"/>
      <c r="I100" s="60"/>
      <c r="J100" s="60"/>
      <c r="K100" s="60"/>
      <c r="L100" s="60"/>
      <c r="M100" s="60"/>
    </row>
    <row r="101">
      <c r="A101" s="60"/>
      <c r="B101" s="60"/>
      <c r="C101" s="60"/>
      <c r="D101" s="60"/>
      <c r="E101" s="60"/>
      <c r="F101" s="60"/>
      <c r="G101" s="60"/>
      <c r="H101" s="60"/>
      <c r="I101" s="60"/>
      <c r="J101" s="60"/>
      <c r="K101" s="60"/>
      <c r="L101" s="60"/>
      <c r="M101" s="60"/>
    </row>
    <row r="102">
      <c r="A102" s="60"/>
      <c r="B102" s="60"/>
      <c r="C102" s="60"/>
      <c r="D102" s="60"/>
      <c r="E102" s="60"/>
      <c r="F102" s="60"/>
      <c r="G102" s="60"/>
      <c r="H102" s="60"/>
      <c r="I102" s="60"/>
      <c r="J102" s="60"/>
      <c r="K102" s="60"/>
      <c r="L102" s="60"/>
      <c r="M102" s="60"/>
    </row>
    <row r="103">
      <c r="A103" s="60"/>
      <c r="B103" s="60"/>
      <c r="C103" s="60"/>
      <c r="D103" s="60"/>
      <c r="E103" s="60"/>
      <c r="F103" s="60"/>
      <c r="G103" s="60"/>
      <c r="H103" s="60"/>
      <c r="I103" s="60"/>
      <c r="J103" s="60"/>
      <c r="K103" s="60"/>
      <c r="L103" s="60"/>
      <c r="M103" s="60"/>
    </row>
    <row r="104">
      <c r="A104" s="60"/>
      <c r="B104" s="60"/>
      <c r="C104" s="60"/>
      <c r="D104" s="60"/>
      <c r="E104" s="60"/>
      <c r="F104" s="60"/>
      <c r="G104" s="60"/>
      <c r="H104" s="60"/>
      <c r="I104" s="60"/>
      <c r="J104" s="60"/>
      <c r="K104" s="60"/>
      <c r="L104" s="60"/>
      <c r="M104" s="60"/>
    </row>
    <row r="105">
      <c r="A105" s="60"/>
      <c r="B105" s="60"/>
      <c r="C105" s="60"/>
      <c r="D105" s="60"/>
      <c r="E105" s="60"/>
      <c r="F105" s="60"/>
      <c r="G105" s="60"/>
      <c r="H105" s="60"/>
      <c r="I105" s="60"/>
      <c r="J105" s="60"/>
      <c r="K105" s="60"/>
      <c r="L105" s="60"/>
      <c r="M105" s="60"/>
    </row>
    <row r="106">
      <c r="A106" s="60"/>
      <c r="B106" s="60"/>
      <c r="C106" s="60"/>
      <c r="D106" s="60"/>
      <c r="E106" s="60"/>
      <c r="F106" s="60"/>
      <c r="G106" s="60"/>
      <c r="H106" s="60"/>
      <c r="I106" s="60"/>
      <c r="J106" s="60"/>
      <c r="K106" s="60"/>
      <c r="L106" s="60"/>
      <c r="M106" s="60"/>
    </row>
    <row r="107">
      <c r="A107" s="60"/>
      <c r="B107" s="60"/>
      <c r="C107" s="60"/>
      <c r="D107" s="60"/>
      <c r="E107" s="60"/>
      <c r="F107" s="60"/>
      <c r="G107" s="60"/>
      <c r="H107" s="60"/>
      <c r="I107" s="60"/>
      <c r="J107" s="60"/>
      <c r="K107" s="60"/>
      <c r="L107" s="60"/>
      <c r="M107" s="60"/>
    </row>
    <row r="108">
      <c r="A108" s="60"/>
      <c r="B108" s="60"/>
      <c r="C108" s="60"/>
      <c r="D108" s="60"/>
      <c r="E108" s="60"/>
      <c r="F108" s="60"/>
      <c r="G108" s="60"/>
      <c r="H108" s="60"/>
      <c r="I108" s="60"/>
      <c r="J108" s="60"/>
      <c r="K108" s="60"/>
      <c r="L108" s="60"/>
      <c r="M108" s="60"/>
    </row>
    <row r="109">
      <c r="A109" s="60"/>
      <c r="B109" s="60"/>
      <c r="C109" s="60"/>
      <c r="D109" s="60"/>
      <c r="E109" s="60"/>
      <c r="F109" s="60"/>
      <c r="G109" s="60"/>
      <c r="H109" s="60"/>
      <c r="I109" s="60"/>
      <c r="J109" s="60"/>
      <c r="K109" s="60"/>
      <c r="L109" s="60"/>
      <c r="M109" s="60"/>
    </row>
    <row r="110">
      <c r="A110" s="60"/>
      <c r="B110" s="60"/>
      <c r="C110" s="60"/>
      <c r="D110" s="60"/>
      <c r="E110" s="60"/>
      <c r="F110" s="60"/>
      <c r="G110" s="60"/>
      <c r="H110" s="60"/>
      <c r="I110" s="60"/>
      <c r="J110" s="60"/>
      <c r="K110" s="60"/>
      <c r="L110" s="60"/>
      <c r="M110" s="60"/>
    </row>
    <row r="111">
      <c r="A111" s="60"/>
      <c r="B111" s="60"/>
      <c r="C111" s="60"/>
      <c r="D111" s="60"/>
      <c r="E111" s="60"/>
      <c r="F111" s="60"/>
      <c r="G111" s="60"/>
      <c r="H111" s="60"/>
      <c r="I111" s="60"/>
      <c r="J111" s="60"/>
      <c r="K111" s="60"/>
      <c r="L111" s="60"/>
      <c r="M111" s="60"/>
    </row>
    <row r="112">
      <c r="A112" s="60"/>
      <c r="B112" s="60"/>
      <c r="C112" s="60"/>
      <c r="D112" s="60"/>
      <c r="E112" s="60"/>
      <c r="F112" s="60"/>
      <c r="G112" s="60"/>
      <c r="H112" s="60"/>
      <c r="I112" s="60"/>
      <c r="J112" s="60"/>
      <c r="K112" s="60"/>
      <c r="L112" s="60"/>
      <c r="M112" s="60"/>
    </row>
    <row r="113">
      <c r="A113" s="60"/>
      <c r="B113" s="60"/>
      <c r="C113" s="60"/>
      <c r="D113" s="60"/>
      <c r="E113" s="60"/>
      <c r="F113" s="60"/>
      <c r="G113" s="60"/>
      <c r="H113" s="60"/>
      <c r="I113" s="60"/>
      <c r="J113" s="60"/>
      <c r="K113" s="60"/>
      <c r="L113" s="60"/>
      <c r="M113" s="60"/>
    </row>
    <row r="114">
      <c r="A114" s="60"/>
      <c r="B114" s="60"/>
      <c r="C114" s="60"/>
      <c r="D114" s="60"/>
      <c r="E114" s="60"/>
      <c r="F114" s="60"/>
      <c r="G114" s="60"/>
      <c r="H114" s="60"/>
      <c r="I114" s="60"/>
      <c r="J114" s="60"/>
      <c r="K114" s="60"/>
      <c r="L114" s="60"/>
      <c r="M114" s="60"/>
    </row>
    <row r="115">
      <c r="A115" s="60"/>
      <c r="B115" s="60"/>
      <c r="C115" s="60"/>
      <c r="D115" s="60"/>
      <c r="E115" s="60"/>
      <c r="F115" s="60"/>
      <c r="G115" s="60"/>
      <c r="H115" s="60"/>
      <c r="I115" s="60"/>
      <c r="J115" s="60"/>
      <c r="K115" s="60"/>
      <c r="L115" s="60"/>
      <c r="M115" s="60"/>
    </row>
    <row r="116">
      <c r="A116" s="60"/>
      <c r="B116" s="60"/>
      <c r="C116" s="60"/>
      <c r="D116" s="60"/>
      <c r="E116" s="60"/>
      <c r="F116" s="60"/>
      <c r="G116" s="60"/>
      <c r="H116" s="60"/>
      <c r="I116" s="60"/>
      <c r="J116" s="60"/>
      <c r="K116" s="60"/>
      <c r="L116" s="60"/>
      <c r="M116" s="60"/>
    </row>
    <row r="117">
      <c r="A117" s="60"/>
      <c r="B117" s="60"/>
      <c r="C117" s="60"/>
      <c r="D117" s="60"/>
      <c r="E117" s="60"/>
      <c r="F117" s="60"/>
      <c r="G117" s="60"/>
      <c r="H117" s="60"/>
      <c r="I117" s="60"/>
      <c r="J117" s="60"/>
      <c r="K117" s="60"/>
      <c r="L117" s="60"/>
      <c r="M117" s="60"/>
    </row>
    <row r="118">
      <c r="A118" s="60"/>
      <c r="B118" s="60"/>
      <c r="C118" s="60"/>
      <c r="D118" s="60"/>
      <c r="E118" s="60"/>
      <c r="F118" s="60"/>
      <c r="G118" s="60"/>
      <c r="H118" s="60"/>
      <c r="I118" s="60"/>
      <c r="J118" s="60"/>
      <c r="K118" s="60"/>
      <c r="L118" s="60"/>
      <c r="M118" s="60"/>
    </row>
    <row r="119">
      <c r="A119" s="60"/>
      <c r="B119" s="60"/>
      <c r="C119" s="60"/>
      <c r="D119" s="60"/>
      <c r="E119" s="60"/>
      <c r="F119" s="60"/>
      <c r="G119" s="60"/>
      <c r="H119" s="60"/>
      <c r="I119" s="60"/>
      <c r="J119" s="60"/>
      <c r="K119" s="60"/>
      <c r="L119" s="60"/>
      <c r="M119" s="60"/>
    </row>
    <row r="120">
      <c r="A120" s="60"/>
      <c r="B120" s="60"/>
      <c r="C120" s="60"/>
      <c r="D120" s="60"/>
      <c r="E120" s="60"/>
      <c r="F120" s="60"/>
      <c r="G120" s="60"/>
      <c r="H120" s="60"/>
      <c r="I120" s="60"/>
      <c r="J120" s="60"/>
      <c r="K120" s="60"/>
      <c r="L120" s="60"/>
      <c r="M120" s="60"/>
    </row>
    <row r="121">
      <c r="A121" s="60"/>
      <c r="B121" s="60"/>
      <c r="C121" s="60"/>
      <c r="D121" s="60"/>
      <c r="E121" s="60"/>
      <c r="F121" s="60"/>
      <c r="G121" s="60"/>
      <c r="H121" s="60"/>
      <c r="I121" s="60"/>
      <c r="J121" s="60"/>
      <c r="K121" s="60"/>
      <c r="L121" s="60"/>
      <c r="M121" s="60"/>
    </row>
    <row r="122">
      <c r="A122" s="60"/>
      <c r="B122" s="60"/>
      <c r="C122" s="60"/>
      <c r="D122" s="60"/>
      <c r="E122" s="60"/>
      <c r="F122" s="60"/>
      <c r="G122" s="60"/>
      <c r="H122" s="60"/>
      <c r="I122" s="60"/>
      <c r="J122" s="60"/>
      <c r="K122" s="60"/>
      <c r="L122" s="60"/>
      <c r="M122" s="60"/>
    </row>
    <row r="123">
      <c r="A123" s="60"/>
      <c r="B123" s="60"/>
      <c r="C123" s="60"/>
      <c r="D123" s="60"/>
      <c r="E123" s="60"/>
      <c r="F123" s="60"/>
      <c r="G123" s="60"/>
      <c r="H123" s="60"/>
      <c r="I123" s="60"/>
      <c r="J123" s="60"/>
      <c r="K123" s="60"/>
      <c r="L123" s="60"/>
      <c r="M123" s="60"/>
    </row>
    <row r="124">
      <c r="A124" s="60"/>
      <c r="B124" s="60"/>
      <c r="C124" s="60"/>
      <c r="D124" s="60"/>
      <c r="E124" s="60"/>
      <c r="F124" s="60"/>
      <c r="G124" s="60"/>
      <c r="H124" s="60"/>
      <c r="I124" s="60"/>
      <c r="J124" s="60"/>
      <c r="K124" s="60"/>
      <c r="L124" s="60"/>
      <c r="M124" s="60"/>
    </row>
    <row r="125">
      <c r="A125" s="60"/>
      <c r="B125" s="60"/>
      <c r="C125" s="60"/>
      <c r="D125" s="60"/>
      <c r="E125" s="60"/>
      <c r="F125" s="60"/>
      <c r="G125" s="60"/>
      <c r="H125" s="60"/>
      <c r="I125" s="60"/>
      <c r="J125" s="60"/>
      <c r="K125" s="60"/>
      <c r="L125" s="60"/>
      <c r="M125" s="60"/>
    </row>
    <row r="126">
      <c r="A126" s="60"/>
      <c r="B126" s="60"/>
      <c r="C126" s="60"/>
      <c r="D126" s="60"/>
      <c r="E126" s="60"/>
      <c r="F126" s="60"/>
      <c r="G126" s="60"/>
      <c r="H126" s="60"/>
      <c r="I126" s="60"/>
      <c r="J126" s="60"/>
      <c r="K126" s="60"/>
      <c r="L126" s="60"/>
      <c r="M126" s="60"/>
    </row>
    <row r="127">
      <c r="A127" s="60"/>
      <c r="B127" s="60"/>
      <c r="C127" s="60"/>
      <c r="D127" s="60"/>
      <c r="E127" s="60"/>
      <c r="F127" s="60"/>
      <c r="G127" s="60"/>
      <c r="H127" s="60"/>
      <c r="I127" s="60"/>
      <c r="J127" s="60"/>
      <c r="K127" s="60"/>
      <c r="L127" s="60"/>
      <c r="M127" s="60"/>
    </row>
    <row r="128">
      <c r="A128" s="60"/>
      <c r="B128" s="60"/>
      <c r="C128" s="60"/>
      <c r="D128" s="60"/>
      <c r="E128" s="60"/>
      <c r="F128" s="60"/>
      <c r="G128" s="60"/>
      <c r="H128" s="60"/>
      <c r="I128" s="60"/>
      <c r="J128" s="60"/>
      <c r="K128" s="60"/>
      <c r="L128" s="60"/>
      <c r="M128" s="60"/>
    </row>
    <row r="129">
      <c r="A129" s="60"/>
      <c r="B129" s="60"/>
      <c r="C129" s="60"/>
      <c r="D129" s="60"/>
      <c r="E129" s="60"/>
      <c r="F129" s="60"/>
      <c r="G129" s="60"/>
      <c r="H129" s="60"/>
      <c r="I129" s="60"/>
      <c r="J129" s="60"/>
      <c r="K129" s="60"/>
      <c r="L129" s="60"/>
      <c r="M129" s="60"/>
    </row>
    <row r="130">
      <c r="A130" s="60"/>
      <c r="B130" s="60"/>
      <c r="C130" s="60"/>
      <c r="D130" s="60"/>
      <c r="E130" s="60"/>
      <c r="F130" s="60"/>
      <c r="G130" s="60"/>
      <c r="H130" s="60"/>
      <c r="I130" s="60"/>
      <c r="J130" s="60"/>
      <c r="K130" s="60"/>
      <c r="L130" s="60"/>
      <c r="M130" s="60"/>
    </row>
    <row r="131">
      <c r="A131" s="60"/>
      <c r="B131" s="60"/>
      <c r="C131" s="60"/>
      <c r="D131" s="60"/>
      <c r="E131" s="60"/>
      <c r="F131" s="60"/>
      <c r="G131" s="60"/>
      <c r="H131" s="60"/>
      <c r="I131" s="60"/>
      <c r="J131" s="60"/>
      <c r="K131" s="60"/>
      <c r="L131" s="60"/>
      <c r="M131" s="60"/>
    </row>
    <row r="132">
      <c r="A132" s="60"/>
      <c r="B132" s="60"/>
      <c r="C132" s="60"/>
      <c r="D132" s="60"/>
      <c r="E132" s="60"/>
      <c r="F132" s="60"/>
      <c r="G132" s="60"/>
      <c r="H132" s="60"/>
      <c r="I132" s="60"/>
      <c r="J132" s="60"/>
      <c r="K132" s="60"/>
      <c r="L132" s="60"/>
      <c r="M132" s="60"/>
    </row>
    <row r="133">
      <c r="A133" s="60"/>
      <c r="B133" s="60"/>
      <c r="C133" s="60"/>
      <c r="D133" s="60"/>
      <c r="E133" s="60"/>
      <c r="F133" s="60"/>
      <c r="G133" s="60"/>
      <c r="H133" s="60"/>
      <c r="I133" s="60"/>
      <c r="J133" s="60"/>
      <c r="K133" s="60"/>
      <c r="L133" s="60"/>
      <c r="M133" s="60"/>
    </row>
    <row r="134">
      <c r="A134" s="60"/>
      <c r="B134" s="60"/>
      <c r="C134" s="60"/>
      <c r="D134" s="60"/>
      <c r="E134" s="60"/>
      <c r="F134" s="60"/>
      <c r="G134" s="60"/>
      <c r="H134" s="60"/>
      <c r="I134" s="60"/>
      <c r="J134" s="60"/>
      <c r="K134" s="60"/>
      <c r="L134" s="60"/>
      <c r="M134" s="60"/>
    </row>
    <row r="135">
      <c r="A135" s="60"/>
      <c r="B135" s="60"/>
      <c r="C135" s="60"/>
      <c r="D135" s="60"/>
      <c r="E135" s="60"/>
      <c r="F135" s="60"/>
      <c r="G135" s="60"/>
      <c r="H135" s="60"/>
      <c r="I135" s="60"/>
      <c r="J135" s="60"/>
      <c r="K135" s="60"/>
      <c r="L135" s="60"/>
      <c r="M135" s="60"/>
    </row>
    <row r="136">
      <c r="A136" s="60"/>
      <c r="B136" s="60"/>
      <c r="C136" s="60"/>
      <c r="D136" s="60"/>
      <c r="E136" s="60"/>
      <c r="F136" s="60"/>
      <c r="G136" s="60"/>
      <c r="H136" s="60"/>
      <c r="I136" s="60"/>
      <c r="J136" s="60"/>
      <c r="K136" s="60"/>
      <c r="L136" s="60"/>
      <c r="M136" s="60"/>
    </row>
    <row r="137">
      <c r="A137" s="60"/>
      <c r="B137" s="60"/>
      <c r="C137" s="60"/>
      <c r="D137" s="60"/>
      <c r="E137" s="60"/>
      <c r="F137" s="60"/>
      <c r="G137" s="60"/>
      <c r="H137" s="60"/>
      <c r="I137" s="60"/>
      <c r="J137" s="60"/>
      <c r="K137" s="60"/>
      <c r="L137" s="60"/>
      <c r="M137" s="60"/>
    </row>
    <row r="138">
      <c r="A138" s="60"/>
      <c r="B138" s="60"/>
      <c r="C138" s="60"/>
      <c r="D138" s="60"/>
      <c r="E138" s="60"/>
      <c r="F138" s="60"/>
      <c r="G138" s="60"/>
      <c r="H138" s="60"/>
      <c r="I138" s="60"/>
      <c r="J138" s="60"/>
      <c r="K138" s="60"/>
      <c r="L138" s="60"/>
      <c r="M138" s="60"/>
    </row>
    <row r="139">
      <c r="A139" s="60"/>
      <c r="B139" s="60"/>
      <c r="C139" s="60"/>
      <c r="D139" s="60"/>
      <c r="E139" s="60"/>
      <c r="F139" s="60"/>
      <c r="G139" s="60"/>
      <c r="H139" s="60"/>
      <c r="I139" s="60"/>
      <c r="J139" s="60"/>
      <c r="K139" s="60"/>
      <c r="L139" s="60"/>
      <c r="M139" s="60"/>
    </row>
    <row r="140">
      <c r="A140" s="60"/>
      <c r="B140" s="60"/>
      <c r="C140" s="60"/>
      <c r="D140" s="60"/>
      <c r="E140" s="60"/>
      <c r="F140" s="60"/>
      <c r="G140" s="60"/>
      <c r="H140" s="60"/>
      <c r="I140" s="60"/>
      <c r="J140" s="60"/>
      <c r="K140" s="60"/>
      <c r="L140" s="60"/>
      <c r="M140" s="60"/>
    </row>
    <row r="141">
      <c r="A141" s="60"/>
      <c r="B141" s="60"/>
      <c r="C141" s="60"/>
      <c r="D141" s="60"/>
      <c r="E141" s="60"/>
      <c r="F141" s="60"/>
      <c r="G141" s="60"/>
      <c r="H141" s="60"/>
      <c r="I141" s="60"/>
      <c r="J141" s="60"/>
      <c r="K141" s="60"/>
      <c r="L141" s="60"/>
      <c r="M141" s="60"/>
    </row>
    <row r="142">
      <c r="A142" s="60"/>
      <c r="B142" s="60"/>
      <c r="C142" s="60"/>
      <c r="D142" s="60"/>
      <c r="E142" s="60"/>
      <c r="F142" s="60"/>
      <c r="G142" s="60"/>
      <c r="H142" s="60"/>
      <c r="I142" s="60"/>
      <c r="J142" s="60"/>
      <c r="K142" s="60"/>
      <c r="L142" s="60"/>
      <c r="M142" s="60"/>
    </row>
    <row r="143">
      <c r="A143" s="60"/>
      <c r="B143" s="60"/>
      <c r="C143" s="60"/>
      <c r="D143" s="60"/>
      <c r="E143" s="60"/>
      <c r="F143" s="60"/>
      <c r="G143" s="60"/>
      <c r="H143" s="60"/>
      <c r="I143" s="60"/>
      <c r="J143" s="60"/>
      <c r="K143" s="60"/>
      <c r="L143" s="60"/>
      <c r="M143" s="60"/>
    </row>
    <row r="144">
      <c r="A144" s="60"/>
      <c r="B144" s="60"/>
      <c r="C144" s="60"/>
      <c r="D144" s="60"/>
      <c r="E144" s="60"/>
      <c r="F144" s="60"/>
      <c r="G144" s="60"/>
      <c r="H144" s="60"/>
      <c r="I144" s="60"/>
      <c r="J144" s="60"/>
      <c r="K144" s="60"/>
      <c r="L144" s="60"/>
      <c r="M144" s="60"/>
    </row>
    <row r="145">
      <c r="A145" s="60"/>
      <c r="B145" s="60"/>
      <c r="C145" s="60"/>
      <c r="D145" s="60"/>
      <c r="E145" s="60"/>
      <c r="F145" s="60"/>
      <c r="G145" s="60"/>
      <c r="H145" s="60"/>
      <c r="I145" s="60"/>
      <c r="J145" s="60"/>
      <c r="K145" s="60"/>
      <c r="L145" s="60"/>
      <c r="M145" s="60"/>
    </row>
    <row r="146">
      <c r="A146" s="60"/>
      <c r="B146" s="60"/>
      <c r="C146" s="60"/>
      <c r="D146" s="60"/>
      <c r="E146" s="60"/>
      <c r="F146" s="60"/>
      <c r="G146" s="60"/>
      <c r="H146" s="60"/>
      <c r="I146" s="60"/>
      <c r="J146" s="60"/>
      <c r="K146" s="60"/>
      <c r="L146" s="60"/>
      <c r="M146" s="60"/>
    </row>
    <row r="147">
      <c r="A147" s="60"/>
      <c r="B147" s="60"/>
      <c r="C147" s="60"/>
      <c r="D147" s="60"/>
      <c r="E147" s="60"/>
      <c r="F147" s="60"/>
      <c r="G147" s="60"/>
      <c r="H147" s="60"/>
      <c r="I147" s="60"/>
      <c r="J147" s="60"/>
      <c r="K147" s="60"/>
      <c r="L147" s="60"/>
      <c r="M147" s="60"/>
    </row>
    <row r="148">
      <c r="A148" s="60"/>
      <c r="B148" s="60"/>
      <c r="C148" s="60"/>
      <c r="D148" s="60"/>
      <c r="E148" s="60"/>
      <c r="F148" s="60"/>
      <c r="G148" s="60"/>
      <c r="H148" s="60"/>
      <c r="I148" s="60"/>
      <c r="J148" s="60"/>
      <c r="K148" s="60"/>
      <c r="L148" s="60"/>
      <c r="M148" s="60"/>
    </row>
    <row r="149">
      <c r="A149" s="60"/>
      <c r="B149" s="60"/>
      <c r="C149" s="60"/>
      <c r="D149" s="60"/>
      <c r="E149" s="60"/>
      <c r="F149" s="60"/>
      <c r="G149" s="60"/>
      <c r="H149" s="60"/>
      <c r="I149" s="60"/>
      <c r="J149" s="60"/>
      <c r="K149" s="60"/>
      <c r="L149" s="60"/>
      <c r="M149" s="60"/>
    </row>
    <row r="150">
      <c r="A150" s="60"/>
      <c r="B150" s="60"/>
      <c r="C150" s="60"/>
      <c r="D150" s="60"/>
      <c r="E150" s="60"/>
      <c r="F150" s="60"/>
      <c r="G150" s="60"/>
      <c r="H150" s="60"/>
      <c r="I150" s="60"/>
      <c r="J150" s="60"/>
      <c r="K150" s="60"/>
      <c r="L150" s="60"/>
      <c r="M150" s="60"/>
    </row>
    <row r="151">
      <c r="A151" s="60"/>
      <c r="B151" s="60"/>
      <c r="C151" s="60"/>
      <c r="D151" s="60"/>
      <c r="E151" s="60"/>
      <c r="F151" s="60"/>
      <c r="G151" s="60"/>
      <c r="H151" s="60"/>
      <c r="I151" s="60"/>
      <c r="J151" s="60"/>
      <c r="K151" s="60"/>
      <c r="L151" s="60"/>
      <c r="M151" s="60"/>
    </row>
    <row r="152">
      <c r="A152" s="60"/>
      <c r="B152" s="60"/>
      <c r="C152" s="60"/>
      <c r="D152" s="60"/>
      <c r="E152" s="60"/>
      <c r="F152" s="60"/>
      <c r="G152" s="60"/>
      <c r="H152" s="60"/>
      <c r="I152" s="60"/>
      <c r="J152" s="60"/>
      <c r="K152" s="60"/>
      <c r="L152" s="60"/>
      <c r="M152" s="60"/>
    </row>
    <row r="153">
      <c r="A153" s="60"/>
      <c r="B153" s="60"/>
      <c r="C153" s="60"/>
      <c r="D153" s="60"/>
      <c r="E153" s="60"/>
      <c r="F153" s="60"/>
      <c r="G153" s="60"/>
      <c r="H153" s="60"/>
      <c r="I153" s="60"/>
      <c r="J153" s="60"/>
      <c r="K153" s="60"/>
      <c r="L153" s="60"/>
      <c r="M153" s="60"/>
    </row>
    <row r="154">
      <c r="A154" s="60"/>
      <c r="B154" s="60"/>
      <c r="C154" s="60"/>
      <c r="D154" s="60"/>
      <c r="E154" s="60"/>
      <c r="F154" s="60"/>
      <c r="G154" s="60"/>
      <c r="H154" s="60"/>
      <c r="I154" s="60"/>
      <c r="J154" s="60"/>
      <c r="K154" s="60"/>
      <c r="L154" s="60"/>
      <c r="M154" s="60"/>
    </row>
    <row r="155">
      <c r="A155" s="60"/>
      <c r="B155" s="60"/>
      <c r="C155" s="60"/>
      <c r="D155" s="60"/>
      <c r="E155" s="60"/>
      <c r="F155" s="60"/>
      <c r="G155" s="60"/>
      <c r="H155" s="60"/>
      <c r="I155" s="60"/>
      <c r="J155" s="60"/>
      <c r="K155" s="60"/>
      <c r="L155" s="60"/>
      <c r="M155" s="60"/>
    </row>
    <row r="156">
      <c r="A156" s="60"/>
      <c r="B156" s="60"/>
      <c r="C156" s="60"/>
      <c r="D156" s="60"/>
      <c r="E156" s="60"/>
      <c r="F156" s="60"/>
      <c r="G156" s="60"/>
      <c r="H156" s="60"/>
      <c r="I156" s="60"/>
      <c r="J156" s="60"/>
      <c r="K156" s="60"/>
      <c r="L156" s="60"/>
      <c r="M156" s="60"/>
    </row>
    <row r="157">
      <c r="A157" s="60"/>
      <c r="B157" s="60"/>
      <c r="C157" s="60"/>
      <c r="D157" s="60"/>
      <c r="E157" s="60"/>
      <c r="F157" s="60"/>
      <c r="G157" s="60"/>
      <c r="H157" s="60"/>
      <c r="I157" s="60"/>
      <c r="J157" s="60"/>
      <c r="K157" s="60"/>
      <c r="L157" s="60"/>
      <c r="M157" s="60"/>
    </row>
    <row r="158">
      <c r="A158" s="60"/>
      <c r="B158" s="60"/>
      <c r="C158" s="60"/>
      <c r="D158" s="60"/>
      <c r="E158" s="60"/>
      <c r="F158" s="60"/>
      <c r="G158" s="60"/>
      <c r="H158" s="60"/>
      <c r="I158" s="60"/>
      <c r="J158" s="60"/>
      <c r="K158" s="60"/>
      <c r="L158" s="60"/>
      <c r="M158" s="60"/>
    </row>
    <row r="159">
      <c r="A159" s="60"/>
      <c r="B159" s="60"/>
      <c r="C159" s="60"/>
      <c r="D159" s="60"/>
      <c r="E159" s="60"/>
      <c r="F159" s="60"/>
      <c r="G159" s="60"/>
      <c r="H159" s="60"/>
      <c r="I159" s="60"/>
      <c r="J159" s="60"/>
      <c r="K159" s="60"/>
      <c r="L159" s="60"/>
      <c r="M159" s="60"/>
    </row>
    <row r="160">
      <c r="A160" s="60"/>
      <c r="B160" s="60"/>
      <c r="C160" s="60"/>
      <c r="D160" s="60"/>
      <c r="E160" s="60"/>
      <c r="F160" s="60"/>
      <c r="G160" s="60"/>
      <c r="H160" s="60"/>
      <c r="I160" s="60"/>
      <c r="J160" s="60"/>
      <c r="K160" s="60"/>
      <c r="L160" s="60"/>
      <c r="M160" s="60"/>
    </row>
    <row r="161">
      <c r="A161" s="60"/>
      <c r="B161" s="60"/>
      <c r="C161" s="60"/>
      <c r="D161" s="60"/>
      <c r="E161" s="60"/>
      <c r="F161" s="60"/>
      <c r="G161" s="60"/>
      <c r="H161" s="60"/>
      <c r="I161" s="60"/>
      <c r="J161" s="60"/>
      <c r="K161" s="60"/>
      <c r="L161" s="60"/>
      <c r="M161" s="60"/>
    </row>
    <row r="162">
      <c r="A162" s="60"/>
      <c r="B162" s="60"/>
      <c r="C162" s="60"/>
      <c r="D162" s="60"/>
      <c r="E162" s="60"/>
      <c r="F162" s="60"/>
      <c r="G162" s="60"/>
      <c r="H162" s="60"/>
      <c r="I162" s="60"/>
      <c r="J162" s="60"/>
      <c r="K162" s="60"/>
      <c r="L162" s="60"/>
      <c r="M162" s="60"/>
    </row>
    <row r="163">
      <c r="A163" s="60"/>
      <c r="B163" s="60"/>
      <c r="C163" s="60"/>
      <c r="D163" s="60"/>
      <c r="E163" s="60"/>
      <c r="F163" s="60"/>
      <c r="G163" s="60"/>
      <c r="H163" s="60"/>
      <c r="I163" s="60"/>
      <c r="J163" s="60"/>
      <c r="K163" s="60"/>
      <c r="L163" s="60"/>
      <c r="M163" s="60"/>
    </row>
    <row r="164">
      <c r="A164" s="60"/>
      <c r="B164" s="60"/>
      <c r="C164" s="60"/>
      <c r="D164" s="60"/>
      <c r="E164" s="60"/>
      <c r="F164" s="60"/>
      <c r="G164" s="60"/>
      <c r="H164" s="60"/>
      <c r="I164" s="60"/>
      <c r="J164" s="60"/>
      <c r="K164" s="60"/>
      <c r="L164" s="60"/>
      <c r="M164" s="60"/>
    </row>
    <row r="165">
      <c r="A165" s="60"/>
      <c r="B165" s="60"/>
      <c r="C165" s="60"/>
      <c r="D165" s="60"/>
      <c r="E165" s="60"/>
      <c r="F165" s="60"/>
      <c r="G165" s="60"/>
      <c r="H165" s="60"/>
      <c r="I165" s="60"/>
      <c r="J165" s="60"/>
      <c r="K165" s="60"/>
      <c r="L165" s="60"/>
      <c r="M165" s="60"/>
    </row>
    <row r="166">
      <c r="A166" s="60"/>
      <c r="B166" s="60"/>
      <c r="C166" s="60"/>
      <c r="D166" s="60"/>
      <c r="E166" s="60"/>
      <c r="F166" s="60"/>
      <c r="G166" s="60"/>
      <c r="H166" s="60"/>
      <c r="I166" s="60"/>
      <c r="J166" s="60"/>
      <c r="K166" s="60"/>
      <c r="L166" s="60"/>
      <c r="M166" s="60"/>
    </row>
    <row r="167">
      <c r="A167" s="60"/>
      <c r="B167" s="60"/>
      <c r="C167" s="60"/>
      <c r="D167" s="60"/>
      <c r="E167" s="60"/>
      <c r="F167" s="60"/>
      <c r="G167" s="60"/>
      <c r="H167" s="60"/>
      <c r="I167" s="60"/>
      <c r="J167" s="60"/>
      <c r="K167" s="60"/>
      <c r="L167" s="60"/>
      <c r="M167" s="60"/>
    </row>
    <row r="168">
      <c r="A168" s="60"/>
      <c r="B168" s="60"/>
      <c r="C168" s="60"/>
      <c r="D168" s="60"/>
      <c r="E168" s="60"/>
      <c r="F168" s="60"/>
      <c r="G168" s="60"/>
      <c r="H168" s="60"/>
      <c r="I168" s="60"/>
      <c r="J168" s="60"/>
      <c r="K168" s="60"/>
      <c r="L168" s="60"/>
      <c r="M168" s="60"/>
    </row>
    <row r="169">
      <c r="A169" s="60"/>
      <c r="B169" s="60"/>
      <c r="C169" s="60"/>
      <c r="D169" s="60"/>
      <c r="E169" s="60"/>
      <c r="F169" s="60"/>
      <c r="G169" s="60"/>
      <c r="H169" s="60"/>
      <c r="I169" s="60"/>
      <c r="J169" s="60"/>
      <c r="K169" s="60"/>
      <c r="L169" s="60"/>
      <c r="M169" s="60"/>
    </row>
    <row r="170">
      <c r="A170" s="60"/>
      <c r="B170" s="60"/>
      <c r="C170" s="60"/>
      <c r="D170" s="60"/>
      <c r="E170" s="60"/>
      <c r="F170" s="60"/>
      <c r="G170" s="60"/>
      <c r="H170" s="60"/>
      <c r="I170" s="60"/>
      <c r="J170" s="60"/>
      <c r="K170" s="60"/>
      <c r="L170" s="60"/>
      <c r="M170" s="60"/>
    </row>
    <row r="171">
      <c r="A171" s="60"/>
      <c r="B171" s="60"/>
      <c r="C171" s="60"/>
      <c r="D171" s="60"/>
      <c r="E171" s="60"/>
      <c r="F171" s="60"/>
      <c r="G171" s="60"/>
      <c r="H171" s="60"/>
      <c r="I171" s="60"/>
      <c r="J171" s="60"/>
      <c r="K171" s="60"/>
      <c r="L171" s="60"/>
      <c r="M171" s="60"/>
    </row>
    <row r="172">
      <c r="A172" s="60"/>
      <c r="B172" s="60"/>
      <c r="C172" s="60"/>
      <c r="D172" s="60"/>
      <c r="E172" s="60"/>
      <c r="F172" s="60"/>
      <c r="G172" s="60"/>
      <c r="H172" s="60"/>
      <c r="I172" s="60"/>
      <c r="J172" s="60"/>
      <c r="K172" s="60"/>
      <c r="L172" s="60"/>
      <c r="M172" s="60"/>
    </row>
    <row r="173">
      <c r="A173" s="60"/>
      <c r="B173" s="60"/>
      <c r="C173" s="60"/>
      <c r="D173" s="60"/>
      <c r="E173" s="60"/>
      <c r="F173" s="60"/>
      <c r="G173" s="60"/>
      <c r="H173" s="60"/>
      <c r="I173" s="60"/>
      <c r="J173" s="60"/>
      <c r="K173" s="60"/>
      <c r="L173" s="60"/>
      <c r="M173" s="60"/>
    </row>
    <row r="174">
      <c r="A174" s="60"/>
      <c r="B174" s="60"/>
      <c r="C174" s="60"/>
      <c r="D174" s="60"/>
      <c r="E174" s="60"/>
      <c r="F174" s="60"/>
      <c r="G174" s="60"/>
      <c r="H174" s="60"/>
      <c r="I174" s="60"/>
      <c r="J174" s="60"/>
      <c r="K174" s="60"/>
      <c r="L174" s="60"/>
      <c r="M174" s="60"/>
    </row>
    <row r="175">
      <c r="A175" s="60"/>
      <c r="B175" s="60"/>
      <c r="C175" s="60"/>
      <c r="D175" s="60"/>
      <c r="E175" s="60"/>
      <c r="F175" s="60"/>
      <c r="G175" s="60"/>
      <c r="H175" s="60"/>
      <c r="I175" s="60"/>
      <c r="J175" s="60"/>
      <c r="K175" s="60"/>
      <c r="L175" s="60"/>
      <c r="M175" s="60"/>
    </row>
    <row r="176">
      <c r="A176" s="60"/>
      <c r="B176" s="60"/>
      <c r="C176" s="60"/>
      <c r="D176" s="60"/>
      <c r="E176" s="60"/>
      <c r="F176" s="60"/>
      <c r="G176" s="60"/>
      <c r="H176" s="60"/>
      <c r="I176" s="60"/>
      <c r="J176" s="60"/>
      <c r="K176" s="60"/>
      <c r="L176" s="60"/>
      <c r="M176" s="60"/>
    </row>
    <row r="177">
      <c r="A177" s="60"/>
      <c r="B177" s="60"/>
      <c r="C177" s="60"/>
      <c r="D177" s="60"/>
      <c r="E177" s="60"/>
      <c r="F177" s="60"/>
      <c r="G177" s="60"/>
      <c r="H177" s="60"/>
      <c r="I177" s="60"/>
      <c r="J177" s="60"/>
      <c r="K177" s="60"/>
      <c r="L177" s="60"/>
      <c r="M177" s="60"/>
    </row>
    <row r="178">
      <c r="A178" s="60"/>
      <c r="B178" s="60"/>
      <c r="C178" s="60"/>
      <c r="D178" s="60"/>
      <c r="E178" s="60"/>
      <c r="F178" s="60"/>
      <c r="G178" s="60"/>
      <c r="H178" s="60"/>
      <c r="I178" s="60"/>
      <c r="J178" s="60"/>
      <c r="K178" s="60"/>
      <c r="L178" s="60"/>
      <c r="M178" s="60"/>
    </row>
    <row r="179">
      <c r="A179" s="60"/>
      <c r="B179" s="60"/>
      <c r="C179" s="60"/>
      <c r="D179" s="60"/>
      <c r="E179" s="60"/>
      <c r="F179" s="60"/>
      <c r="G179" s="60"/>
      <c r="H179" s="60"/>
      <c r="I179" s="60"/>
      <c r="J179" s="60"/>
      <c r="K179" s="60"/>
      <c r="L179" s="60"/>
      <c r="M179" s="60"/>
    </row>
    <row r="180">
      <c r="A180" s="60"/>
      <c r="B180" s="60"/>
      <c r="C180" s="60"/>
      <c r="D180" s="60"/>
      <c r="E180" s="60"/>
      <c r="F180" s="60"/>
      <c r="G180" s="60"/>
      <c r="H180" s="60"/>
      <c r="I180" s="60"/>
      <c r="J180" s="60"/>
      <c r="K180" s="60"/>
      <c r="L180" s="60"/>
      <c r="M180" s="60"/>
    </row>
    <row r="181">
      <c r="A181" s="60"/>
      <c r="B181" s="60"/>
      <c r="C181" s="60"/>
      <c r="D181" s="60"/>
      <c r="E181" s="60"/>
      <c r="F181" s="60"/>
      <c r="G181" s="60"/>
      <c r="H181" s="60"/>
      <c r="I181" s="60"/>
      <c r="J181" s="60"/>
      <c r="K181" s="60"/>
      <c r="L181" s="60"/>
      <c r="M181" s="60"/>
    </row>
    <row r="182">
      <c r="A182" s="60"/>
      <c r="B182" s="60"/>
      <c r="C182" s="60"/>
      <c r="D182" s="60"/>
      <c r="E182" s="60"/>
      <c r="F182" s="60"/>
      <c r="G182" s="60"/>
      <c r="H182" s="60"/>
      <c r="I182" s="60"/>
      <c r="J182" s="60"/>
      <c r="K182" s="60"/>
      <c r="L182" s="60"/>
      <c r="M182" s="60"/>
    </row>
    <row r="183">
      <c r="A183" s="60"/>
      <c r="B183" s="60"/>
      <c r="C183" s="60"/>
      <c r="D183" s="60"/>
      <c r="E183" s="60"/>
      <c r="F183" s="60"/>
      <c r="G183" s="60"/>
      <c r="H183" s="60"/>
      <c r="I183" s="60"/>
      <c r="J183" s="60"/>
      <c r="K183" s="60"/>
      <c r="L183" s="60"/>
      <c r="M183" s="60"/>
    </row>
    <row r="184">
      <c r="A184" s="60"/>
      <c r="B184" s="60"/>
      <c r="C184" s="60"/>
      <c r="D184" s="60"/>
      <c r="E184" s="60"/>
      <c r="F184" s="60"/>
      <c r="G184" s="60"/>
      <c r="H184" s="60"/>
      <c r="I184" s="60"/>
      <c r="J184" s="60"/>
      <c r="K184" s="60"/>
      <c r="L184" s="60"/>
      <c r="M184" s="60"/>
    </row>
    <row r="185">
      <c r="A185" s="60"/>
      <c r="B185" s="60"/>
      <c r="C185" s="60"/>
      <c r="D185" s="60"/>
      <c r="E185" s="60"/>
      <c r="F185" s="60"/>
      <c r="G185" s="60"/>
      <c r="H185" s="60"/>
      <c r="I185" s="60"/>
      <c r="J185" s="60"/>
      <c r="K185" s="60"/>
      <c r="L185" s="60"/>
      <c r="M185" s="60"/>
    </row>
    <row r="186">
      <c r="A186" s="60"/>
      <c r="B186" s="60"/>
      <c r="C186" s="60"/>
      <c r="D186" s="60"/>
      <c r="E186" s="60"/>
      <c r="F186" s="60"/>
      <c r="G186" s="60"/>
      <c r="H186" s="60"/>
      <c r="I186" s="60"/>
      <c r="J186" s="60"/>
      <c r="K186" s="60"/>
      <c r="L186" s="60"/>
      <c r="M186" s="60"/>
    </row>
    <row r="187">
      <c r="A187" s="60"/>
      <c r="B187" s="60"/>
      <c r="C187" s="60"/>
      <c r="D187" s="60"/>
      <c r="E187" s="60"/>
      <c r="F187" s="60"/>
      <c r="G187" s="60"/>
      <c r="H187" s="60"/>
      <c r="I187" s="60"/>
      <c r="J187" s="60"/>
      <c r="K187" s="60"/>
      <c r="L187" s="60"/>
      <c r="M187" s="60"/>
    </row>
    <row r="188">
      <c r="A188" s="60"/>
      <c r="B188" s="60"/>
      <c r="C188" s="60"/>
      <c r="D188" s="60"/>
      <c r="E188" s="60"/>
      <c r="F188" s="60"/>
      <c r="G188" s="60"/>
      <c r="H188" s="60"/>
      <c r="I188" s="60"/>
      <c r="J188" s="60"/>
      <c r="K188" s="60"/>
      <c r="L188" s="60"/>
      <c r="M188" s="60"/>
    </row>
    <row r="189">
      <c r="A189" s="60"/>
      <c r="B189" s="60"/>
      <c r="C189" s="60"/>
      <c r="D189" s="60"/>
      <c r="E189" s="60"/>
      <c r="F189" s="60"/>
      <c r="G189" s="60"/>
      <c r="H189" s="60"/>
      <c r="I189" s="60"/>
      <c r="J189" s="60"/>
      <c r="K189" s="60"/>
      <c r="L189" s="60"/>
      <c r="M189" s="60"/>
    </row>
    <row r="190">
      <c r="A190" s="60"/>
      <c r="B190" s="60"/>
      <c r="C190" s="60"/>
      <c r="D190" s="60"/>
      <c r="E190" s="60"/>
      <c r="F190" s="60"/>
      <c r="G190" s="60"/>
      <c r="H190" s="60"/>
      <c r="I190" s="60"/>
      <c r="J190" s="60"/>
      <c r="K190" s="60"/>
      <c r="L190" s="60"/>
      <c r="M190" s="60"/>
    </row>
    <row r="191">
      <c r="A191" s="60"/>
      <c r="B191" s="60"/>
      <c r="C191" s="60"/>
      <c r="D191" s="60"/>
      <c r="E191" s="60"/>
      <c r="F191" s="60"/>
      <c r="G191" s="60"/>
      <c r="H191" s="60"/>
      <c r="I191" s="60"/>
      <c r="J191" s="60"/>
      <c r="K191" s="60"/>
      <c r="L191" s="60"/>
      <c r="M191" s="60"/>
    </row>
    <row r="192">
      <c r="A192" s="60"/>
      <c r="B192" s="60"/>
      <c r="C192" s="60"/>
      <c r="D192" s="60"/>
      <c r="E192" s="60"/>
      <c r="F192" s="60"/>
      <c r="G192" s="60"/>
      <c r="H192" s="60"/>
      <c r="I192" s="60"/>
      <c r="J192" s="60"/>
      <c r="K192" s="60"/>
      <c r="L192" s="60"/>
      <c r="M192" s="60"/>
    </row>
    <row r="193">
      <c r="A193" s="60"/>
      <c r="B193" s="60"/>
      <c r="C193" s="60"/>
      <c r="D193" s="60"/>
      <c r="E193" s="60"/>
      <c r="F193" s="60"/>
      <c r="G193" s="60"/>
      <c r="H193" s="60"/>
      <c r="I193" s="60"/>
      <c r="J193" s="60"/>
      <c r="K193" s="60"/>
      <c r="L193" s="60"/>
      <c r="M193" s="60"/>
    </row>
    <row r="194">
      <c r="A194" s="60"/>
      <c r="B194" s="60"/>
      <c r="C194" s="60"/>
      <c r="D194" s="60"/>
      <c r="E194" s="60"/>
      <c r="F194" s="60"/>
      <c r="G194" s="60"/>
      <c r="H194" s="60"/>
      <c r="I194" s="60"/>
      <c r="J194" s="60"/>
      <c r="K194" s="60"/>
      <c r="L194" s="60"/>
      <c r="M194" s="60"/>
    </row>
    <row r="195">
      <c r="A195" s="60"/>
      <c r="B195" s="60"/>
      <c r="C195" s="60"/>
      <c r="D195" s="60"/>
      <c r="E195" s="60"/>
      <c r="F195" s="60"/>
      <c r="G195" s="60"/>
      <c r="H195" s="60"/>
      <c r="I195" s="60"/>
      <c r="J195" s="60"/>
      <c r="K195" s="60"/>
      <c r="L195" s="60"/>
      <c r="M195" s="60"/>
    </row>
    <row r="196">
      <c r="A196" s="60"/>
      <c r="B196" s="60"/>
      <c r="C196" s="60"/>
      <c r="D196" s="60"/>
      <c r="E196" s="60"/>
      <c r="F196" s="60"/>
      <c r="G196" s="60"/>
      <c r="H196" s="60"/>
      <c r="I196" s="60"/>
      <c r="J196" s="60"/>
      <c r="K196" s="60"/>
      <c r="L196" s="60"/>
      <c r="M196" s="60"/>
    </row>
    <row r="197">
      <c r="A197" s="60"/>
      <c r="B197" s="60"/>
      <c r="C197" s="60"/>
      <c r="D197" s="60"/>
      <c r="E197" s="60"/>
      <c r="F197" s="60"/>
      <c r="G197" s="60"/>
      <c r="H197" s="60"/>
      <c r="I197" s="60"/>
      <c r="J197" s="60"/>
      <c r="K197" s="60"/>
      <c r="L197" s="60"/>
      <c r="M197" s="60"/>
    </row>
    <row r="198">
      <c r="A198" s="60"/>
      <c r="B198" s="60"/>
      <c r="C198" s="60"/>
      <c r="D198" s="60"/>
      <c r="E198" s="60"/>
      <c r="F198" s="60"/>
      <c r="G198" s="60"/>
      <c r="H198" s="60"/>
      <c r="I198" s="60"/>
      <c r="J198" s="60"/>
      <c r="K198" s="60"/>
      <c r="L198" s="60"/>
      <c r="M198" s="60"/>
    </row>
    <row r="199">
      <c r="A199" s="60"/>
      <c r="B199" s="60"/>
      <c r="C199" s="60"/>
      <c r="D199" s="60"/>
      <c r="E199" s="60"/>
      <c r="F199" s="60"/>
      <c r="G199" s="60"/>
      <c r="H199" s="60"/>
      <c r="I199" s="60"/>
      <c r="J199" s="60"/>
      <c r="K199" s="60"/>
      <c r="L199" s="60"/>
      <c r="M199" s="60"/>
    </row>
    <row r="200">
      <c r="A200" s="60"/>
      <c r="B200" s="60"/>
      <c r="C200" s="60"/>
      <c r="D200" s="60"/>
      <c r="E200" s="60"/>
      <c r="F200" s="60"/>
      <c r="G200" s="60"/>
      <c r="H200" s="60"/>
      <c r="I200" s="60"/>
      <c r="J200" s="60"/>
      <c r="K200" s="60"/>
      <c r="L200" s="60"/>
      <c r="M200" s="60"/>
    </row>
    <row r="201">
      <c r="A201" s="60"/>
      <c r="B201" s="60"/>
      <c r="C201" s="60"/>
      <c r="D201" s="60"/>
      <c r="E201" s="60"/>
      <c r="F201" s="60"/>
      <c r="G201" s="60"/>
      <c r="H201" s="60"/>
      <c r="I201" s="60"/>
      <c r="J201" s="60"/>
      <c r="K201" s="60"/>
      <c r="L201" s="60"/>
      <c r="M201" s="60"/>
    </row>
    <row r="202">
      <c r="A202" s="60"/>
      <c r="B202" s="60"/>
      <c r="C202" s="60"/>
      <c r="D202" s="60"/>
      <c r="E202" s="60"/>
      <c r="F202" s="60"/>
      <c r="G202" s="60"/>
      <c r="H202" s="60"/>
      <c r="I202" s="60"/>
      <c r="J202" s="60"/>
      <c r="K202" s="60"/>
      <c r="L202" s="60"/>
      <c r="M202" s="60"/>
    </row>
    <row r="203">
      <c r="A203" s="60"/>
      <c r="B203" s="60"/>
      <c r="C203" s="60"/>
      <c r="D203" s="60"/>
      <c r="E203" s="60"/>
      <c r="F203" s="60"/>
      <c r="G203" s="60"/>
      <c r="H203" s="60"/>
      <c r="I203" s="60"/>
      <c r="J203" s="60"/>
      <c r="K203" s="60"/>
      <c r="L203" s="60"/>
      <c r="M203" s="60"/>
    </row>
    <row r="204">
      <c r="A204" s="60"/>
      <c r="B204" s="60"/>
      <c r="C204" s="60"/>
      <c r="D204" s="60"/>
      <c r="E204" s="60"/>
      <c r="F204" s="60"/>
      <c r="G204" s="60"/>
      <c r="H204" s="60"/>
      <c r="I204" s="60"/>
      <c r="J204" s="60"/>
      <c r="K204" s="60"/>
      <c r="L204" s="60"/>
      <c r="M204" s="60"/>
    </row>
    <row r="205">
      <c r="A205" s="60"/>
      <c r="B205" s="60"/>
      <c r="C205" s="60"/>
      <c r="D205" s="60"/>
      <c r="E205" s="60"/>
      <c r="F205" s="60"/>
      <c r="G205" s="60"/>
      <c r="H205" s="60"/>
      <c r="I205" s="60"/>
      <c r="J205" s="60"/>
      <c r="K205" s="60"/>
      <c r="L205" s="60"/>
      <c r="M205" s="60"/>
    </row>
    <row r="206">
      <c r="A206" s="60"/>
      <c r="B206" s="60"/>
      <c r="C206" s="60"/>
      <c r="D206" s="60"/>
      <c r="E206" s="60"/>
      <c r="F206" s="60"/>
      <c r="G206" s="60"/>
      <c r="H206" s="60"/>
      <c r="I206" s="60"/>
      <c r="J206" s="60"/>
      <c r="K206" s="60"/>
      <c r="L206" s="60"/>
      <c r="M206" s="60"/>
    </row>
    <row r="207">
      <c r="A207" s="60"/>
      <c r="B207" s="60"/>
      <c r="C207" s="60"/>
      <c r="D207" s="60"/>
      <c r="E207" s="60"/>
      <c r="F207" s="60"/>
      <c r="G207" s="60"/>
      <c r="H207" s="60"/>
      <c r="I207" s="60"/>
      <c r="J207" s="60"/>
      <c r="K207" s="60"/>
      <c r="L207" s="60"/>
      <c r="M207" s="60"/>
    </row>
    <row r="208">
      <c r="A208" s="60"/>
      <c r="B208" s="60"/>
      <c r="C208" s="60"/>
      <c r="D208" s="60"/>
      <c r="E208" s="60"/>
      <c r="F208" s="60"/>
      <c r="G208" s="60"/>
      <c r="H208" s="60"/>
      <c r="I208" s="60"/>
      <c r="J208" s="60"/>
      <c r="K208" s="60"/>
      <c r="L208" s="60"/>
      <c r="M208" s="60"/>
    </row>
    <row r="209">
      <c r="A209" s="60"/>
      <c r="B209" s="60"/>
      <c r="C209" s="60"/>
      <c r="D209" s="60"/>
      <c r="E209" s="60"/>
      <c r="F209" s="60"/>
      <c r="G209" s="60"/>
      <c r="H209" s="60"/>
      <c r="I209" s="60"/>
      <c r="J209" s="60"/>
      <c r="K209" s="60"/>
      <c r="L209" s="60"/>
      <c r="M209" s="60"/>
    </row>
    <row r="210">
      <c r="A210" s="60"/>
      <c r="B210" s="60"/>
      <c r="C210" s="60"/>
      <c r="D210" s="60"/>
      <c r="E210" s="60"/>
      <c r="F210" s="60"/>
      <c r="G210" s="60"/>
      <c r="H210" s="60"/>
      <c r="I210" s="60"/>
      <c r="J210" s="60"/>
      <c r="K210" s="60"/>
      <c r="L210" s="60"/>
      <c r="M210" s="60"/>
    </row>
    <row r="211">
      <c r="A211" s="60"/>
      <c r="B211" s="60"/>
      <c r="C211" s="60"/>
      <c r="D211" s="60"/>
      <c r="E211" s="60"/>
      <c r="F211" s="60"/>
      <c r="G211" s="60"/>
      <c r="H211" s="60"/>
      <c r="I211" s="60"/>
      <c r="J211" s="60"/>
      <c r="K211" s="60"/>
      <c r="L211" s="60"/>
      <c r="M211" s="60"/>
    </row>
    <row r="212">
      <c r="A212" s="60"/>
      <c r="B212" s="60"/>
      <c r="C212" s="60"/>
      <c r="D212" s="60"/>
      <c r="E212" s="60"/>
      <c r="F212" s="60"/>
      <c r="G212" s="60"/>
      <c r="H212" s="60"/>
      <c r="I212" s="60"/>
      <c r="J212" s="60"/>
      <c r="K212" s="60"/>
      <c r="L212" s="60"/>
      <c r="M212" s="60"/>
    </row>
    <row r="213">
      <c r="A213" s="60"/>
      <c r="B213" s="60"/>
      <c r="C213" s="60"/>
      <c r="D213" s="60"/>
      <c r="E213" s="60"/>
      <c r="F213" s="60"/>
      <c r="G213" s="60"/>
      <c r="H213" s="60"/>
      <c r="I213" s="60"/>
      <c r="J213" s="60"/>
      <c r="K213" s="60"/>
      <c r="L213" s="60"/>
      <c r="M213" s="60"/>
    </row>
    <row r="214">
      <c r="A214" s="60"/>
      <c r="B214" s="60"/>
      <c r="C214" s="60"/>
      <c r="D214" s="60"/>
      <c r="E214" s="60"/>
      <c r="F214" s="60"/>
      <c r="G214" s="60"/>
      <c r="H214" s="60"/>
      <c r="I214" s="60"/>
      <c r="J214" s="60"/>
      <c r="K214" s="60"/>
      <c r="L214" s="60"/>
      <c r="M214" s="60"/>
    </row>
    <row r="215">
      <c r="A215" s="60"/>
      <c r="B215" s="60"/>
      <c r="C215" s="60"/>
      <c r="D215" s="60"/>
      <c r="E215" s="60"/>
      <c r="F215" s="60"/>
      <c r="G215" s="60"/>
      <c r="H215" s="60"/>
      <c r="I215" s="60"/>
      <c r="J215" s="60"/>
      <c r="K215" s="60"/>
      <c r="L215" s="60"/>
      <c r="M215" s="60"/>
    </row>
    <row r="216">
      <c r="A216" s="60"/>
      <c r="B216" s="60"/>
      <c r="C216" s="60"/>
      <c r="D216" s="60"/>
      <c r="E216" s="60"/>
      <c r="F216" s="60"/>
      <c r="G216" s="60"/>
      <c r="H216" s="60"/>
      <c r="I216" s="60"/>
      <c r="J216" s="60"/>
      <c r="K216" s="60"/>
      <c r="L216" s="60"/>
      <c r="M216" s="60"/>
    </row>
    <row r="217">
      <c r="A217" s="60"/>
      <c r="B217" s="60"/>
      <c r="C217" s="60"/>
      <c r="D217" s="60"/>
      <c r="E217" s="60"/>
      <c r="F217" s="60"/>
      <c r="G217" s="60"/>
      <c r="H217" s="60"/>
      <c r="I217" s="60"/>
      <c r="J217" s="60"/>
      <c r="K217" s="60"/>
      <c r="L217" s="60"/>
      <c r="M217" s="60"/>
    </row>
    <row r="218">
      <c r="A218" s="60"/>
      <c r="B218" s="60"/>
      <c r="C218" s="60"/>
      <c r="D218" s="60"/>
      <c r="E218" s="60"/>
      <c r="F218" s="60"/>
      <c r="G218" s="60"/>
      <c r="H218" s="60"/>
      <c r="I218" s="60"/>
      <c r="J218" s="60"/>
      <c r="K218" s="60"/>
      <c r="L218" s="60"/>
      <c r="M218" s="60"/>
    </row>
    <row r="219">
      <c r="A219" s="60"/>
      <c r="B219" s="60"/>
      <c r="C219" s="60"/>
      <c r="D219" s="60"/>
      <c r="E219" s="60"/>
      <c r="F219" s="60"/>
      <c r="G219" s="60"/>
      <c r="H219" s="60"/>
      <c r="I219" s="60"/>
      <c r="J219" s="60"/>
      <c r="K219" s="60"/>
      <c r="L219" s="60"/>
      <c r="M219" s="60"/>
    </row>
    <row r="220">
      <c r="A220" s="60"/>
      <c r="B220" s="60"/>
      <c r="C220" s="60"/>
      <c r="D220" s="60"/>
      <c r="E220" s="60"/>
      <c r="F220" s="60"/>
      <c r="G220" s="60"/>
      <c r="H220" s="60"/>
      <c r="I220" s="60"/>
      <c r="J220" s="60"/>
      <c r="K220" s="60"/>
      <c r="L220" s="60"/>
      <c r="M220" s="60"/>
    </row>
    <row r="221">
      <c r="A221" s="60"/>
      <c r="B221" s="60"/>
      <c r="C221" s="60"/>
      <c r="D221" s="60"/>
      <c r="E221" s="60"/>
      <c r="F221" s="60"/>
      <c r="G221" s="60"/>
      <c r="H221" s="60"/>
      <c r="I221" s="60"/>
      <c r="J221" s="60"/>
      <c r="K221" s="60"/>
      <c r="L221" s="60"/>
      <c r="M221" s="60"/>
    </row>
    <row r="222">
      <c r="A222" s="60"/>
      <c r="B222" s="60"/>
      <c r="C222" s="60"/>
      <c r="D222" s="60"/>
      <c r="E222" s="60"/>
      <c r="F222" s="60"/>
      <c r="G222" s="60"/>
      <c r="H222" s="60"/>
      <c r="I222" s="60"/>
      <c r="J222" s="60"/>
      <c r="K222" s="60"/>
      <c r="L222" s="60"/>
      <c r="M222" s="60"/>
    </row>
    <row r="223">
      <c r="A223" s="60"/>
      <c r="B223" s="60"/>
      <c r="C223" s="60"/>
      <c r="D223" s="60"/>
      <c r="E223" s="60"/>
      <c r="F223" s="60"/>
      <c r="G223" s="60"/>
      <c r="H223" s="60"/>
      <c r="I223" s="60"/>
      <c r="J223" s="60"/>
      <c r="K223" s="60"/>
      <c r="L223" s="60"/>
      <c r="M223" s="60"/>
    </row>
    <row r="224">
      <c r="A224" s="60"/>
      <c r="B224" s="60"/>
      <c r="C224" s="60"/>
      <c r="D224" s="60"/>
      <c r="E224" s="60"/>
      <c r="F224" s="60"/>
      <c r="G224" s="60"/>
      <c r="H224" s="60"/>
      <c r="I224" s="60"/>
      <c r="J224" s="60"/>
      <c r="K224" s="60"/>
      <c r="L224" s="60"/>
      <c r="M224" s="60"/>
    </row>
    <row r="225">
      <c r="A225" s="60"/>
      <c r="B225" s="60"/>
      <c r="C225" s="60"/>
      <c r="D225" s="60"/>
      <c r="E225" s="60"/>
      <c r="F225" s="60"/>
      <c r="G225" s="60"/>
      <c r="H225" s="60"/>
      <c r="I225" s="60"/>
      <c r="J225" s="60"/>
      <c r="K225" s="60"/>
      <c r="L225" s="60"/>
      <c r="M225" s="60"/>
    </row>
    <row r="226">
      <c r="A226" s="60"/>
      <c r="B226" s="60"/>
      <c r="C226" s="60"/>
      <c r="D226" s="60"/>
      <c r="E226" s="60"/>
      <c r="F226" s="60"/>
      <c r="G226" s="60"/>
      <c r="H226" s="60"/>
      <c r="I226" s="60"/>
      <c r="J226" s="60"/>
      <c r="K226" s="60"/>
      <c r="L226" s="60"/>
      <c r="M226" s="60"/>
    </row>
    <row r="227">
      <c r="A227" s="60"/>
      <c r="B227" s="60"/>
      <c r="C227" s="60"/>
      <c r="D227" s="60"/>
      <c r="E227" s="60"/>
      <c r="F227" s="60"/>
      <c r="G227" s="60"/>
      <c r="H227" s="60"/>
      <c r="I227" s="60"/>
      <c r="J227" s="60"/>
      <c r="K227" s="60"/>
      <c r="L227" s="60"/>
      <c r="M227" s="60"/>
    </row>
    <row r="228">
      <c r="A228" s="60"/>
      <c r="B228" s="60"/>
      <c r="C228" s="60"/>
      <c r="D228" s="60"/>
      <c r="E228" s="60"/>
      <c r="F228" s="60"/>
      <c r="G228" s="60"/>
      <c r="H228" s="60"/>
      <c r="I228" s="60"/>
      <c r="J228" s="60"/>
      <c r="K228" s="60"/>
      <c r="L228" s="60"/>
      <c r="M228" s="60"/>
    </row>
    <row r="229">
      <c r="A229" s="60"/>
      <c r="B229" s="60"/>
      <c r="C229" s="60"/>
      <c r="D229" s="60"/>
      <c r="E229" s="60"/>
      <c r="F229" s="60"/>
      <c r="G229" s="60"/>
      <c r="H229" s="60"/>
      <c r="I229" s="60"/>
      <c r="J229" s="60"/>
      <c r="K229" s="60"/>
      <c r="L229" s="60"/>
      <c r="M229" s="60"/>
    </row>
    <row r="230">
      <c r="A230" s="60"/>
      <c r="B230" s="60"/>
      <c r="C230" s="60"/>
      <c r="D230" s="60"/>
      <c r="E230" s="60"/>
      <c r="F230" s="60"/>
      <c r="G230" s="60"/>
      <c r="H230" s="60"/>
      <c r="I230" s="60"/>
      <c r="J230" s="60"/>
      <c r="K230" s="60"/>
      <c r="L230" s="60"/>
      <c r="M230" s="60"/>
    </row>
    <row r="231">
      <c r="A231" s="60"/>
      <c r="B231" s="60"/>
      <c r="C231" s="60"/>
      <c r="D231" s="60"/>
      <c r="E231" s="60"/>
      <c r="F231" s="60"/>
      <c r="G231" s="60"/>
      <c r="H231" s="60"/>
      <c r="I231" s="60"/>
      <c r="J231" s="60"/>
      <c r="K231" s="60"/>
      <c r="L231" s="60"/>
      <c r="M231" s="60"/>
    </row>
    <row r="232">
      <c r="A232" s="60"/>
      <c r="B232" s="60"/>
      <c r="C232" s="60"/>
      <c r="D232" s="60"/>
      <c r="E232" s="60"/>
      <c r="F232" s="60"/>
      <c r="G232" s="60"/>
      <c r="H232" s="60"/>
      <c r="I232" s="60"/>
      <c r="J232" s="60"/>
      <c r="K232" s="60"/>
      <c r="L232" s="60"/>
      <c r="M232" s="60"/>
    </row>
    <row r="233">
      <c r="A233" s="60"/>
      <c r="B233" s="60"/>
      <c r="C233" s="60"/>
      <c r="D233" s="60"/>
      <c r="E233" s="60"/>
      <c r="F233" s="60"/>
      <c r="G233" s="60"/>
      <c r="H233" s="60"/>
      <c r="I233" s="60"/>
      <c r="J233" s="60"/>
      <c r="K233" s="60"/>
      <c r="L233" s="60"/>
      <c r="M233" s="60"/>
    </row>
    <row r="234">
      <c r="A234" s="60"/>
      <c r="B234" s="60"/>
      <c r="C234" s="60"/>
      <c r="D234" s="60"/>
      <c r="E234" s="60"/>
      <c r="F234" s="60"/>
      <c r="G234" s="60"/>
      <c r="H234" s="60"/>
      <c r="I234" s="60"/>
      <c r="J234" s="60"/>
      <c r="K234" s="60"/>
      <c r="L234" s="60"/>
      <c r="M234" s="60"/>
    </row>
    <row r="235">
      <c r="A235" s="60"/>
      <c r="B235" s="60"/>
      <c r="C235" s="60"/>
      <c r="D235" s="60"/>
      <c r="E235" s="60"/>
      <c r="F235" s="60"/>
      <c r="G235" s="60"/>
      <c r="H235" s="60"/>
      <c r="I235" s="60"/>
      <c r="J235" s="60"/>
      <c r="K235" s="60"/>
      <c r="L235" s="60"/>
      <c r="M235" s="60"/>
    </row>
    <row r="236">
      <c r="A236" s="60"/>
      <c r="B236" s="60"/>
      <c r="C236" s="60"/>
      <c r="D236" s="60"/>
      <c r="E236" s="60"/>
      <c r="F236" s="60"/>
      <c r="G236" s="60"/>
      <c r="H236" s="60"/>
      <c r="I236" s="60"/>
      <c r="J236" s="60"/>
      <c r="K236" s="60"/>
      <c r="L236" s="60"/>
      <c r="M236" s="60"/>
    </row>
    <row r="237">
      <c r="A237" s="60"/>
      <c r="B237" s="60"/>
      <c r="C237" s="60"/>
      <c r="D237" s="60"/>
      <c r="E237" s="60"/>
      <c r="F237" s="60"/>
      <c r="G237" s="60"/>
      <c r="H237" s="60"/>
      <c r="I237" s="60"/>
      <c r="J237" s="60"/>
      <c r="K237" s="60"/>
      <c r="L237" s="60"/>
      <c r="M237" s="60"/>
    </row>
    <row r="238">
      <c r="A238" s="60"/>
      <c r="B238" s="60"/>
      <c r="C238" s="60"/>
      <c r="D238" s="60"/>
      <c r="E238" s="60"/>
      <c r="F238" s="60"/>
      <c r="G238" s="60"/>
      <c r="H238" s="60"/>
      <c r="I238" s="60"/>
      <c r="J238" s="60"/>
      <c r="K238" s="60"/>
      <c r="L238" s="60"/>
      <c r="M238" s="60"/>
    </row>
    <row r="239">
      <c r="A239" s="60"/>
      <c r="B239" s="60"/>
      <c r="C239" s="60"/>
      <c r="D239" s="60"/>
      <c r="E239" s="60"/>
      <c r="F239" s="60"/>
      <c r="G239" s="60"/>
      <c r="H239" s="60"/>
      <c r="I239" s="60"/>
      <c r="J239" s="60"/>
      <c r="K239" s="60"/>
      <c r="L239" s="60"/>
      <c r="M239" s="60"/>
    </row>
    <row r="240">
      <c r="A240" s="60"/>
      <c r="B240" s="60"/>
      <c r="C240" s="60"/>
      <c r="D240" s="60"/>
      <c r="E240" s="60"/>
      <c r="F240" s="60"/>
      <c r="G240" s="60"/>
      <c r="H240" s="60"/>
      <c r="I240" s="60"/>
      <c r="J240" s="60"/>
      <c r="K240" s="60"/>
      <c r="L240" s="60"/>
      <c r="M240" s="60"/>
    </row>
    <row r="241">
      <c r="A241" s="60"/>
      <c r="B241" s="60"/>
      <c r="C241" s="60"/>
      <c r="D241" s="60"/>
      <c r="E241" s="60"/>
      <c r="F241" s="60"/>
      <c r="G241" s="60"/>
      <c r="H241" s="60"/>
      <c r="I241" s="60"/>
      <c r="J241" s="60"/>
      <c r="K241" s="60"/>
      <c r="L241" s="60"/>
      <c r="M241" s="60"/>
    </row>
    <row r="242">
      <c r="A242" s="60"/>
      <c r="B242" s="60"/>
      <c r="C242" s="60"/>
      <c r="D242" s="60"/>
      <c r="E242" s="60"/>
      <c r="F242" s="60"/>
      <c r="G242" s="60"/>
      <c r="H242" s="60"/>
      <c r="I242" s="60"/>
      <c r="J242" s="60"/>
      <c r="K242" s="60"/>
      <c r="L242" s="60"/>
      <c r="M242" s="60"/>
    </row>
    <row r="243">
      <c r="A243" s="60"/>
      <c r="B243" s="60"/>
      <c r="C243" s="60"/>
      <c r="D243" s="60"/>
      <c r="E243" s="60"/>
      <c r="F243" s="60"/>
      <c r="G243" s="60"/>
      <c r="H243" s="60"/>
      <c r="I243" s="60"/>
      <c r="J243" s="60"/>
      <c r="K243" s="60"/>
      <c r="L243" s="60"/>
      <c r="M243" s="60"/>
    </row>
    <row r="244">
      <c r="A244" s="60"/>
      <c r="B244" s="60"/>
      <c r="C244" s="60"/>
      <c r="D244" s="60"/>
      <c r="E244" s="60"/>
      <c r="F244" s="60"/>
      <c r="G244" s="60"/>
      <c r="H244" s="60"/>
      <c r="I244" s="60"/>
      <c r="J244" s="60"/>
      <c r="K244" s="60"/>
      <c r="L244" s="60"/>
      <c r="M244" s="60"/>
    </row>
    <row r="245">
      <c r="A245" s="60"/>
      <c r="B245" s="60"/>
      <c r="C245" s="60"/>
      <c r="D245" s="60"/>
      <c r="E245" s="60"/>
      <c r="F245" s="60"/>
      <c r="G245" s="60"/>
      <c r="H245" s="60"/>
      <c r="I245" s="60"/>
      <c r="J245" s="60"/>
      <c r="K245" s="60"/>
      <c r="L245" s="60"/>
      <c r="M245" s="60"/>
    </row>
    <row r="246">
      <c r="A246" s="60"/>
      <c r="B246" s="60"/>
      <c r="C246" s="60"/>
      <c r="D246" s="60"/>
      <c r="E246" s="60"/>
      <c r="F246" s="60"/>
      <c r="G246" s="60"/>
      <c r="H246" s="60"/>
      <c r="I246" s="60"/>
      <c r="J246" s="60"/>
      <c r="K246" s="60"/>
      <c r="L246" s="60"/>
      <c r="M246" s="60"/>
    </row>
    <row r="247">
      <c r="A247" s="60"/>
      <c r="B247" s="60"/>
      <c r="C247" s="60"/>
      <c r="D247" s="60"/>
      <c r="E247" s="60"/>
      <c r="F247" s="60"/>
      <c r="G247" s="60"/>
      <c r="H247" s="60"/>
      <c r="I247" s="60"/>
      <c r="J247" s="60"/>
      <c r="K247" s="60"/>
      <c r="L247" s="60"/>
      <c r="M247" s="60"/>
    </row>
    <row r="248">
      <c r="A248" s="60"/>
      <c r="B248" s="60"/>
      <c r="C248" s="60"/>
      <c r="D248" s="60"/>
      <c r="E248" s="60"/>
      <c r="F248" s="60"/>
      <c r="G248" s="60"/>
      <c r="H248" s="60"/>
      <c r="I248" s="60"/>
      <c r="J248" s="60"/>
      <c r="K248" s="60"/>
      <c r="L248" s="60"/>
      <c r="M248" s="60"/>
    </row>
    <row r="249">
      <c r="A249" s="60"/>
      <c r="B249" s="60"/>
      <c r="C249" s="60"/>
      <c r="D249" s="60"/>
      <c r="E249" s="60"/>
      <c r="F249" s="60"/>
      <c r="G249" s="60"/>
      <c r="H249" s="60"/>
      <c r="I249" s="60"/>
      <c r="J249" s="60"/>
      <c r="K249" s="60"/>
      <c r="L249" s="60"/>
      <c r="M249" s="60"/>
    </row>
    <row r="250">
      <c r="A250" s="60"/>
      <c r="B250" s="60"/>
      <c r="C250" s="60"/>
      <c r="D250" s="60"/>
      <c r="E250" s="60"/>
      <c r="F250" s="60"/>
      <c r="G250" s="60"/>
      <c r="H250" s="60"/>
      <c r="I250" s="60"/>
      <c r="J250" s="60"/>
      <c r="K250" s="60"/>
      <c r="L250" s="60"/>
      <c r="M250" s="60"/>
    </row>
    <row r="251">
      <c r="A251" s="60"/>
      <c r="B251" s="60"/>
      <c r="C251" s="60"/>
      <c r="D251" s="60"/>
      <c r="E251" s="60"/>
      <c r="F251" s="60"/>
      <c r="G251" s="60"/>
      <c r="H251" s="60"/>
      <c r="I251" s="60"/>
      <c r="J251" s="60"/>
      <c r="K251" s="60"/>
      <c r="L251" s="60"/>
      <c r="M251" s="60"/>
    </row>
    <row r="252">
      <c r="A252" s="60"/>
      <c r="B252" s="60"/>
      <c r="C252" s="60"/>
      <c r="D252" s="60"/>
      <c r="E252" s="60"/>
      <c r="F252" s="60"/>
      <c r="G252" s="60"/>
      <c r="H252" s="60"/>
      <c r="I252" s="60"/>
      <c r="J252" s="60"/>
      <c r="K252" s="60"/>
      <c r="L252" s="60"/>
      <c r="M252" s="60"/>
    </row>
    <row r="253">
      <c r="A253" s="60"/>
      <c r="B253" s="60"/>
      <c r="C253" s="60"/>
      <c r="D253" s="60"/>
      <c r="E253" s="60"/>
      <c r="F253" s="60"/>
      <c r="G253" s="60"/>
      <c r="H253" s="60"/>
      <c r="I253" s="60"/>
      <c r="J253" s="60"/>
      <c r="K253" s="60"/>
      <c r="L253" s="60"/>
      <c r="M253" s="60"/>
    </row>
    <row r="254">
      <c r="A254" s="60"/>
      <c r="B254" s="60"/>
      <c r="C254" s="60"/>
      <c r="D254" s="60"/>
      <c r="E254" s="60"/>
      <c r="F254" s="60"/>
      <c r="G254" s="60"/>
      <c r="H254" s="60"/>
      <c r="I254" s="60"/>
      <c r="J254" s="60"/>
      <c r="K254" s="60"/>
      <c r="L254" s="60"/>
      <c r="M254" s="60"/>
    </row>
    <row r="255">
      <c r="A255" s="60"/>
      <c r="B255" s="60"/>
      <c r="C255" s="60"/>
      <c r="D255" s="60"/>
      <c r="E255" s="60"/>
      <c r="F255" s="60"/>
      <c r="G255" s="60"/>
      <c r="H255" s="60"/>
      <c r="I255" s="60"/>
      <c r="J255" s="60"/>
      <c r="K255" s="60"/>
      <c r="L255" s="60"/>
      <c r="M255" s="60"/>
    </row>
    <row r="256">
      <c r="A256" s="60"/>
      <c r="B256" s="60"/>
      <c r="C256" s="60"/>
      <c r="D256" s="60"/>
      <c r="E256" s="60"/>
      <c r="F256" s="60"/>
      <c r="G256" s="60"/>
      <c r="H256" s="60"/>
      <c r="I256" s="60"/>
      <c r="J256" s="60"/>
      <c r="K256" s="60"/>
      <c r="L256" s="60"/>
      <c r="M256" s="60"/>
    </row>
    <row r="257">
      <c r="A257" s="60"/>
      <c r="B257" s="60"/>
      <c r="C257" s="60"/>
      <c r="D257" s="60"/>
      <c r="E257" s="60"/>
      <c r="F257" s="60"/>
      <c r="G257" s="60"/>
      <c r="H257" s="60"/>
      <c r="I257" s="60"/>
      <c r="J257" s="60"/>
      <c r="K257" s="60"/>
      <c r="L257" s="60"/>
      <c r="M257" s="60"/>
    </row>
    <row r="258">
      <c r="A258" s="60"/>
      <c r="B258" s="60"/>
      <c r="C258" s="60"/>
      <c r="D258" s="60"/>
      <c r="E258" s="60"/>
      <c r="F258" s="60"/>
      <c r="G258" s="60"/>
      <c r="H258" s="60"/>
      <c r="I258" s="60"/>
      <c r="J258" s="60"/>
      <c r="K258" s="60"/>
      <c r="L258" s="60"/>
      <c r="M258" s="60"/>
    </row>
    <row r="259">
      <c r="A259" s="60"/>
      <c r="B259" s="60"/>
      <c r="C259" s="60"/>
      <c r="D259" s="60"/>
      <c r="E259" s="60"/>
      <c r="F259" s="60"/>
      <c r="G259" s="60"/>
      <c r="H259" s="60"/>
      <c r="I259" s="60"/>
      <c r="J259" s="60"/>
      <c r="K259" s="60"/>
      <c r="L259" s="60"/>
      <c r="M259" s="60"/>
    </row>
    <row r="260">
      <c r="A260" s="60"/>
      <c r="B260" s="60"/>
      <c r="C260" s="60"/>
      <c r="D260" s="60"/>
      <c r="E260" s="60"/>
      <c r="F260" s="60"/>
      <c r="G260" s="60"/>
      <c r="H260" s="60"/>
      <c r="I260" s="60"/>
      <c r="J260" s="60"/>
      <c r="K260" s="60"/>
      <c r="L260" s="60"/>
      <c r="M260" s="60"/>
    </row>
    <row r="261">
      <c r="A261" s="60"/>
      <c r="B261" s="60"/>
      <c r="C261" s="60"/>
      <c r="D261" s="60"/>
      <c r="E261" s="60"/>
      <c r="F261" s="60"/>
      <c r="G261" s="60"/>
      <c r="H261" s="60"/>
      <c r="I261" s="60"/>
      <c r="J261" s="60"/>
      <c r="K261" s="60"/>
      <c r="L261" s="60"/>
      <c r="M261" s="60"/>
    </row>
    <row r="262">
      <c r="A262" s="60"/>
      <c r="B262" s="60"/>
      <c r="C262" s="60"/>
      <c r="D262" s="60"/>
      <c r="E262" s="60"/>
      <c r="F262" s="60"/>
      <c r="G262" s="60"/>
      <c r="H262" s="60"/>
      <c r="I262" s="60"/>
      <c r="J262" s="60"/>
      <c r="K262" s="60"/>
      <c r="L262" s="60"/>
      <c r="M262" s="60"/>
    </row>
    <row r="263">
      <c r="A263" s="60"/>
      <c r="B263" s="60"/>
      <c r="C263" s="60"/>
      <c r="D263" s="60"/>
      <c r="E263" s="60"/>
      <c r="F263" s="60"/>
      <c r="G263" s="60"/>
      <c r="H263" s="60"/>
      <c r="I263" s="60"/>
      <c r="J263" s="60"/>
      <c r="K263" s="60"/>
      <c r="L263" s="60"/>
      <c r="M263" s="60"/>
    </row>
    <row r="264">
      <c r="A264" s="60"/>
      <c r="B264" s="60"/>
      <c r="C264" s="60"/>
      <c r="D264" s="60"/>
      <c r="E264" s="60"/>
      <c r="F264" s="60"/>
      <c r="G264" s="60"/>
      <c r="H264" s="60"/>
      <c r="I264" s="60"/>
      <c r="J264" s="60"/>
      <c r="K264" s="60"/>
      <c r="L264" s="60"/>
      <c r="M264" s="60"/>
    </row>
    <row r="265">
      <c r="A265" s="60"/>
      <c r="B265" s="60"/>
      <c r="C265" s="60"/>
      <c r="D265" s="60"/>
      <c r="E265" s="60"/>
      <c r="F265" s="60"/>
      <c r="G265" s="60"/>
      <c r="H265" s="60"/>
      <c r="I265" s="60"/>
      <c r="J265" s="60"/>
      <c r="K265" s="60"/>
      <c r="L265" s="60"/>
      <c r="M265" s="60"/>
    </row>
    <row r="266">
      <c r="A266" s="60"/>
      <c r="B266" s="60"/>
      <c r="C266" s="60"/>
      <c r="D266" s="60"/>
      <c r="E266" s="60"/>
      <c r="F266" s="60"/>
      <c r="G266" s="60"/>
      <c r="H266" s="60"/>
      <c r="I266" s="60"/>
      <c r="J266" s="60"/>
      <c r="K266" s="60"/>
      <c r="L266" s="60"/>
      <c r="M266" s="60"/>
    </row>
    <row r="267">
      <c r="A267" s="60"/>
      <c r="B267" s="60"/>
      <c r="C267" s="60"/>
      <c r="D267" s="60"/>
      <c r="E267" s="60"/>
      <c r="F267" s="60"/>
      <c r="G267" s="60"/>
      <c r="H267" s="60"/>
      <c r="I267" s="60"/>
      <c r="J267" s="60"/>
      <c r="K267" s="60"/>
      <c r="L267" s="60"/>
      <c r="M267" s="60"/>
    </row>
    <row r="268">
      <c r="A268" s="60"/>
      <c r="B268" s="60"/>
      <c r="C268" s="60"/>
      <c r="D268" s="60"/>
      <c r="E268" s="60"/>
      <c r="F268" s="60"/>
      <c r="G268" s="60"/>
      <c r="H268" s="60"/>
      <c r="I268" s="60"/>
      <c r="J268" s="60"/>
      <c r="K268" s="60"/>
      <c r="L268" s="60"/>
      <c r="M268" s="60"/>
    </row>
    <row r="269">
      <c r="A269" s="60"/>
      <c r="B269" s="60"/>
      <c r="C269" s="60"/>
      <c r="D269" s="60"/>
      <c r="E269" s="60"/>
      <c r="F269" s="60"/>
      <c r="G269" s="60"/>
      <c r="H269" s="60"/>
      <c r="I269" s="60"/>
      <c r="J269" s="60"/>
      <c r="K269" s="60"/>
      <c r="L269" s="60"/>
      <c r="M269" s="60"/>
    </row>
    <row r="270">
      <c r="A270" s="60"/>
      <c r="B270" s="60"/>
      <c r="C270" s="60"/>
      <c r="D270" s="60"/>
      <c r="E270" s="60"/>
      <c r="F270" s="60"/>
      <c r="G270" s="60"/>
      <c r="H270" s="60"/>
      <c r="I270" s="60"/>
      <c r="J270" s="60"/>
      <c r="K270" s="60"/>
      <c r="L270" s="60"/>
      <c r="M270" s="60"/>
    </row>
    <row r="271">
      <c r="A271" s="60"/>
      <c r="B271" s="60"/>
      <c r="C271" s="60"/>
      <c r="D271" s="60"/>
      <c r="E271" s="60"/>
      <c r="F271" s="60"/>
      <c r="G271" s="60"/>
      <c r="H271" s="60"/>
      <c r="I271" s="60"/>
      <c r="J271" s="60"/>
      <c r="K271" s="60"/>
      <c r="L271" s="60"/>
      <c r="M271" s="60"/>
    </row>
    <row r="272">
      <c r="A272" s="60"/>
      <c r="B272" s="60"/>
      <c r="C272" s="60"/>
      <c r="D272" s="60"/>
      <c r="E272" s="60"/>
      <c r="F272" s="60"/>
      <c r="G272" s="60"/>
      <c r="H272" s="60"/>
      <c r="I272" s="60"/>
      <c r="J272" s="60"/>
      <c r="K272" s="60"/>
      <c r="L272" s="60"/>
      <c r="M272" s="60"/>
    </row>
    <row r="273">
      <c r="A273" s="60"/>
      <c r="B273" s="60"/>
      <c r="C273" s="60"/>
      <c r="D273" s="60"/>
      <c r="E273" s="60"/>
      <c r="F273" s="60"/>
      <c r="G273" s="60"/>
      <c r="H273" s="60"/>
      <c r="I273" s="60"/>
      <c r="J273" s="60"/>
      <c r="K273" s="60"/>
      <c r="L273" s="60"/>
      <c r="M273" s="60"/>
    </row>
    <row r="274">
      <c r="A274" s="60"/>
      <c r="B274" s="60"/>
      <c r="C274" s="60"/>
      <c r="D274" s="60"/>
      <c r="E274" s="60"/>
      <c r="F274" s="60"/>
      <c r="G274" s="60"/>
      <c r="H274" s="60"/>
      <c r="I274" s="60"/>
      <c r="J274" s="60"/>
      <c r="K274" s="60"/>
      <c r="L274" s="60"/>
      <c r="M274" s="60"/>
    </row>
    <row r="275">
      <c r="A275" s="60"/>
      <c r="B275" s="60"/>
      <c r="C275" s="60"/>
      <c r="D275" s="60"/>
      <c r="E275" s="60"/>
      <c r="F275" s="60"/>
      <c r="G275" s="60"/>
      <c r="H275" s="60"/>
      <c r="I275" s="60"/>
      <c r="J275" s="60"/>
      <c r="K275" s="60"/>
      <c r="L275" s="60"/>
      <c r="M275" s="60"/>
    </row>
    <row r="276">
      <c r="A276" s="60"/>
      <c r="B276" s="60"/>
      <c r="C276" s="60"/>
      <c r="D276" s="60"/>
      <c r="E276" s="60"/>
      <c r="F276" s="60"/>
      <c r="G276" s="60"/>
      <c r="H276" s="60"/>
      <c r="I276" s="60"/>
      <c r="J276" s="60"/>
      <c r="K276" s="60"/>
      <c r="L276" s="60"/>
      <c r="M276" s="60"/>
    </row>
    <row r="277">
      <c r="A277" s="60"/>
      <c r="B277" s="60"/>
      <c r="C277" s="60"/>
      <c r="D277" s="60"/>
      <c r="E277" s="60"/>
      <c r="F277" s="60"/>
      <c r="G277" s="60"/>
      <c r="H277" s="60"/>
      <c r="I277" s="60"/>
      <c r="J277" s="60"/>
      <c r="K277" s="60"/>
      <c r="L277" s="60"/>
      <c r="M277" s="60"/>
    </row>
    <row r="278">
      <c r="A278" s="60"/>
      <c r="B278" s="60"/>
      <c r="C278" s="60"/>
      <c r="D278" s="60"/>
      <c r="E278" s="60"/>
      <c r="F278" s="60"/>
      <c r="G278" s="60"/>
      <c r="H278" s="60"/>
      <c r="I278" s="60"/>
      <c r="J278" s="60"/>
      <c r="K278" s="60"/>
      <c r="L278" s="60"/>
      <c r="M278" s="60"/>
    </row>
    <row r="279">
      <c r="A279" s="60"/>
      <c r="B279" s="60"/>
      <c r="C279" s="60"/>
      <c r="D279" s="60"/>
      <c r="E279" s="60"/>
      <c r="F279" s="60"/>
      <c r="G279" s="60"/>
      <c r="H279" s="60"/>
      <c r="I279" s="60"/>
      <c r="J279" s="60"/>
      <c r="K279" s="60"/>
      <c r="L279" s="60"/>
      <c r="M279" s="60"/>
    </row>
    <row r="280">
      <c r="A280" s="60"/>
      <c r="B280" s="60"/>
      <c r="C280" s="60"/>
      <c r="D280" s="60"/>
      <c r="E280" s="60"/>
      <c r="F280" s="60"/>
      <c r="G280" s="60"/>
      <c r="H280" s="60"/>
      <c r="I280" s="60"/>
      <c r="J280" s="60"/>
      <c r="K280" s="60"/>
      <c r="L280" s="60"/>
      <c r="M280" s="60"/>
    </row>
    <row r="281">
      <c r="A281" s="60"/>
      <c r="B281" s="60"/>
      <c r="C281" s="60"/>
      <c r="D281" s="60"/>
      <c r="E281" s="60"/>
      <c r="F281" s="60"/>
      <c r="G281" s="60"/>
      <c r="H281" s="60"/>
      <c r="I281" s="60"/>
      <c r="J281" s="60"/>
      <c r="K281" s="60"/>
      <c r="L281" s="60"/>
      <c r="M281" s="60"/>
    </row>
    <row r="282">
      <c r="A282" s="60"/>
      <c r="B282" s="60"/>
      <c r="C282" s="60"/>
      <c r="D282" s="60"/>
      <c r="E282" s="60"/>
      <c r="F282" s="60"/>
      <c r="G282" s="60"/>
      <c r="H282" s="60"/>
      <c r="I282" s="60"/>
      <c r="J282" s="60"/>
      <c r="K282" s="60"/>
      <c r="L282" s="60"/>
      <c r="M282" s="60"/>
    </row>
    <row r="283">
      <c r="A283" s="60"/>
      <c r="B283" s="60"/>
      <c r="C283" s="60"/>
      <c r="D283" s="60"/>
      <c r="E283" s="60"/>
      <c r="F283" s="60"/>
      <c r="G283" s="60"/>
      <c r="H283" s="60"/>
      <c r="I283" s="60"/>
      <c r="J283" s="60"/>
      <c r="K283" s="60"/>
      <c r="L283" s="60"/>
      <c r="M283" s="60"/>
    </row>
    <row r="284">
      <c r="A284" s="60"/>
      <c r="B284" s="60"/>
      <c r="C284" s="60"/>
      <c r="D284" s="60"/>
      <c r="E284" s="60"/>
      <c r="F284" s="60"/>
      <c r="G284" s="60"/>
      <c r="H284" s="60"/>
      <c r="I284" s="60"/>
      <c r="J284" s="60"/>
      <c r="K284" s="60"/>
      <c r="L284" s="60"/>
      <c r="M284" s="60"/>
    </row>
    <row r="285">
      <c r="A285" s="60"/>
      <c r="B285" s="60"/>
      <c r="C285" s="60"/>
      <c r="D285" s="60"/>
      <c r="E285" s="60"/>
      <c r="F285" s="60"/>
      <c r="G285" s="60"/>
      <c r="H285" s="60"/>
      <c r="I285" s="60"/>
      <c r="J285" s="60"/>
      <c r="K285" s="60"/>
      <c r="L285" s="60"/>
      <c r="M285" s="60"/>
    </row>
    <row r="286">
      <c r="A286" s="60"/>
      <c r="B286" s="60"/>
      <c r="C286" s="60"/>
      <c r="D286" s="60"/>
      <c r="E286" s="60"/>
      <c r="F286" s="60"/>
      <c r="G286" s="60"/>
      <c r="H286" s="60"/>
      <c r="I286" s="60"/>
      <c r="J286" s="60"/>
      <c r="K286" s="60"/>
      <c r="L286" s="60"/>
      <c r="M286" s="60"/>
    </row>
    <row r="287">
      <c r="A287" s="60"/>
      <c r="B287" s="60"/>
      <c r="C287" s="60"/>
      <c r="D287" s="60"/>
      <c r="E287" s="60"/>
      <c r="F287" s="60"/>
      <c r="G287" s="60"/>
      <c r="H287" s="60"/>
      <c r="I287" s="60"/>
      <c r="J287" s="60"/>
      <c r="K287" s="60"/>
      <c r="L287" s="60"/>
      <c r="M287" s="60"/>
    </row>
    <row r="288">
      <c r="A288" s="60"/>
      <c r="B288" s="60"/>
      <c r="C288" s="60"/>
      <c r="D288" s="60"/>
      <c r="E288" s="60"/>
      <c r="F288" s="60"/>
      <c r="G288" s="60"/>
      <c r="H288" s="60"/>
      <c r="I288" s="60"/>
      <c r="J288" s="60"/>
      <c r="K288" s="60"/>
      <c r="L288" s="60"/>
      <c r="M288" s="60"/>
    </row>
    <row r="289">
      <c r="A289" s="60"/>
      <c r="B289" s="60"/>
      <c r="C289" s="60"/>
      <c r="D289" s="60"/>
      <c r="E289" s="60"/>
      <c r="F289" s="60"/>
      <c r="G289" s="60"/>
      <c r="H289" s="60"/>
      <c r="I289" s="60"/>
      <c r="J289" s="60"/>
      <c r="K289" s="60"/>
      <c r="L289" s="60"/>
      <c r="M289" s="60"/>
    </row>
    <row r="290">
      <c r="A290" s="60"/>
      <c r="B290" s="60"/>
      <c r="C290" s="60"/>
      <c r="D290" s="60"/>
      <c r="E290" s="60"/>
      <c r="F290" s="60"/>
      <c r="G290" s="60"/>
      <c r="H290" s="60"/>
      <c r="I290" s="60"/>
      <c r="J290" s="60"/>
      <c r="K290" s="60"/>
      <c r="L290" s="60"/>
      <c r="M290" s="60"/>
    </row>
    <row r="291">
      <c r="A291" s="60"/>
      <c r="B291" s="60"/>
      <c r="C291" s="60"/>
      <c r="D291" s="60"/>
      <c r="E291" s="60"/>
      <c r="F291" s="60"/>
      <c r="G291" s="60"/>
      <c r="H291" s="60"/>
      <c r="I291" s="60"/>
      <c r="J291" s="60"/>
      <c r="K291" s="60"/>
      <c r="L291" s="60"/>
      <c r="M291" s="60"/>
    </row>
    <row r="292">
      <c r="A292" s="60"/>
      <c r="B292" s="60"/>
      <c r="C292" s="60"/>
      <c r="D292" s="60"/>
      <c r="E292" s="60"/>
      <c r="F292" s="60"/>
      <c r="G292" s="60"/>
      <c r="H292" s="60"/>
      <c r="I292" s="60"/>
      <c r="J292" s="60"/>
      <c r="K292" s="60"/>
      <c r="L292" s="60"/>
      <c r="M292" s="60"/>
    </row>
    <row r="293">
      <c r="A293" s="60"/>
      <c r="B293" s="60"/>
      <c r="C293" s="60"/>
      <c r="D293" s="60"/>
      <c r="E293" s="60"/>
      <c r="F293" s="60"/>
      <c r="G293" s="60"/>
      <c r="H293" s="60"/>
      <c r="I293" s="60"/>
      <c r="J293" s="60"/>
      <c r="K293" s="60"/>
      <c r="L293" s="60"/>
      <c r="M293" s="60"/>
    </row>
    <row r="294">
      <c r="A294" s="60"/>
      <c r="B294" s="60"/>
      <c r="C294" s="60"/>
      <c r="D294" s="60"/>
      <c r="E294" s="60"/>
      <c r="F294" s="60"/>
      <c r="G294" s="60"/>
      <c r="H294" s="60"/>
      <c r="I294" s="60"/>
      <c r="J294" s="60"/>
      <c r="K294" s="60"/>
      <c r="L294" s="60"/>
      <c r="M294" s="60"/>
    </row>
    <row r="295">
      <c r="A295" s="60"/>
      <c r="B295" s="60"/>
      <c r="C295" s="60"/>
      <c r="D295" s="60"/>
      <c r="E295" s="60"/>
      <c r="F295" s="60"/>
      <c r="G295" s="60"/>
      <c r="H295" s="60"/>
      <c r="I295" s="60"/>
      <c r="J295" s="60"/>
      <c r="K295" s="60"/>
      <c r="L295" s="60"/>
      <c r="M295" s="60"/>
    </row>
    <row r="296">
      <c r="A296" s="60"/>
      <c r="B296" s="60"/>
      <c r="C296" s="60"/>
      <c r="D296" s="60"/>
      <c r="E296" s="60"/>
      <c r="F296" s="60"/>
      <c r="G296" s="60"/>
      <c r="H296" s="60"/>
      <c r="I296" s="60"/>
      <c r="J296" s="60"/>
      <c r="K296" s="60"/>
      <c r="L296" s="60"/>
      <c r="M296" s="60"/>
    </row>
    <row r="297">
      <c r="A297" s="60"/>
      <c r="B297" s="60"/>
      <c r="C297" s="60"/>
      <c r="D297" s="60"/>
      <c r="E297" s="60"/>
      <c r="F297" s="60"/>
      <c r="G297" s="60"/>
      <c r="H297" s="60"/>
      <c r="I297" s="60"/>
      <c r="J297" s="60"/>
      <c r="K297" s="60"/>
      <c r="L297" s="60"/>
      <c r="M297" s="60"/>
    </row>
    <row r="298">
      <c r="A298" s="60"/>
      <c r="B298" s="60"/>
      <c r="C298" s="60"/>
      <c r="D298" s="60"/>
      <c r="E298" s="60"/>
      <c r="F298" s="60"/>
      <c r="G298" s="60"/>
      <c r="H298" s="60"/>
      <c r="I298" s="60"/>
      <c r="J298" s="60"/>
      <c r="K298" s="60"/>
      <c r="L298" s="60"/>
      <c r="M298" s="60"/>
    </row>
    <row r="299">
      <c r="A299" s="60"/>
      <c r="B299" s="60"/>
      <c r="C299" s="60"/>
      <c r="D299" s="60"/>
      <c r="E299" s="60"/>
      <c r="F299" s="60"/>
      <c r="G299" s="60"/>
      <c r="H299" s="60"/>
      <c r="I299" s="60"/>
      <c r="J299" s="60"/>
      <c r="K299" s="60"/>
      <c r="L299" s="60"/>
      <c r="M299" s="60"/>
    </row>
    <row r="300">
      <c r="A300" s="60"/>
      <c r="B300" s="60"/>
      <c r="C300" s="60"/>
      <c r="D300" s="60"/>
      <c r="E300" s="60"/>
      <c r="F300" s="60"/>
      <c r="G300" s="60"/>
      <c r="H300" s="60"/>
      <c r="I300" s="60"/>
      <c r="J300" s="60"/>
      <c r="K300" s="60"/>
      <c r="L300" s="60"/>
      <c r="M300" s="60"/>
    </row>
    <row r="301">
      <c r="A301" s="60"/>
      <c r="B301" s="60"/>
      <c r="C301" s="60"/>
      <c r="D301" s="60"/>
      <c r="E301" s="60"/>
      <c r="F301" s="60"/>
      <c r="G301" s="60"/>
      <c r="H301" s="60"/>
      <c r="I301" s="60"/>
      <c r="J301" s="60"/>
      <c r="K301" s="60"/>
      <c r="L301" s="60"/>
      <c r="M301" s="60"/>
    </row>
    <row r="302">
      <c r="A302" s="60"/>
      <c r="B302" s="60"/>
      <c r="C302" s="60"/>
      <c r="D302" s="60"/>
      <c r="E302" s="60"/>
      <c r="F302" s="60"/>
      <c r="G302" s="60"/>
      <c r="H302" s="60"/>
      <c r="I302" s="60"/>
      <c r="J302" s="60"/>
      <c r="K302" s="60"/>
      <c r="L302" s="60"/>
      <c r="M302" s="60"/>
    </row>
    <row r="303">
      <c r="A303" s="60"/>
      <c r="B303" s="60"/>
      <c r="C303" s="60"/>
      <c r="D303" s="60"/>
      <c r="E303" s="60"/>
      <c r="F303" s="60"/>
      <c r="G303" s="60"/>
      <c r="H303" s="60"/>
      <c r="I303" s="60"/>
      <c r="J303" s="60"/>
      <c r="K303" s="60"/>
      <c r="L303" s="60"/>
      <c r="M303" s="60"/>
    </row>
    <row r="304">
      <c r="A304" s="60"/>
      <c r="B304" s="60"/>
      <c r="C304" s="60"/>
      <c r="D304" s="60"/>
      <c r="E304" s="60"/>
      <c r="F304" s="60"/>
      <c r="G304" s="60"/>
      <c r="H304" s="60"/>
      <c r="I304" s="60"/>
      <c r="J304" s="60"/>
      <c r="K304" s="60"/>
      <c r="L304" s="60"/>
      <c r="M304" s="60"/>
    </row>
    <row r="305">
      <c r="A305" s="60"/>
      <c r="B305" s="60"/>
      <c r="C305" s="60"/>
      <c r="D305" s="60"/>
      <c r="E305" s="60"/>
      <c r="F305" s="60"/>
      <c r="G305" s="60"/>
      <c r="H305" s="60"/>
      <c r="I305" s="60"/>
      <c r="J305" s="60"/>
      <c r="K305" s="60"/>
      <c r="L305" s="60"/>
      <c r="M305" s="60"/>
    </row>
    <row r="306">
      <c r="A306" s="60"/>
      <c r="B306" s="60"/>
      <c r="C306" s="60"/>
      <c r="D306" s="60"/>
      <c r="E306" s="60"/>
      <c r="F306" s="60"/>
      <c r="G306" s="60"/>
      <c r="H306" s="60"/>
      <c r="I306" s="60"/>
      <c r="J306" s="60"/>
      <c r="K306" s="60"/>
      <c r="L306" s="60"/>
      <c r="M306" s="60"/>
    </row>
    <row r="307">
      <c r="A307" s="60"/>
      <c r="B307" s="60"/>
      <c r="C307" s="60"/>
      <c r="D307" s="60"/>
      <c r="E307" s="60"/>
      <c r="F307" s="60"/>
      <c r="G307" s="60"/>
      <c r="H307" s="60"/>
      <c r="I307" s="60"/>
      <c r="J307" s="60"/>
      <c r="K307" s="60"/>
      <c r="L307" s="60"/>
      <c r="M307" s="60"/>
    </row>
    <row r="308">
      <c r="A308" s="60"/>
      <c r="B308" s="60"/>
      <c r="C308" s="60"/>
      <c r="D308" s="60"/>
      <c r="E308" s="60"/>
      <c r="F308" s="60"/>
      <c r="G308" s="60"/>
      <c r="H308" s="60"/>
      <c r="I308" s="60"/>
      <c r="J308" s="60"/>
      <c r="K308" s="60"/>
      <c r="L308" s="60"/>
      <c r="M308" s="60"/>
    </row>
    <row r="309">
      <c r="A309" s="60"/>
      <c r="B309" s="60"/>
      <c r="C309" s="60"/>
      <c r="D309" s="60"/>
      <c r="E309" s="60"/>
      <c r="F309" s="60"/>
      <c r="G309" s="60"/>
      <c r="H309" s="60"/>
      <c r="I309" s="60"/>
      <c r="J309" s="60"/>
      <c r="K309" s="60"/>
      <c r="L309" s="60"/>
      <c r="M309" s="60"/>
    </row>
    <row r="310">
      <c r="A310" s="60"/>
      <c r="B310" s="60"/>
      <c r="C310" s="60"/>
      <c r="D310" s="60"/>
      <c r="E310" s="60"/>
      <c r="F310" s="60"/>
      <c r="G310" s="60"/>
      <c r="H310" s="60"/>
      <c r="I310" s="60"/>
      <c r="J310" s="60"/>
      <c r="K310" s="60"/>
      <c r="L310" s="60"/>
      <c r="M310" s="60"/>
    </row>
    <row r="311">
      <c r="A311" s="60"/>
      <c r="B311" s="60"/>
      <c r="C311" s="60"/>
      <c r="D311" s="60"/>
      <c r="E311" s="60"/>
      <c r="F311" s="60"/>
      <c r="G311" s="60"/>
      <c r="H311" s="60"/>
      <c r="I311" s="60"/>
      <c r="J311" s="60"/>
      <c r="K311" s="60"/>
      <c r="L311" s="60"/>
      <c r="M311" s="60"/>
    </row>
    <row r="312">
      <c r="A312" s="60"/>
      <c r="B312" s="60"/>
      <c r="C312" s="60"/>
      <c r="D312" s="60"/>
      <c r="E312" s="60"/>
      <c r="F312" s="60"/>
      <c r="G312" s="60"/>
      <c r="H312" s="60"/>
      <c r="I312" s="60"/>
      <c r="J312" s="60"/>
      <c r="K312" s="60"/>
      <c r="L312" s="60"/>
      <c r="M312" s="60"/>
    </row>
    <row r="313">
      <c r="A313" s="60"/>
      <c r="B313" s="60"/>
      <c r="C313" s="60"/>
      <c r="D313" s="60"/>
      <c r="E313" s="60"/>
      <c r="F313" s="60"/>
      <c r="G313" s="60"/>
      <c r="H313" s="60"/>
      <c r="I313" s="60"/>
      <c r="J313" s="60"/>
      <c r="K313" s="60"/>
      <c r="L313" s="60"/>
      <c r="M313" s="60"/>
    </row>
    <row r="314">
      <c r="A314" s="60"/>
      <c r="B314" s="60"/>
      <c r="C314" s="60"/>
      <c r="D314" s="60"/>
      <c r="E314" s="60"/>
      <c r="F314" s="60"/>
      <c r="G314" s="60"/>
      <c r="H314" s="60"/>
      <c r="I314" s="60"/>
      <c r="J314" s="60"/>
      <c r="K314" s="60"/>
      <c r="L314" s="60"/>
      <c r="M314" s="60"/>
    </row>
    <row r="315">
      <c r="A315" s="60"/>
      <c r="B315" s="60"/>
      <c r="C315" s="60"/>
      <c r="D315" s="60"/>
      <c r="E315" s="60"/>
      <c r="F315" s="60"/>
      <c r="G315" s="60"/>
      <c r="H315" s="60"/>
      <c r="I315" s="60"/>
      <c r="J315" s="60"/>
      <c r="K315" s="60"/>
      <c r="L315" s="60"/>
      <c r="M315" s="60"/>
    </row>
    <row r="316">
      <c r="A316" s="60"/>
      <c r="B316" s="60"/>
      <c r="C316" s="60"/>
      <c r="D316" s="60"/>
      <c r="E316" s="60"/>
      <c r="F316" s="60"/>
      <c r="G316" s="60"/>
      <c r="H316" s="60"/>
      <c r="I316" s="60"/>
      <c r="J316" s="60"/>
      <c r="K316" s="60"/>
      <c r="L316" s="60"/>
      <c r="M316" s="60"/>
    </row>
    <row r="317">
      <c r="A317" s="60"/>
      <c r="B317" s="60"/>
      <c r="C317" s="60"/>
      <c r="D317" s="60"/>
      <c r="E317" s="60"/>
      <c r="F317" s="60"/>
      <c r="G317" s="60"/>
      <c r="H317" s="60"/>
      <c r="I317" s="60"/>
      <c r="J317" s="60"/>
      <c r="K317" s="60"/>
      <c r="L317" s="60"/>
      <c r="M317" s="60"/>
    </row>
    <row r="318">
      <c r="A318" s="60"/>
      <c r="B318" s="60"/>
      <c r="C318" s="60"/>
      <c r="D318" s="60"/>
      <c r="E318" s="60"/>
      <c r="F318" s="60"/>
      <c r="G318" s="60"/>
      <c r="H318" s="60"/>
      <c r="I318" s="60"/>
      <c r="J318" s="60"/>
      <c r="K318" s="60"/>
      <c r="L318" s="60"/>
      <c r="M318" s="60"/>
    </row>
    <row r="319">
      <c r="A319" s="60"/>
      <c r="B319" s="60"/>
      <c r="C319" s="60"/>
      <c r="D319" s="60"/>
      <c r="E319" s="60"/>
      <c r="F319" s="60"/>
      <c r="G319" s="60"/>
      <c r="H319" s="60"/>
      <c r="I319" s="60"/>
      <c r="J319" s="60"/>
      <c r="K319" s="60"/>
      <c r="L319" s="60"/>
      <c r="M319" s="60"/>
    </row>
    <row r="320">
      <c r="A320" s="60"/>
      <c r="B320" s="60"/>
      <c r="C320" s="60"/>
      <c r="D320" s="60"/>
      <c r="E320" s="60"/>
      <c r="F320" s="60"/>
      <c r="G320" s="60"/>
      <c r="H320" s="60"/>
      <c r="I320" s="60"/>
      <c r="J320" s="60"/>
      <c r="K320" s="60"/>
      <c r="L320" s="60"/>
      <c r="M320" s="60"/>
    </row>
    <row r="321">
      <c r="A321" s="60"/>
      <c r="B321" s="60"/>
      <c r="C321" s="60"/>
      <c r="D321" s="60"/>
      <c r="E321" s="60"/>
      <c r="F321" s="60"/>
      <c r="G321" s="60"/>
      <c r="H321" s="60"/>
      <c r="I321" s="60"/>
      <c r="J321" s="60"/>
      <c r="K321" s="60"/>
      <c r="L321" s="60"/>
      <c r="M321" s="60"/>
    </row>
    <row r="322">
      <c r="A322" s="60"/>
      <c r="B322" s="60"/>
      <c r="C322" s="60"/>
      <c r="D322" s="60"/>
      <c r="E322" s="60"/>
      <c r="F322" s="60"/>
      <c r="G322" s="60"/>
      <c r="H322" s="60"/>
      <c r="I322" s="60"/>
      <c r="J322" s="60"/>
      <c r="K322" s="60"/>
      <c r="L322" s="60"/>
      <c r="M322" s="60"/>
    </row>
    <row r="323">
      <c r="A323" s="60"/>
      <c r="B323" s="60"/>
      <c r="C323" s="60"/>
      <c r="D323" s="60"/>
      <c r="E323" s="60"/>
      <c r="F323" s="60"/>
      <c r="G323" s="60"/>
      <c r="H323" s="60"/>
      <c r="I323" s="60"/>
      <c r="J323" s="60"/>
      <c r="K323" s="60"/>
      <c r="L323" s="60"/>
      <c r="M323" s="60"/>
    </row>
    <row r="324">
      <c r="A324" s="60"/>
      <c r="B324" s="60"/>
      <c r="C324" s="60"/>
      <c r="D324" s="60"/>
      <c r="E324" s="60"/>
      <c r="F324" s="60"/>
      <c r="G324" s="60"/>
      <c r="H324" s="60"/>
      <c r="I324" s="60"/>
      <c r="J324" s="60"/>
      <c r="K324" s="60"/>
      <c r="L324" s="60"/>
      <c r="M324" s="60"/>
    </row>
    <row r="325">
      <c r="A325" s="60"/>
      <c r="B325" s="60"/>
      <c r="C325" s="60"/>
      <c r="D325" s="60"/>
      <c r="E325" s="60"/>
      <c r="F325" s="60"/>
      <c r="G325" s="60"/>
      <c r="H325" s="60"/>
      <c r="I325" s="60"/>
      <c r="J325" s="60"/>
      <c r="K325" s="60"/>
      <c r="L325" s="60"/>
      <c r="M325" s="60"/>
    </row>
    <row r="326">
      <c r="A326" s="60"/>
      <c r="B326" s="60"/>
      <c r="C326" s="60"/>
      <c r="D326" s="60"/>
      <c r="E326" s="60"/>
      <c r="F326" s="60"/>
      <c r="G326" s="60"/>
      <c r="H326" s="60"/>
      <c r="I326" s="60"/>
      <c r="J326" s="60"/>
      <c r="K326" s="60"/>
      <c r="L326" s="60"/>
      <c r="M326" s="60"/>
    </row>
    <row r="327">
      <c r="A327" s="60"/>
      <c r="B327" s="60"/>
      <c r="C327" s="60"/>
      <c r="D327" s="60"/>
      <c r="E327" s="60"/>
      <c r="F327" s="60"/>
      <c r="G327" s="60"/>
      <c r="H327" s="60"/>
      <c r="I327" s="60"/>
      <c r="J327" s="60"/>
      <c r="K327" s="60"/>
      <c r="L327" s="60"/>
      <c r="M327" s="60"/>
    </row>
    <row r="328">
      <c r="A328" s="60"/>
      <c r="B328" s="60"/>
      <c r="C328" s="60"/>
      <c r="D328" s="60"/>
      <c r="E328" s="60"/>
      <c r="F328" s="60"/>
      <c r="G328" s="60"/>
      <c r="H328" s="60"/>
      <c r="I328" s="60"/>
      <c r="J328" s="60"/>
      <c r="K328" s="60"/>
      <c r="L328" s="60"/>
      <c r="M328" s="60"/>
    </row>
    <row r="329">
      <c r="A329" s="60"/>
      <c r="B329" s="60"/>
      <c r="C329" s="60"/>
      <c r="D329" s="60"/>
      <c r="E329" s="60"/>
      <c r="F329" s="60"/>
      <c r="G329" s="60"/>
      <c r="H329" s="60"/>
      <c r="I329" s="60"/>
      <c r="J329" s="60"/>
      <c r="K329" s="60"/>
      <c r="L329" s="60"/>
      <c r="M329" s="60"/>
    </row>
    <row r="330">
      <c r="A330" s="60"/>
      <c r="B330" s="60"/>
      <c r="C330" s="60"/>
      <c r="D330" s="60"/>
      <c r="E330" s="60"/>
      <c r="F330" s="60"/>
      <c r="G330" s="60"/>
      <c r="H330" s="60"/>
      <c r="I330" s="60"/>
      <c r="J330" s="60"/>
      <c r="K330" s="60"/>
      <c r="L330" s="60"/>
      <c r="M330" s="60"/>
    </row>
    <row r="331">
      <c r="A331" s="60"/>
      <c r="B331" s="60"/>
      <c r="C331" s="60"/>
      <c r="D331" s="60"/>
      <c r="E331" s="60"/>
      <c r="F331" s="60"/>
      <c r="G331" s="60"/>
      <c r="H331" s="60"/>
      <c r="I331" s="60"/>
      <c r="J331" s="60"/>
      <c r="K331" s="60"/>
      <c r="L331" s="60"/>
      <c r="M331" s="60"/>
    </row>
    <row r="332">
      <c r="A332" s="60"/>
      <c r="B332" s="60"/>
      <c r="C332" s="60"/>
      <c r="D332" s="60"/>
      <c r="E332" s="60"/>
      <c r="F332" s="60"/>
      <c r="G332" s="60"/>
      <c r="H332" s="60"/>
      <c r="I332" s="60"/>
      <c r="J332" s="60"/>
      <c r="K332" s="60"/>
      <c r="L332" s="60"/>
      <c r="M332" s="60"/>
    </row>
    <row r="333">
      <c r="A333" s="60"/>
      <c r="B333" s="60"/>
      <c r="C333" s="60"/>
      <c r="D333" s="60"/>
      <c r="E333" s="60"/>
      <c r="F333" s="60"/>
      <c r="G333" s="60"/>
      <c r="H333" s="60"/>
      <c r="I333" s="60"/>
      <c r="J333" s="60"/>
      <c r="K333" s="60"/>
      <c r="L333" s="60"/>
      <c r="M333" s="60"/>
    </row>
    <row r="334">
      <c r="A334" s="60"/>
      <c r="B334" s="60"/>
      <c r="C334" s="60"/>
      <c r="D334" s="60"/>
      <c r="E334" s="60"/>
      <c r="F334" s="60"/>
      <c r="G334" s="60"/>
      <c r="H334" s="60"/>
      <c r="I334" s="60"/>
      <c r="J334" s="60"/>
      <c r="K334" s="60"/>
      <c r="L334" s="60"/>
      <c r="M334" s="60"/>
    </row>
    <row r="335">
      <c r="A335" s="60"/>
      <c r="B335" s="60"/>
      <c r="C335" s="60"/>
      <c r="D335" s="60"/>
      <c r="E335" s="60"/>
      <c r="F335" s="60"/>
      <c r="G335" s="60"/>
      <c r="H335" s="60"/>
      <c r="I335" s="60"/>
      <c r="J335" s="60"/>
      <c r="K335" s="60"/>
      <c r="L335" s="60"/>
      <c r="M335" s="60"/>
    </row>
    <row r="336">
      <c r="A336" s="60"/>
      <c r="B336" s="60"/>
      <c r="C336" s="60"/>
      <c r="D336" s="60"/>
      <c r="E336" s="60"/>
      <c r="F336" s="60"/>
      <c r="G336" s="60"/>
      <c r="H336" s="60"/>
      <c r="I336" s="60"/>
      <c r="J336" s="60"/>
      <c r="K336" s="60"/>
      <c r="L336" s="60"/>
      <c r="M336" s="60"/>
    </row>
    <row r="337">
      <c r="A337" s="60"/>
      <c r="B337" s="60"/>
      <c r="C337" s="60"/>
      <c r="D337" s="60"/>
      <c r="E337" s="60"/>
      <c r="F337" s="60"/>
      <c r="G337" s="60"/>
      <c r="H337" s="60"/>
      <c r="I337" s="60"/>
      <c r="J337" s="60"/>
      <c r="K337" s="60"/>
      <c r="L337" s="60"/>
      <c r="M337" s="60"/>
    </row>
    <row r="338">
      <c r="A338" s="60"/>
      <c r="B338" s="60"/>
      <c r="C338" s="60"/>
      <c r="D338" s="60"/>
      <c r="E338" s="60"/>
      <c r="F338" s="60"/>
      <c r="G338" s="60"/>
      <c r="H338" s="60"/>
      <c r="I338" s="60"/>
      <c r="J338" s="60"/>
      <c r="K338" s="60"/>
      <c r="L338" s="60"/>
      <c r="M338" s="60"/>
    </row>
    <row r="339">
      <c r="A339" s="60"/>
      <c r="B339" s="60"/>
      <c r="C339" s="60"/>
      <c r="D339" s="60"/>
      <c r="E339" s="60"/>
      <c r="F339" s="60"/>
      <c r="G339" s="60"/>
      <c r="H339" s="60"/>
      <c r="I339" s="60"/>
      <c r="J339" s="60"/>
      <c r="K339" s="60"/>
      <c r="L339" s="60"/>
      <c r="M339" s="60"/>
    </row>
    <row r="340">
      <c r="A340" s="60"/>
      <c r="B340" s="60"/>
      <c r="C340" s="60"/>
      <c r="D340" s="60"/>
      <c r="E340" s="60"/>
      <c r="F340" s="60"/>
      <c r="G340" s="60"/>
      <c r="H340" s="60"/>
      <c r="I340" s="60"/>
      <c r="J340" s="60"/>
      <c r="K340" s="60"/>
      <c r="L340" s="60"/>
      <c r="M340" s="60"/>
    </row>
    <row r="341">
      <c r="A341" s="60"/>
      <c r="B341" s="60"/>
      <c r="C341" s="60"/>
      <c r="D341" s="60"/>
      <c r="E341" s="60"/>
      <c r="F341" s="60"/>
      <c r="G341" s="60"/>
      <c r="H341" s="60"/>
      <c r="I341" s="60"/>
      <c r="J341" s="60"/>
      <c r="K341" s="60"/>
      <c r="L341" s="60"/>
      <c r="M341" s="60"/>
    </row>
    <row r="342">
      <c r="A342" s="60"/>
      <c r="B342" s="60"/>
      <c r="C342" s="60"/>
      <c r="D342" s="60"/>
      <c r="E342" s="60"/>
      <c r="F342" s="60"/>
      <c r="G342" s="60"/>
      <c r="H342" s="60"/>
      <c r="I342" s="60"/>
      <c r="J342" s="60"/>
      <c r="K342" s="60"/>
      <c r="L342" s="60"/>
      <c r="M342" s="60"/>
    </row>
    <row r="343">
      <c r="A343" s="60"/>
      <c r="B343" s="60"/>
      <c r="C343" s="60"/>
      <c r="D343" s="60"/>
      <c r="E343" s="60"/>
      <c r="F343" s="60"/>
      <c r="G343" s="60"/>
      <c r="H343" s="60"/>
      <c r="I343" s="60"/>
      <c r="J343" s="60"/>
      <c r="K343" s="60"/>
      <c r="L343" s="60"/>
      <c r="M343" s="60"/>
    </row>
    <row r="344">
      <c r="A344" s="60"/>
      <c r="B344" s="60"/>
      <c r="C344" s="60"/>
      <c r="D344" s="60"/>
      <c r="E344" s="60"/>
      <c r="F344" s="60"/>
      <c r="G344" s="60"/>
      <c r="H344" s="60"/>
      <c r="I344" s="60"/>
      <c r="J344" s="60"/>
      <c r="K344" s="60"/>
      <c r="L344" s="60"/>
      <c r="M344" s="60"/>
    </row>
    <row r="345">
      <c r="A345" s="60"/>
      <c r="B345" s="60"/>
      <c r="C345" s="60"/>
      <c r="D345" s="60"/>
      <c r="E345" s="60"/>
      <c r="F345" s="60"/>
      <c r="G345" s="60"/>
      <c r="H345" s="60"/>
      <c r="I345" s="60"/>
      <c r="J345" s="60"/>
      <c r="K345" s="60"/>
      <c r="L345" s="60"/>
      <c r="M345" s="60"/>
    </row>
    <row r="346">
      <c r="A346" s="60"/>
      <c r="B346" s="60"/>
      <c r="C346" s="60"/>
      <c r="D346" s="60"/>
      <c r="E346" s="60"/>
      <c r="F346" s="60"/>
      <c r="G346" s="60"/>
      <c r="H346" s="60"/>
      <c r="I346" s="60"/>
      <c r="J346" s="60"/>
      <c r="K346" s="60"/>
      <c r="L346" s="60"/>
      <c r="M346" s="60"/>
    </row>
    <row r="347">
      <c r="A347" s="60"/>
      <c r="B347" s="60"/>
      <c r="C347" s="60"/>
      <c r="D347" s="60"/>
      <c r="E347" s="60"/>
      <c r="F347" s="60"/>
      <c r="G347" s="60"/>
      <c r="H347" s="60"/>
      <c r="I347" s="60"/>
      <c r="J347" s="60"/>
      <c r="K347" s="60"/>
      <c r="L347" s="60"/>
      <c r="M347" s="60"/>
    </row>
    <row r="348">
      <c r="A348" s="60"/>
      <c r="B348" s="60"/>
      <c r="C348" s="60"/>
      <c r="D348" s="60"/>
      <c r="E348" s="60"/>
      <c r="F348" s="60"/>
      <c r="G348" s="60"/>
      <c r="H348" s="60"/>
      <c r="I348" s="60"/>
      <c r="J348" s="60"/>
      <c r="K348" s="60"/>
      <c r="L348" s="60"/>
      <c r="M348" s="60"/>
    </row>
    <row r="349">
      <c r="A349" s="60"/>
      <c r="B349" s="60"/>
      <c r="C349" s="60"/>
      <c r="D349" s="60"/>
      <c r="E349" s="60"/>
      <c r="F349" s="60"/>
      <c r="G349" s="60"/>
      <c r="H349" s="60"/>
      <c r="I349" s="60"/>
      <c r="J349" s="60"/>
      <c r="K349" s="60"/>
      <c r="L349" s="60"/>
      <c r="M349" s="60"/>
    </row>
    <row r="350">
      <c r="A350" s="60"/>
      <c r="B350" s="60"/>
      <c r="C350" s="60"/>
      <c r="D350" s="60"/>
      <c r="E350" s="60"/>
      <c r="F350" s="60"/>
      <c r="G350" s="60"/>
      <c r="H350" s="60"/>
      <c r="I350" s="60"/>
      <c r="J350" s="60"/>
      <c r="K350" s="60"/>
      <c r="L350" s="60"/>
      <c r="M350" s="60"/>
    </row>
    <row r="351">
      <c r="A351" s="60"/>
      <c r="B351" s="60"/>
      <c r="C351" s="60"/>
      <c r="D351" s="60"/>
      <c r="E351" s="60"/>
      <c r="F351" s="60"/>
      <c r="G351" s="60"/>
      <c r="H351" s="60"/>
      <c r="I351" s="60"/>
      <c r="J351" s="60"/>
      <c r="K351" s="60"/>
      <c r="L351" s="60"/>
      <c r="M351" s="60"/>
    </row>
    <row r="352">
      <c r="A352" s="60"/>
      <c r="B352" s="60"/>
      <c r="C352" s="60"/>
      <c r="D352" s="60"/>
      <c r="E352" s="60"/>
      <c r="F352" s="60"/>
      <c r="G352" s="60"/>
      <c r="H352" s="60"/>
      <c r="I352" s="60"/>
      <c r="J352" s="60"/>
      <c r="K352" s="60"/>
      <c r="L352" s="60"/>
      <c r="M352" s="60"/>
    </row>
    <row r="353">
      <c r="A353" s="60"/>
      <c r="B353" s="60"/>
      <c r="C353" s="60"/>
      <c r="D353" s="60"/>
      <c r="E353" s="60"/>
      <c r="F353" s="60"/>
      <c r="G353" s="60"/>
      <c r="H353" s="60"/>
      <c r="I353" s="60"/>
      <c r="J353" s="60"/>
      <c r="K353" s="60"/>
      <c r="L353" s="60"/>
      <c r="M353" s="60"/>
    </row>
    <row r="354">
      <c r="A354" s="60"/>
      <c r="B354" s="60"/>
      <c r="C354" s="60"/>
      <c r="D354" s="60"/>
      <c r="E354" s="60"/>
      <c r="F354" s="60"/>
      <c r="G354" s="60"/>
      <c r="H354" s="60"/>
      <c r="I354" s="60"/>
      <c r="J354" s="60"/>
      <c r="K354" s="60"/>
      <c r="L354" s="60"/>
      <c r="M354" s="60"/>
    </row>
    <row r="355">
      <c r="A355" s="60"/>
      <c r="B355" s="60"/>
      <c r="C355" s="60"/>
      <c r="D355" s="60"/>
      <c r="E355" s="60"/>
      <c r="F355" s="60"/>
      <c r="G355" s="60"/>
      <c r="H355" s="60"/>
      <c r="I355" s="60"/>
      <c r="J355" s="60"/>
      <c r="K355" s="60"/>
      <c r="L355" s="60"/>
      <c r="M355" s="60"/>
    </row>
    <row r="356">
      <c r="A356" s="60"/>
      <c r="B356" s="60"/>
      <c r="C356" s="60"/>
      <c r="D356" s="60"/>
      <c r="E356" s="60"/>
      <c r="F356" s="60"/>
      <c r="G356" s="60"/>
      <c r="H356" s="60"/>
      <c r="I356" s="60"/>
      <c r="J356" s="60"/>
      <c r="K356" s="60"/>
      <c r="L356" s="60"/>
      <c r="M356" s="60"/>
    </row>
    <row r="357">
      <c r="A357" s="60"/>
      <c r="B357" s="60"/>
      <c r="C357" s="60"/>
      <c r="D357" s="60"/>
      <c r="E357" s="60"/>
      <c r="F357" s="60"/>
      <c r="G357" s="60"/>
      <c r="H357" s="60"/>
      <c r="I357" s="60"/>
      <c r="J357" s="60"/>
      <c r="K357" s="60"/>
      <c r="L357" s="60"/>
      <c r="M357" s="60"/>
    </row>
    <row r="358">
      <c r="A358" s="60"/>
      <c r="B358" s="60"/>
      <c r="C358" s="60"/>
      <c r="D358" s="60"/>
      <c r="E358" s="60"/>
      <c r="F358" s="60"/>
      <c r="G358" s="60"/>
      <c r="H358" s="60"/>
      <c r="I358" s="60"/>
      <c r="J358" s="60"/>
      <c r="K358" s="60"/>
      <c r="L358" s="60"/>
      <c r="M358" s="60"/>
    </row>
    <row r="359">
      <c r="A359" s="60"/>
      <c r="B359" s="60"/>
      <c r="C359" s="60"/>
      <c r="D359" s="60"/>
      <c r="E359" s="60"/>
      <c r="F359" s="60"/>
      <c r="G359" s="60"/>
      <c r="H359" s="60"/>
      <c r="I359" s="60"/>
      <c r="J359" s="60"/>
      <c r="K359" s="60"/>
      <c r="L359" s="60"/>
      <c r="M359" s="60"/>
    </row>
    <row r="360">
      <c r="A360" s="60"/>
      <c r="B360" s="60"/>
      <c r="C360" s="60"/>
      <c r="D360" s="60"/>
      <c r="E360" s="60"/>
      <c r="F360" s="60"/>
      <c r="G360" s="60"/>
      <c r="H360" s="60"/>
      <c r="I360" s="60"/>
      <c r="J360" s="60"/>
      <c r="K360" s="60"/>
      <c r="L360" s="60"/>
      <c r="M360" s="60"/>
    </row>
    <row r="361">
      <c r="A361" s="60"/>
      <c r="B361" s="60"/>
      <c r="C361" s="60"/>
      <c r="D361" s="60"/>
      <c r="E361" s="60"/>
      <c r="F361" s="60"/>
      <c r="G361" s="60"/>
      <c r="H361" s="60"/>
      <c r="I361" s="60"/>
      <c r="J361" s="60"/>
      <c r="K361" s="60"/>
      <c r="L361" s="60"/>
      <c r="M361" s="60"/>
    </row>
    <row r="362">
      <c r="A362" s="60"/>
      <c r="B362" s="60"/>
      <c r="C362" s="60"/>
      <c r="D362" s="60"/>
      <c r="E362" s="60"/>
      <c r="F362" s="60"/>
      <c r="G362" s="60"/>
      <c r="H362" s="60"/>
      <c r="I362" s="60"/>
      <c r="J362" s="60"/>
      <c r="K362" s="60"/>
      <c r="L362" s="60"/>
      <c r="M362" s="60"/>
    </row>
    <row r="363">
      <c r="A363" s="60"/>
      <c r="B363" s="60"/>
      <c r="C363" s="60"/>
      <c r="D363" s="60"/>
      <c r="E363" s="60"/>
      <c r="F363" s="60"/>
      <c r="G363" s="60"/>
      <c r="H363" s="60"/>
      <c r="I363" s="60"/>
      <c r="J363" s="60"/>
      <c r="K363" s="60"/>
      <c r="L363" s="60"/>
      <c r="M363" s="60"/>
    </row>
    <row r="364">
      <c r="A364" s="60"/>
      <c r="B364" s="60"/>
      <c r="C364" s="60"/>
      <c r="D364" s="60"/>
      <c r="E364" s="60"/>
      <c r="F364" s="60"/>
      <c r="G364" s="60"/>
      <c r="H364" s="60"/>
      <c r="I364" s="60"/>
      <c r="J364" s="60"/>
      <c r="K364" s="60"/>
      <c r="L364" s="60"/>
      <c r="M364" s="60"/>
    </row>
    <row r="365">
      <c r="A365" s="60"/>
      <c r="B365" s="60"/>
      <c r="C365" s="60"/>
      <c r="D365" s="60"/>
      <c r="E365" s="60"/>
      <c r="F365" s="60"/>
      <c r="G365" s="60"/>
      <c r="H365" s="60"/>
      <c r="I365" s="60"/>
      <c r="J365" s="60"/>
      <c r="K365" s="60"/>
      <c r="L365" s="60"/>
      <c r="M365" s="60"/>
    </row>
    <row r="366">
      <c r="A366" s="60"/>
      <c r="B366" s="60"/>
      <c r="C366" s="60"/>
      <c r="D366" s="60"/>
      <c r="E366" s="60"/>
      <c r="F366" s="60"/>
      <c r="G366" s="60"/>
      <c r="H366" s="60"/>
      <c r="I366" s="60"/>
      <c r="J366" s="60"/>
      <c r="K366" s="60"/>
      <c r="L366" s="60"/>
      <c r="M366" s="60"/>
    </row>
    <row r="367">
      <c r="A367" s="60"/>
      <c r="B367" s="60"/>
      <c r="C367" s="60"/>
      <c r="D367" s="60"/>
      <c r="E367" s="60"/>
      <c r="F367" s="60"/>
      <c r="G367" s="60"/>
      <c r="H367" s="60"/>
      <c r="I367" s="60"/>
      <c r="J367" s="60"/>
      <c r="K367" s="60"/>
      <c r="L367" s="60"/>
      <c r="M367" s="60"/>
    </row>
    <row r="368">
      <c r="A368" s="60"/>
      <c r="B368" s="60"/>
      <c r="C368" s="60"/>
      <c r="D368" s="60"/>
      <c r="E368" s="60"/>
      <c r="F368" s="60"/>
      <c r="G368" s="60"/>
      <c r="H368" s="60"/>
      <c r="I368" s="60"/>
      <c r="J368" s="60"/>
      <c r="K368" s="60"/>
      <c r="L368" s="60"/>
      <c r="M368" s="60"/>
    </row>
    <row r="369">
      <c r="A369" s="60"/>
      <c r="B369" s="60"/>
      <c r="C369" s="60"/>
      <c r="D369" s="60"/>
      <c r="E369" s="60"/>
      <c r="F369" s="60"/>
      <c r="G369" s="60"/>
      <c r="H369" s="60"/>
      <c r="I369" s="60"/>
      <c r="J369" s="60"/>
      <c r="K369" s="60"/>
      <c r="L369" s="60"/>
      <c r="M369" s="60"/>
    </row>
    <row r="370">
      <c r="A370" s="60"/>
      <c r="B370" s="60"/>
      <c r="C370" s="60"/>
      <c r="D370" s="60"/>
      <c r="E370" s="60"/>
      <c r="F370" s="60"/>
      <c r="G370" s="60"/>
      <c r="H370" s="60"/>
      <c r="I370" s="60"/>
      <c r="J370" s="60"/>
      <c r="K370" s="60"/>
      <c r="L370" s="60"/>
      <c r="M370" s="60"/>
    </row>
    <row r="371">
      <c r="A371" s="60"/>
      <c r="B371" s="60"/>
      <c r="C371" s="60"/>
      <c r="D371" s="60"/>
      <c r="E371" s="60"/>
      <c r="F371" s="60"/>
      <c r="G371" s="60"/>
      <c r="H371" s="60"/>
      <c r="I371" s="60"/>
      <c r="J371" s="60"/>
      <c r="K371" s="60"/>
      <c r="L371" s="60"/>
      <c r="M371" s="60"/>
    </row>
    <row r="372">
      <c r="A372" s="60"/>
      <c r="B372" s="60"/>
      <c r="C372" s="60"/>
      <c r="D372" s="60"/>
      <c r="E372" s="60"/>
      <c r="F372" s="60"/>
      <c r="G372" s="60"/>
      <c r="H372" s="60"/>
      <c r="I372" s="60"/>
      <c r="J372" s="60"/>
      <c r="K372" s="60"/>
      <c r="L372" s="60"/>
      <c r="M372" s="60"/>
    </row>
    <row r="373">
      <c r="A373" s="60"/>
      <c r="B373" s="60"/>
      <c r="C373" s="60"/>
      <c r="D373" s="60"/>
      <c r="E373" s="60"/>
      <c r="F373" s="60"/>
      <c r="G373" s="60"/>
      <c r="H373" s="60"/>
      <c r="I373" s="60"/>
      <c r="J373" s="60"/>
      <c r="K373" s="60"/>
      <c r="L373" s="60"/>
      <c r="M373" s="60"/>
    </row>
    <row r="374">
      <c r="A374" s="60"/>
      <c r="B374" s="60"/>
      <c r="C374" s="60"/>
      <c r="D374" s="60"/>
      <c r="E374" s="60"/>
      <c r="F374" s="60"/>
      <c r="G374" s="60"/>
      <c r="H374" s="60"/>
      <c r="I374" s="60"/>
      <c r="J374" s="60"/>
      <c r="K374" s="60"/>
      <c r="L374" s="60"/>
      <c r="M374" s="60"/>
    </row>
    <row r="375">
      <c r="A375" s="60"/>
      <c r="B375" s="60"/>
      <c r="C375" s="60"/>
      <c r="D375" s="60"/>
      <c r="E375" s="60"/>
      <c r="F375" s="60"/>
      <c r="G375" s="60"/>
      <c r="H375" s="60"/>
      <c r="I375" s="60"/>
      <c r="J375" s="60"/>
      <c r="K375" s="60"/>
      <c r="L375" s="60"/>
      <c r="M375" s="60"/>
    </row>
    <row r="376">
      <c r="A376" s="60"/>
      <c r="B376" s="60"/>
      <c r="C376" s="60"/>
      <c r="D376" s="60"/>
      <c r="E376" s="60"/>
      <c r="F376" s="60"/>
      <c r="G376" s="60"/>
      <c r="H376" s="60"/>
      <c r="I376" s="60"/>
      <c r="J376" s="60"/>
      <c r="K376" s="60"/>
      <c r="L376" s="60"/>
      <c r="M376" s="60"/>
    </row>
    <row r="377">
      <c r="A377" s="60"/>
      <c r="B377" s="60"/>
      <c r="C377" s="60"/>
      <c r="D377" s="60"/>
      <c r="E377" s="60"/>
      <c r="F377" s="60"/>
      <c r="G377" s="60"/>
      <c r="H377" s="60"/>
      <c r="I377" s="60"/>
      <c r="J377" s="60"/>
      <c r="K377" s="60"/>
      <c r="L377" s="60"/>
      <c r="M377" s="60"/>
    </row>
    <row r="378">
      <c r="A378" s="60"/>
      <c r="B378" s="60"/>
      <c r="C378" s="60"/>
      <c r="D378" s="60"/>
      <c r="E378" s="60"/>
      <c r="F378" s="60"/>
      <c r="G378" s="60"/>
      <c r="H378" s="60"/>
      <c r="I378" s="60"/>
      <c r="J378" s="60"/>
      <c r="K378" s="60"/>
      <c r="L378" s="60"/>
      <c r="M378" s="60"/>
    </row>
    <row r="379">
      <c r="A379" s="60"/>
      <c r="B379" s="60"/>
      <c r="C379" s="60"/>
      <c r="D379" s="60"/>
      <c r="E379" s="60"/>
      <c r="F379" s="60"/>
      <c r="G379" s="60"/>
      <c r="H379" s="60"/>
      <c r="I379" s="60"/>
      <c r="J379" s="60"/>
      <c r="K379" s="60"/>
      <c r="L379" s="60"/>
      <c r="M379" s="60"/>
    </row>
    <row r="380">
      <c r="A380" s="60"/>
      <c r="B380" s="60"/>
      <c r="C380" s="60"/>
      <c r="D380" s="60"/>
      <c r="E380" s="60"/>
      <c r="F380" s="60"/>
      <c r="G380" s="60"/>
      <c r="H380" s="60"/>
      <c r="I380" s="60"/>
      <c r="J380" s="60"/>
      <c r="K380" s="60"/>
      <c r="L380" s="60"/>
      <c r="M380" s="60"/>
    </row>
    <row r="381">
      <c r="A381" s="60"/>
      <c r="B381" s="60"/>
      <c r="C381" s="60"/>
      <c r="D381" s="60"/>
      <c r="E381" s="60"/>
      <c r="F381" s="60"/>
      <c r="G381" s="60"/>
      <c r="H381" s="60"/>
      <c r="I381" s="60"/>
      <c r="J381" s="60"/>
      <c r="K381" s="60"/>
      <c r="L381" s="60"/>
      <c r="M381" s="60"/>
    </row>
    <row r="382">
      <c r="A382" s="60"/>
      <c r="B382" s="60"/>
      <c r="C382" s="60"/>
      <c r="D382" s="60"/>
      <c r="E382" s="60"/>
      <c r="F382" s="60"/>
      <c r="G382" s="60"/>
      <c r="H382" s="60"/>
      <c r="I382" s="60"/>
      <c r="J382" s="60"/>
      <c r="K382" s="60"/>
      <c r="L382" s="60"/>
      <c r="M382" s="60"/>
    </row>
    <row r="383">
      <c r="A383" s="60"/>
      <c r="B383" s="60"/>
      <c r="C383" s="60"/>
      <c r="D383" s="60"/>
      <c r="E383" s="60"/>
      <c r="F383" s="60"/>
      <c r="G383" s="60"/>
      <c r="H383" s="60"/>
      <c r="I383" s="60"/>
      <c r="J383" s="60"/>
      <c r="K383" s="60"/>
      <c r="L383" s="60"/>
      <c r="M383" s="60"/>
    </row>
    <row r="384">
      <c r="A384" s="60"/>
      <c r="B384" s="60"/>
      <c r="C384" s="60"/>
      <c r="D384" s="60"/>
      <c r="E384" s="60"/>
      <c r="F384" s="60"/>
      <c r="G384" s="60"/>
      <c r="H384" s="60"/>
      <c r="I384" s="60"/>
      <c r="J384" s="60"/>
      <c r="K384" s="60"/>
      <c r="L384" s="60"/>
      <c r="M384" s="60"/>
    </row>
    <row r="385">
      <c r="A385" s="60"/>
      <c r="B385" s="60"/>
      <c r="C385" s="60"/>
      <c r="D385" s="60"/>
      <c r="E385" s="60"/>
      <c r="F385" s="60"/>
      <c r="G385" s="60"/>
      <c r="H385" s="60"/>
      <c r="I385" s="60"/>
      <c r="J385" s="60"/>
      <c r="K385" s="60"/>
      <c r="L385" s="60"/>
      <c r="M385" s="60"/>
    </row>
    <row r="386">
      <c r="A386" s="60"/>
      <c r="B386" s="60"/>
      <c r="C386" s="60"/>
      <c r="D386" s="60"/>
      <c r="E386" s="60"/>
      <c r="F386" s="60"/>
      <c r="G386" s="60"/>
      <c r="H386" s="60"/>
      <c r="I386" s="60"/>
      <c r="J386" s="60"/>
      <c r="K386" s="60"/>
      <c r="L386" s="60"/>
      <c r="M386" s="60"/>
    </row>
    <row r="387">
      <c r="A387" s="60"/>
      <c r="B387" s="60"/>
      <c r="C387" s="60"/>
      <c r="D387" s="60"/>
      <c r="E387" s="60"/>
      <c r="F387" s="60"/>
      <c r="G387" s="60"/>
      <c r="H387" s="60"/>
      <c r="I387" s="60"/>
      <c r="J387" s="60"/>
      <c r="K387" s="60"/>
      <c r="L387" s="60"/>
      <c r="M387" s="60"/>
    </row>
    <row r="388">
      <c r="A388" s="60"/>
      <c r="B388" s="60"/>
      <c r="C388" s="60"/>
      <c r="D388" s="60"/>
      <c r="E388" s="60"/>
      <c r="F388" s="60"/>
      <c r="G388" s="60"/>
      <c r="H388" s="60"/>
      <c r="I388" s="60"/>
      <c r="J388" s="60"/>
      <c r="K388" s="60"/>
      <c r="L388" s="60"/>
      <c r="M388" s="60"/>
    </row>
    <row r="389">
      <c r="A389" s="60"/>
      <c r="B389" s="60"/>
      <c r="C389" s="60"/>
      <c r="D389" s="60"/>
      <c r="E389" s="60"/>
      <c r="F389" s="60"/>
      <c r="G389" s="60"/>
      <c r="H389" s="60"/>
      <c r="I389" s="60"/>
      <c r="J389" s="60"/>
      <c r="K389" s="60"/>
      <c r="L389" s="60"/>
      <c r="M389" s="60"/>
    </row>
    <row r="390">
      <c r="A390" s="60"/>
      <c r="B390" s="60"/>
      <c r="C390" s="60"/>
      <c r="D390" s="60"/>
      <c r="E390" s="60"/>
      <c r="F390" s="60"/>
      <c r="G390" s="60"/>
      <c r="H390" s="60"/>
      <c r="I390" s="60"/>
      <c r="J390" s="60"/>
      <c r="K390" s="60"/>
      <c r="L390" s="60"/>
      <c r="M390" s="60"/>
    </row>
    <row r="391">
      <c r="A391" s="60"/>
      <c r="B391" s="60"/>
      <c r="C391" s="60"/>
      <c r="D391" s="60"/>
      <c r="E391" s="60"/>
      <c r="F391" s="60"/>
      <c r="G391" s="60"/>
      <c r="H391" s="60"/>
      <c r="I391" s="60"/>
      <c r="J391" s="60"/>
      <c r="K391" s="60"/>
      <c r="L391" s="60"/>
      <c r="M391" s="60"/>
    </row>
    <row r="392">
      <c r="A392" s="60"/>
      <c r="B392" s="60"/>
      <c r="C392" s="60"/>
      <c r="D392" s="60"/>
      <c r="E392" s="60"/>
      <c r="F392" s="60"/>
      <c r="G392" s="60"/>
      <c r="H392" s="60"/>
      <c r="I392" s="60"/>
      <c r="J392" s="60"/>
      <c r="K392" s="60"/>
      <c r="L392" s="60"/>
      <c r="M392" s="60"/>
    </row>
    <row r="393">
      <c r="A393" s="60"/>
      <c r="B393" s="60"/>
      <c r="C393" s="60"/>
      <c r="D393" s="60"/>
      <c r="E393" s="60"/>
      <c r="F393" s="60"/>
      <c r="G393" s="60"/>
      <c r="H393" s="60"/>
      <c r="I393" s="60"/>
      <c r="J393" s="60"/>
      <c r="K393" s="60"/>
      <c r="L393" s="60"/>
      <c r="M393" s="60"/>
    </row>
    <row r="394">
      <c r="A394" s="60"/>
      <c r="B394" s="60"/>
      <c r="C394" s="60"/>
      <c r="D394" s="60"/>
      <c r="E394" s="60"/>
      <c r="F394" s="60"/>
      <c r="G394" s="60"/>
      <c r="H394" s="60"/>
      <c r="I394" s="60"/>
      <c r="J394" s="60"/>
      <c r="K394" s="60"/>
      <c r="L394" s="60"/>
      <c r="M394" s="60"/>
    </row>
    <row r="395">
      <c r="A395" s="60"/>
      <c r="B395" s="60"/>
      <c r="C395" s="60"/>
      <c r="D395" s="60"/>
      <c r="E395" s="60"/>
      <c r="F395" s="60"/>
      <c r="G395" s="60"/>
      <c r="H395" s="60"/>
      <c r="I395" s="60"/>
      <c r="J395" s="60"/>
      <c r="K395" s="60"/>
      <c r="L395" s="60"/>
      <c r="M395" s="60"/>
    </row>
    <row r="396">
      <c r="A396" s="60"/>
      <c r="B396" s="60"/>
      <c r="C396" s="60"/>
      <c r="D396" s="60"/>
      <c r="E396" s="60"/>
      <c r="F396" s="60"/>
      <c r="G396" s="60"/>
      <c r="H396" s="60"/>
      <c r="I396" s="60"/>
      <c r="J396" s="60"/>
      <c r="K396" s="60"/>
      <c r="L396" s="60"/>
      <c r="M396" s="60"/>
    </row>
    <row r="397">
      <c r="A397" s="60"/>
      <c r="B397" s="60"/>
      <c r="C397" s="60"/>
      <c r="D397" s="60"/>
      <c r="E397" s="60"/>
      <c r="F397" s="60"/>
      <c r="G397" s="60"/>
      <c r="H397" s="60"/>
      <c r="I397" s="60"/>
      <c r="J397" s="60"/>
      <c r="K397" s="60"/>
      <c r="L397" s="60"/>
      <c r="M397" s="60"/>
    </row>
    <row r="398">
      <c r="A398" s="60"/>
      <c r="B398" s="60"/>
      <c r="C398" s="60"/>
      <c r="D398" s="60"/>
      <c r="E398" s="60"/>
      <c r="F398" s="60"/>
      <c r="G398" s="60"/>
      <c r="H398" s="60"/>
      <c r="I398" s="60"/>
      <c r="J398" s="60"/>
      <c r="K398" s="60"/>
      <c r="L398" s="60"/>
      <c r="M398" s="60"/>
    </row>
    <row r="399">
      <c r="A399" s="60"/>
      <c r="B399" s="60"/>
      <c r="C399" s="60"/>
      <c r="D399" s="60"/>
      <c r="E399" s="60"/>
      <c r="F399" s="60"/>
      <c r="G399" s="60"/>
      <c r="H399" s="60"/>
      <c r="I399" s="60"/>
      <c r="J399" s="60"/>
      <c r="K399" s="60"/>
      <c r="L399" s="60"/>
      <c r="M399" s="60"/>
    </row>
    <row r="400">
      <c r="A400" s="60"/>
      <c r="B400" s="60"/>
      <c r="C400" s="60"/>
      <c r="D400" s="60"/>
      <c r="E400" s="60"/>
      <c r="F400" s="60"/>
      <c r="G400" s="60"/>
      <c r="H400" s="60"/>
      <c r="I400" s="60"/>
      <c r="J400" s="60"/>
      <c r="K400" s="60"/>
      <c r="L400" s="60"/>
      <c r="M400" s="60"/>
    </row>
    <row r="401">
      <c r="A401" s="60"/>
      <c r="B401" s="60"/>
      <c r="C401" s="60"/>
      <c r="D401" s="60"/>
      <c r="E401" s="60"/>
      <c r="F401" s="60"/>
      <c r="G401" s="60"/>
      <c r="H401" s="60"/>
      <c r="I401" s="60"/>
      <c r="J401" s="60"/>
      <c r="K401" s="60"/>
      <c r="L401" s="60"/>
      <c r="M401" s="60"/>
    </row>
    <row r="402">
      <c r="A402" s="60"/>
      <c r="B402" s="60"/>
      <c r="C402" s="60"/>
      <c r="D402" s="60"/>
      <c r="E402" s="60"/>
      <c r="F402" s="60"/>
      <c r="G402" s="60"/>
      <c r="H402" s="60"/>
      <c r="I402" s="60"/>
      <c r="J402" s="60"/>
      <c r="K402" s="60"/>
      <c r="L402" s="60"/>
      <c r="M402" s="60"/>
    </row>
    <row r="403">
      <c r="A403" s="60"/>
      <c r="B403" s="60"/>
      <c r="C403" s="60"/>
      <c r="D403" s="60"/>
      <c r="E403" s="60"/>
      <c r="F403" s="60"/>
      <c r="G403" s="60"/>
      <c r="H403" s="60"/>
      <c r="I403" s="60"/>
      <c r="J403" s="60"/>
      <c r="K403" s="60"/>
      <c r="L403" s="60"/>
      <c r="M403" s="60"/>
    </row>
    <row r="404">
      <c r="A404" s="60"/>
      <c r="B404" s="60"/>
      <c r="C404" s="60"/>
      <c r="D404" s="60"/>
      <c r="E404" s="60"/>
      <c r="F404" s="60"/>
      <c r="G404" s="60"/>
      <c r="H404" s="60"/>
      <c r="I404" s="60"/>
      <c r="J404" s="60"/>
      <c r="K404" s="60"/>
      <c r="L404" s="60"/>
      <c r="M404" s="60"/>
    </row>
    <row r="405">
      <c r="A405" s="60"/>
      <c r="B405" s="60"/>
      <c r="C405" s="60"/>
      <c r="D405" s="60"/>
      <c r="E405" s="60"/>
      <c r="F405" s="60"/>
      <c r="G405" s="60"/>
      <c r="H405" s="60"/>
      <c r="I405" s="60"/>
      <c r="J405" s="60"/>
      <c r="K405" s="60"/>
      <c r="L405" s="60"/>
      <c r="M405" s="60"/>
    </row>
    <row r="406">
      <c r="A406" s="60"/>
      <c r="B406" s="60"/>
      <c r="C406" s="60"/>
      <c r="D406" s="60"/>
      <c r="E406" s="60"/>
      <c r="F406" s="60"/>
      <c r="G406" s="60"/>
      <c r="H406" s="60"/>
      <c r="I406" s="60"/>
      <c r="J406" s="60"/>
      <c r="K406" s="60"/>
      <c r="L406" s="60"/>
      <c r="M406" s="60"/>
    </row>
    <row r="407">
      <c r="A407" s="60"/>
      <c r="B407" s="60"/>
      <c r="C407" s="60"/>
      <c r="D407" s="60"/>
      <c r="E407" s="60"/>
      <c r="F407" s="60"/>
      <c r="G407" s="60"/>
      <c r="H407" s="60"/>
      <c r="I407" s="60"/>
      <c r="J407" s="60"/>
      <c r="K407" s="60"/>
      <c r="L407" s="60"/>
      <c r="M407" s="60"/>
    </row>
    <row r="408">
      <c r="A408" s="60"/>
      <c r="B408" s="60"/>
      <c r="C408" s="60"/>
      <c r="D408" s="60"/>
      <c r="E408" s="60"/>
      <c r="F408" s="60"/>
      <c r="G408" s="60"/>
      <c r="H408" s="60"/>
      <c r="I408" s="60"/>
      <c r="J408" s="60"/>
      <c r="K408" s="60"/>
      <c r="L408" s="60"/>
      <c r="M408" s="60"/>
    </row>
    <row r="409">
      <c r="A409" s="60"/>
      <c r="B409" s="60"/>
      <c r="C409" s="60"/>
      <c r="D409" s="60"/>
      <c r="E409" s="60"/>
      <c r="F409" s="60"/>
      <c r="G409" s="60"/>
      <c r="H409" s="60"/>
      <c r="I409" s="60"/>
      <c r="J409" s="60"/>
      <c r="K409" s="60"/>
      <c r="L409" s="60"/>
      <c r="M409" s="60"/>
    </row>
    <row r="410">
      <c r="A410" s="60"/>
      <c r="B410" s="60"/>
      <c r="C410" s="60"/>
      <c r="D410" s="60"/>
      <c r="E410" s="60"/>
      <c r="F410" s="60"/>
      <c r="G410" s="60"/>
      <c r="H410" s="60"/>
      <c r="I410" s="60"/>
      <c r="J410" s="60"/>
      <c r="K410" s="60"/>
      <c r="L410" s="60"/>
      <c r="M410" s="60"/>
    </row>
    <row r="411">
      <c r="A411" s="60"/>
      <c r="B411" s="60"/>
      <c r="C411" s="60"/>
      <c r="D411" s="60"/>
      <c r="E411" s="60"/>
      <c r="F411" s="60"/>
      <c r="G411" s="60"/>
      <c r="H411" s="60"/>
      <c r="I411" s="60"/>
      <c r="J411" s="60"/>
      <c r="K411" s="60"/>
      <c r="L411" s="60"/>
      <c r="M411" s="60"/>
    </row>
    <row r="412">
      <c r="A412" s="60"/>
      <c r="B412" s="60"/>
      <c r="C412" s="60"/>
      <c r="D412" s="60"/>
      <c r="E412" s="60"/>
      <c r="F412" s="60"/>
      <c r="G412" s="60"/>
      <c r="H412" s="60"/>
      <c r="I412" s="60"/>
      <c r="J412" s="60"/>
      <c r="K412" s="60"/>
      <c r="L412" s="60"/>
      <c r="M412" s="60"/>
    </row>
    <row r="413">
      <c r="A413" s="60"/>
      <c r="B413" s="60"/>
      <c r="C413" s="60"/>
      <c r="D413" s="60"/>
      <c r="E413" s="60"/>
      <c r="F413" s="60"/>
      <c r="G413" s="60"/>
      <c r="H413" s="60"/>
      <c r="I413" s="60"/>
      <c r="J413" s="60"/>
      <c r="K413" s="60"/>
      <c r="L413" s="60"/>
      <c r="M413" s="60"/>
    </row>
    <row r="414">
      <c r="A414" s="60"/>
      <c r="B414" s="60"/>
      <c r="C414" s="60"/>
      <c r="D414" s="60"/>
      <c r="E414" s="60"/>
      <c r="F414" s="60"/>
      <c r="G414" s="60"/>
      <c r="H414" s="60"/>
      <c r="I414" s="60"/>
      <c r="J414" s="60"/>
      <c r="K414" s="60"/>
      <c r="L414" s="60"/>
      <c r="M414" s="60"/>
    </row>
    <row r="415">
      <c r="A415" s="60"/>
      <c r="B415" s="60"/>
      <c r="C415" s="60"/>
      <c r="D415" s="60"/>
      <c r="E415" s="60"/>
      <c r="F415" s="60"/>
      <c r="G415" s="60"/>
      <c r="H415" s="60"/>
      <c r="I415" s="60"/>
      <c r="J415" s="60"/>
      <c r="K415" s="60"/>
      <c r="L415" s="60"/>
      <c r="M415" s="60"/>
    </row>
    <row r="416">
      <c r="A416" s="60"/>
      <c r="B416" s="60"/>
      <c r="C416" s="60"/>
      <c r="D416" s="60"/>
      <c r="E416" s="60"/>
      <c r="F416" s="60"/>
      <c r="G416" s="60"/>
      <c r="H416" s="60"/>
      <c r="I416" s="60"/>
      <c r="J416" s="60"/>
      <c r="K416" s="60"/>
      <c r="L416" s="60"/>
      <c r="M416" s="60"/>
    </row>
    <row r="417">
      <c r="A417" s="60"/>
      <c r="B417" s="60"/>
      <c r="C417" s="60"/>
      <c r="D417" s="60"/>
      <c r="E417" s="60"/>
      <c r="F417" s="60"/>
      <c r="G417" s="60"/>
      <c r="H417" s="60"/>
      <c r="I417" s="60"/>
      <c r="J417" s="60"/>
      <c r="K417" s="60"/>
      <c r="L417" s="60"/>
      <c r="M417" s="60"/>
    </row>
    <row r="418">
      <c r="A418" s="60"/>
      <c r="B418" s="60"/>
      <c r="C418" s="60"/>
      <c r="D418" s="60"/>
      <c r="E418" s="60"/>
      <c r="F418" s="60"/>
      <c r="G418" s="60"/>
      <c r="H418" s="60"/>
      <c r="I418" s="60"/>
      <c r="J418" s="60"/>
      <c r="K418" s="60"/>
      <c r="L418" s="60"/>
      <c r="M418" s="60"/>
    </row>
    <row r="419">
      <c r="A419" s="60"/>
      <c r="B419" s="60"/>
      <c r="C419" s="60"/>
      <c r="D419" s="60"/>
      <c r="E419" s="60"/>
      <c r="F419" s="60"/>
      <c r="G419" s="60"/>
      <c r="H419" s="60"/>
      <c r="I419" s="60"/>
      <c r="J419" s="60"/>
      <c r="K419" s="60"/>
      <c r="L419" s="60"/>
      <c r="M419" s="60"/>
    </row>
    <row r="420">
      <c r="A420" s="60"/>
      <c r="B420" s="60"/>
      <c r="C420" s="60"/>
      <c r="D420" s="60"/>
      <c r="E420" s="60"/>
      <c r="F420" s="60"/>
      <c r="G420" s="60"/>
      <c r="H420" s="60"/>
      <c r="I420" s="60"/>
      <c r="J420" s="60"/>
      <c r="K420" s="60"/>
      <c r="L420" s="60"/>
      <c r="M420" s="60"/>
    </row>
    <row r="421">
      <c r="A421" s="60"/>
      <c r="B421" s="60"/>
      <c r="C421" s="60"/>
      <c r="D421" s="60"/>
      <c r="E421" s="60"/>
      <c r="F421" s="60"/>
      <c r="G421" s="60"/>
      <c r="H421" s="60"/>
      <c r="I421" s="60"/>
      <c r="J421" s="60"/>
      <c r="K421" s="60"/>
      <c r="L421" s="60"/>
      <c r="M421" s="60"/>
    </row>
    <row r="422">
      <c r="A422" s="60"/>
      <c r="B422" s="60"/>
      <c r="C422" s="60"/>
      <c r="D422" s="60"/>
      <c r="E422" s="60"/>
      <c r="F422" s="60"/>
      <c r="G422" s="60"/>
      <c r="H422" s="60"/>
      <c r="I422" s="60"/>
      <c r="J422" s="60"/>
      <c r="K422" s="60"/>
      <c r="L422" s="60"/>
      <c r="M422" s="60"/>
    </row>
    <row r="423">
      <c r="A423" s="60"/>
      <c r="B423" s="60"/>
      <c r="C423" s="60"/>
      <c r="D423" s="60"/>
      <c r="E423" s="60"/>
      <c r="F423" s="60"/>
      <c r="G423" s="60"/>
      <c r="H423" s="60"/>
      <c r="I423" s="60"/>
      <c r="J423" s="60"/>
      <c r="K423" s="60"/>
      <c r="L423" s="60"/>
      <c r="M423" s="60"/>
    </row>
    <row r="424">
      <c r="A424" s="60"/>
      <c r="B424" s="60"/>
      <c r="C424" s="60"/>
      <c r="D424" s="60"/>
      <c r="E424" s="60"/>
      <c r="F424" s="60"/>
      <c r="G424" s="60"/>
      <c r="H424" s="60"/>
      <c r="I424" s="60"/>
      <c r="J424" s="60"/>
      <c r="K424" s="60"/>
      <c r="L424" s="60"/>
      <c r="M424" s="60"/>
    </row>
    <row r="425">
      <c r="A425" s="60"/>
      <c r="B425" s="60"/>
      <c r="C425" s="60"/>
      <c r="D425" s="60"/>
      <c r="E425" s="60"/>
      <c r="F425" s="60"/>
      <c r="G425" s="60"/>
      <c r="H425" s="60"/>
      <c r="I425" s="60"/>
      <c r="J425" s="60"/>
      <c r="K425" s="60"/>
      <c r="L425" s="60"/>
      <c r="M425" s="60"/>
    </row>
    <row r="426">
      <c r="A426" s="60"/>
      <c r="B426" s="60"/>
      <c r="C426" s="60"/>
      <c r="D426" s="60"/>
      <c r="E426" s="60"/>
      <c r="F426" s="60"/>
      <c r="G426" s="60"/>
      <c r="H426" s="60"/>
      <c r="I426" s="60"/>
      <c r="J426" s="60"/>
      <c r="K426" s="60"/>
      <c r="L426" s="60"/>
      <c r="M426" s="60"/>
    </row>
    <row r="427">
      <c r="A427" s="60"/>
      <c r="B427" s="60"/>
      <c r="C427" s="60"/>
      <c r="D427" s="60"/>
      <c r="E427" s="60"/>
      <c r="F427" s="60"/>
      <c r="G427" s="60"/>
      <c r="H427" s="60"/>
      <c r="I427" s="60"/>
      <c r="J427" s="60"/>
      <c r="K427" s="60"/>
      <c r="L427" s="60"/>
      <c r="M427" s="60"/>
    </row>
    <row r="428">
      <c r="A428" s="60"/>
      <c r="B428" s="60"/>
      <c r="C428" s="60"/>
      <c r="D428" s="60"/>
      <c r="E428" s="60"/>
      <c r="F428" s="60"/>
      <c r="G428" s="60"/>
      <c r="H428" s="60"/>
      <c r="I428" s="60"/>
      <c r="J428" s="60"/>
      <c r="K428" s="60"/>
      <c r="L428" s="60"/>
      <c r="M428" s="60"/>
    </row>
    <row r="429">
      <c r="A429" s="60"/>
      <c r="B429" s="60"/>
      <c r="C429" s="60"/>
      <c r="D429" s="60"/>
      <c r="E429" s="60"/>
      <c r="F429" s="60"/>
      <c r="G429" s="60"/>
      <c r="H429" s="60"/>
      <c r="I429" s="60"/>
      <c r="J429" s="60"/>
      <c r="K429" s="60"/>
      <c r="L429" s="60"/>
      <c r="M429" s="60"/>
    </row>
    <row r="430">
      <c r="A430" s="60"/>
      <c r="B430" s="60"/>
      <c r="C430" s="60"/>
      <c r="D430" s="60"/>
      <c r="E430" s="60"/>
      <c r="F430" s="60"/>
      <c r="G430" s="60"/>
      <c r="H430" s="60"/>
      <c r="I430" s="60"/>
      <c r="J430" s="60"/>
      <c r="K430" s="60"/>
      <c r="L430" s="60"/>
      <c r="M430" s="60"/>
    </row>
    <row r="431">
      <c r="A431" s="60"/>
      <c r="B431" s="60"/>
      <c r="C431" s="60"/>
      <c r="D431" s="60"/>
      <c r="E431" s="60"/>
      <c r="F431" s="60"/>
      <c r="G431" s="60"/>
      <c r="H431" s="60"/>
      <c r="I431" s="60"/>
      <c r="J431" s="60"/>
      <c r="K431" s="60"/>
      <c r="L431" s="60"/>
      <c r="M431" s="60"/>
    </row>
    <row r="432">
      <c r="A432" s="60"/>
      <c r="B432" s="60"/>
      <c r="C432" s="60"/>
      <c r="D432" s="60"/>
      <c r="E432" s="60"/>
      <c r="F432" s="60"/>
      <c r="G432" s="60"/>
      <c r="H432" s="60"/>
      <c r="I432" s="60"/>
      <c r="J432" s="60"/>
      <c r="K432" s="60"/>
      <c r="L432" s="60"/>
      <c r="M432" s="60"/>
    </row>
    <row r="433">
      <c r="A433" s="60"/>
      <c r="B433" s="60"/>
      <c r="C433" s="60"/>
      <c r="D433" s="60"/>
      <c r="E433" s="60"/>
      <c r="F433" s="60"/>
      <c r="G433" s="60"/>
      <c r="H433" s="60"/>
      <c r="I433" s="60"/>
      <c r="J433" s="60"/>
      <c r="K433" s="60"/>
      <c r="L433" s="60"/>
      <c r="M433" s="60"/>
    </row>
    <row r="434">
      <c r="A434" s="60"/>
      <c r="B434" s="60"/>
      <c r="C434" s="60"/>
      <c r="D434" s="60"/>
      <c r="E434" s="60"/>
      <c r="F434" s="60"/>
      <c r="G434" s="60"/>
      <c r="H434" s="60"/>
      <c r="I434" s="60"/>
      <c r="J434" s="60"/>
      <c r="K434" s="60"/>
      <c r="L434" s="60"/>
      <c r="M434" s="60"/>
    </row>
    <row r="435">
      <c r="A435" s="60"/>
      <c r="B435" s="60"/>
      <c r="C435" s="60"/>
      <c r="D435" s="60"/>
      <c r="E435" s="60"/>
      <c r="F435" s="60"/>
      <c r="G435" s="60"/>
      <c r="H435" s="60"/>
      <c r="I435" s="60"/>
      <c r="J435" s="60"/>
      <c r="K435" s="60"/>
      <c r="L435" s="60"/>
      <c r="M435" s="60"/>
    </row>
    <row r="436">
      <c r="A436" s="60"/>
      <c r="B436" s="60"/>
      <c r="C436" s="60"/>
      <c r="D436" s="60"/>
      <c r="E436" s="60"/>
      <c r="F436" s="60"/>
      <c r="G436" s="60"/>
      <c r="H436" s="60"/>
      <c r="I436" s="60"/>
      <c r="J436" s="60"/>
      <c r="K436" s="60"/>
      <c r="L436" s="60"/>
      <c r="M436" s="60"/>
    </row>
    <row r="437">
      <c r="A437" s="60"/>
      <c r="B437" s="60"/>
      <c r="C437" s="60"/>
      <c r="D437" s="60"/>
      <c r="E437" s="60"/>
      <c r="F437" s="60"/>
      <c r="G437" s="60"/>
      <c r="H437" s="60"/>
      <c r="I437" s="60"/>
      <c r="J437" s="60"/>
      <c r="K437" s="60"/>
      <c r="L437" s="60"/>
      <c r="M437" s="60"/>
    </row>
    <row r="438">
      <c r="A438" s="60"/>
      <c r="B438" s="60"/>
      <c r="C438" s="60"/>
      <c r="D438" s="60"/>
      <c r="E438" s="60"/>
      <c r="F438" s="60"/>
      <c r="G438" s="60"/>
      <c r="H438" s="60"/>
      <c r="I438" s="60"/>
      <c r="J438" s="60"/>
      <c r="K438" s="60"/>
      <c r="L438" s="60"/>
      <c r="M438" s="60"/>
    </row>
    <row r="439">
      <c r="A439" s="60"/>
      <c r="B439" s="60"/>
      <c r="C439" s="60"/>
      <c r="D439" s="60"/>
      <c r="E439" s="60"/>
      <c r="F439" s="60"/>
      <c r="G439" s="60"/>
      <c r="H439" s="60"/>
      <c r="I439" s="60"/>
      <c r="J439" s="60"/>
      <c r="K439" s="60"/>
      <c r="L439" s="60"/>
      <c r="M439" s="60"/>
    </row>
    <row r="440">
      <c r="A440" s="60"/>
      <c r="B440" s="60"/>
      <c r="C440" s="60"/>
      <c r="D440" s="60"/>
      <c r="E440" s="60"/>
      <c r="F440" s="60"/>
      <c r="G440" s="60"/>
      <c r="H440" s="60"/>
      <c r="I440" s="60"/>
      <c r="J440" s="60"/>
      <c r="K440" s="60"/>
      <c r="L440" s="60"/>
      <c r="M440" s="60"/>
    </row>
    <row r="441">
      <c r="A441" s="60"/>
      <c r="B441" s="60"/>
      <c r="C441" s="60"/>
      <c r="D441" s="60"/>
      <c r="E441" s="60"/>
      <c r="F441" s="60"/>
      <c r="G441" s="60"/>
      <c r="H441" s="60"/>
      <c r="I441" s="60"/>
      <c r="J441" s="60"/>
      <c r="K441" s="60"/>
      <c r="L441" s="60"/>
      <c r="M441" s="60"/>
    </row>
    <row r="442">
      <c r="A442" s="60"/>
      <c r="B442" s="60"/>
      <c r="C442" s="60"/>
      <c r="D442" s="60"/>
      <c r="E442" s="60"/>
      <c r="F442" s="60"/>
      <c r="G442" s="60"/>
      <c r="H442" s="60"/>
      <c r="I442" s="60"/>
      <c r="J442" s="60"/>
      <c r="K442" s="60"/>
      <c r="L442" s="60"/>
      <c r="M442" s="60"/>
    </row>
    <row r="443">
      <c r="A443" s="60"/>
      <c r="B443" s="60"/>
      <c r="C443" s="60"/>
      <c r="D443" s="60"/>
      <c r="E443" s="60"/>
      <c r="F443" s="60"/>
      <c r="G443" s="60"/>
      <c r="H443" s="60"/>
      <c r="I443" s="60"/>
      <c r="J443" s="60"/>
      <c r="K443" s="60"/>
      <c r="L443" s="60"/>
      <c r="M443" s="60"/>
    </row>
    <row r="444">
      <c r="A444" s="60"/>
      <c r="B444" s="60"/>
      <c r="C444" s="60"/>
      <c r="D444" s="60"/>
      <c r="E444" s="60"/>
      <c r="F444" s="60"/>
      <c r="G444" s="60"/>
      <c r="H444" s="60"/>
      <c r="I444" s="60"/>
      <c r="J444" s="60"/>
      <c r="K444" s="60"/>
      <c r="L444" s="60"/>
      <c r="M444" s="60"/>
    </row>
    <row r="445">
      <c r="A445" s="60"/>
      <c r="B445" s="60"/>
      <c r="C445" s="60"/>
      <c r="D445" s="60"/>
      <c r="E445" s="60"/>
      <c r="F445" s="60"/>
      <c r="G445" s="60"/>
      <c r="H445" s="60"/>
      <c r="I445" s="60"/>
      <c r="J445" s="60"/>
      <c r="K445" s="60"/>
      <c r="L445" s="60"/>
      <c r="M445" s="60"/>
    </row>
    <row r="446">
      <c r="A446" s="60"/>
      <c r="B446" s="60"/>
      <c r="C446" s="60"/>
      <c r="D446" s="60"/>
      <c r="E446" s="60"/>
      <c r="F446" s="60"/>
      <c r="G446" s="60"/>
      <c r="H446" s="60"/>
      <c r="I446" s="60"/>
      <c r="J446" s="60"/>
      <c r="K446" s="60"/>
      <c r="L446" s="60"/>
      <c r="M446" s="60"/>
    </row>
    <row r="447">
      <c r="A447" s="60"/>
      <c r="B447" s="60"/>
      <c r="C447" s="60"/>
      <c r="D447" s="60"/>
      <c r="E447" s="60"/>
      <c r="F447" s="60"/>
      <c r="G447" s="60"/>
      <c r="H447" s="60"/>
      <c r="I447" s="60"/>
      <c r="J447" s="60"/>
      <c r="K447" s="60"/>
      <c r="L447" s="60"/>
      <c r="M447" s="60"/>
    </row>
    <row r="448">
      <c r="A448" s="60"/>
      <c r="B448" s="60"/>
      <c r="C448" s="60"/>
      <c r="D448" s="60"/>
      <c r="E448" s="60"/>
      <c r="F448" s="60"/>
      <c r="G448" s="60"/>
      <c r="H448" s="60"/>
      <c r="I448" s="60"/>
      <c r="J448" s="60"/>
      <c r="K448" s="60"/>
      <c r="L448" s="60"/>
      <c r="M448" s="60"/>
    </row>
    <row r="449">
      <c r="A449" s="60"/>
      <c r="B449" s="60"/>
      <c r="C449" s="60"/>
      <c r="D449" s="60"/>
      <c r="E449" s="60"/>
      <c r="F449" s="60"/>
      <c r="G449" s="60"/>
      <c r="H449" s="60"/>
      <c r="I449" s="60"/>
      <c r="J449" s="60"/>
      <c r="K449" s="60"/>
      <c r="L449" s="60"/>
      <c r="M449" s="60"/>
    </row>
    <row r="450">
      <c r="A450" s="60"/>
      <c r="B450" s="60"/>
      <c r="C450" s="60"/>
      <c r="D450" s="60"/>
      <c r="E450" s="60"/>
      <c r="F450" s="60"/>
      <c r="G450" s="60"/>
      <c r="H450" s="60"/>
      <c r="I450" s="60"/>
      <c r="J450" s="60"/>
      <c r="K450" s="60"/>
      <c r="L450" s="60"/>
      <c r="M450" s="60"/>
    </row>
    <row r="451">
      <c r="A451" s="60"/>
      <c r="B451" s="60"/>
      <c r="C451" s="60"/>
      <c r="D451" s="60"/>
      <c r="E451" s="60"/>
      <c r="F451" s="60"/>
      <c r="G451" s="60"/>
      <c r="H451" s="60"/>
      <c r="I451" s="60"/>
      <c r="J451" s="60"/>
      <c r="K451" s="60"/>
      <c r="L451" s="60"/>
      <c r="M451" s="60"/>
    </row>
    <row r="452">
      <c r="A452" s="60"/>
      <c r="B452" s="60"/>
      <c r="C452" s="60"/>
      <c r="D452" s="60"/>
      <c r="E452" s="60"/>
      <c r="F452" s="60"/>
      <c r="G452" s="60"/>
      <c r="H452" s="60"/>
      <c r="I452" s="60"/>
      <c r="J452" s="60"/>
      <c r="K452" s="60"/>
      <c r="L452" s="60"/>
      <c r="M452" s="60"/>
    </row>
    <row r="453">
      <c r="A453" s="60"/>
      <c r="B453" s="60"/>
      <c r="C453" s="60"/>
      <c r="D453" s="60"/>
      <c r="E453" s="60"/>
      <c r="F453" s="60"/>
      <c r="G453" s="60"/>
      <c r="H453" s="60"/>
      <c r="I453" s="60"/>
      <c r="J453" s="60"/>
      <c r="K453" s="60"/>
      <c r="L453" s="60"/>
      <c r="M453" s="60"/>
    </row>
    <row r="454">
      <c r="A454" s="60"/>
      <c r="B454" s="60"/>
      <c r="C454" s="60"/>
      <c r="D454" s="60"/>
      <c r="E454" s="60"/>
      <c r="F454" s="60"/>
      <c r="G454" s="60"/>
      <c r="H454" s="60"/>
      <c r="I454" s="60"/>
      <c r="J454" s="60"/>
      <c r="K454" s="60"/>
      <c r="L454" s="60"/>
      <c r="M454" s="60"/>
    </row>
    <row r="455">
      <c r="A455" s="60"/>
      <c r="B455" s="60"/>
      <c r="C455" s="60"/>
      <c r="D455" s="60"/>
      <c r="E455" s="60"/>
      <c r="F455" s="60"/>
      <c r="G455" s="60"/>
      <c r="H455" s="60"/>
      <c r="I455" s="60"/>
      <c r="J455" s="60"/>
      <c r="K455" s="60"/>
      <c r="L455" s="60"/>
      <c r="M455" s="60"/>
    </row>
    <row r="456">
      <c r="A456" s="60"/>
      <c r="B456" s="60"/>
      <c r="C456" s="60"/>
      <c r="D456" s="60"/>
      <c r="E456" s="60"/>
      <c r="F456" s="60"/>
      <c r="G456" s="60"/>
      <c r="H456" s="60"/>
      <c r="I456" s="60"/>
      <c r="J456" s="60"/>
      <c r="K456" s="60"/>
      <c r="L456" s="60"/>
      <c r="M456" s="60"/>
    </row>
    <row r="457">
      <c r="A457" s="60"/>
      <c r="B457" s="60"/>
      <c r="C457" s="60"/>
      <c r="D457" s="60"/>
      <c r="E457" s="60"/>
      <c r="F457" s="60"/>
      <c r="G457" s="60"/>
      <c r="H457" s="60"/>
      <c r="I457" s="60"/>
      <c r="J457" s="60"/>
      <c r="K457" s="60"/>
      <c r="L457" s="60"/>
      <c r="M457" s="60"/>
    </row>
    <row r="458">
      <c r="A458" s="60"/>
      <c r="B458" s="60"/>
      <c r="C458" s="60"/>
      <c r="D458" s="60"/>
      <c r="E458" s="60"/>
      <c r="F458" s="60"/>
      <c r="G458" s="60"/>
      <c r="H458" s="60"/>
      <c r="I458" s="60"/>
      <c r="J458" s="60"/>
      <c r="K458" s="60"/>
      <c r="L458" s="60"/>
      <c r="M458" s="60"/>
    </row>
    <row r="459">
      <c r="A459" s="60"/>
      <c r="B459" s="60"/>
      <c r="C459" s="60"/>
      <c r="D459" s="60"/>
      <c r="E459" s="60"/>
      <c r="F459" s="60"/>
      <c r="G459" s="60"/>
      <c r="H459" s="60"/>
      <c r="I459" s="60"/>
      <c r="J459" s="60"/>
      <c r="K459" s="60"/>
      <c r="L459" s="60"/>
      <c r="M459" s="60"/>
    </row>
    <row r="460">
      <c r="A460" s="60"/>
      <c r="B460" s="60"/>
      <c r="C460" s="60"/>
      <c r="D460" s="60"/>
      <c r="E460" s="60"/>
      <c r="F460" s="60"/>
      <c r="G460" s="60"/>
      <c r="H460" s="60"/>
      <c r="I460" s="60"/>
      <c r="J460" s="60"/>
      <c r="K460" s="60"/>
      <c r="L460" s="60"/>
      <c r="M460" s="60"/>
    </row>
    <row r="461">
      <c r="A461" s="60"/>
      <c r="B461" s="60"/>
      <c r="C461" s="60"/>
      <c r="D461" s="60"/>
      <c r="E461" s="60"/>
      <c r="F461" s="60"/>
      <c r="G461" s="60"/>
      <c r="H461" s="60"/>
      <c r="I461" s="60"/>
      <c r="J461" s="60"/>
      <c r="K461" s="60"/>
      <c r="L461" s="60"/>
      <c r="M461" s="60"/>
    </row>
    <row r="462">
      <c r="A462" s="60"/>
      <c r="B462" s="60"/>
      <c r="C462" s="60"/>
      <c r="D462" s="60"/>
      <c r="E462" s="60"/>
      <c r="F462" s="60"/>
      <c r="G462" s="60"/>
      <c r="H462" s="60"/>
      <c r="I462" s="60"/>
      <c r="J462" s="60"/>
      <c r="K462" s="60"/>
      <c r="L462" s="60"/>
      <c r="M462" s="60"/>
    </row>
    <row r="463">
      <c r="A463" s="60"/>
      <c r="B463" s="60"/>
      <c r="C463" s="60"/>
      <c r="D463" s="60"/>
      <c r="E463" s="60"/>
      <c r="F463" s="60"/>
      <c r="G463" s="60"/>
      <c r="H463" s="60"/>
      <c r="I463" s="60"/>
      <c r="J463" s="60"/>
      <c r="K463" s="60"/>
      <c r="L463" s="60"/>
      <c r="M463" s="60"/>
    </row>
    <row r="464">
      <c r="A464" s="60"/>
      <c r="B464" s="60"/>
      <c r="C464" s="60"/>
      <c r="D464" s="60"/>
      <c r="E464" s="60"/>
      <c r="F464" s="60"/>
      <c r="G464" s="60"/>
      <c r="H464" s="60"/>
      <c r="I464" s="60"/>
      <c r="J464" s="60"/>
      <c r="K464" s="60"/>
      <c r="L464" s="60"/>
      <c r="M464" s="60"/>
    </row>
    <row r="465">
      <c r="A465" s="60"/>
      <c r="B465" s="60"/>
      <c r="C465" s="60"/>
      <c r="D465" s="60"/>
      <c r="E465" s="60"/>
      <c r="F465" s="60"/>
      <c r="G465" s="60"/>
      <c r="H465" s="60"/>
      <c r="I465" s="60"/>
      <c r="J465" s="60"/>
      <c r="K465" s="60"/>
      <c r="L465" s="60"/>
      <c r="M465" s="60"/>
    </row>
    <row r="466">
      <c r="A466" s="60"/>
      <c r="B466" s="60"/>
      <c r="C466" s="60"/>
      <c r="D466" s="60"/>
      <c r="E466" s="60"/>
      <c r="F466" s="60"/>
      <c r="G466" s="60"/>
      <c r="H466" s="60"/>
      <c r="I466" s="60"/>
      <c r="J466" s="60"/>
      <c r="K466" s="60"/>
      <c r="L466" s="60"/>
      <c r="M466" s="60"/>
    </row>
    <row r="467">
      <c r="A467" s="60"/>
      <c r="B467" s="60"/>
      <c r="C467" s="60"/>
      <c r="D467" s="60"/>
      <c r="E467" s="60"/>
      <c r="F467" s="60"/>
      <c r="G467" s="60"/>
      <c r="H467" s="60"/>
      <c r="I467" s="60"/>
      <c r="J467" s="60"/>
      <c r="K467" s="60"/>
      <c r="L467" s="60"/>
      <c r="M467" s="60"/>
    </row>
    <row r="468">
      <c r="A468" s="60"/>
      <c r="B468" s="60"/>
      <c r="C468" s="60"/>
      <c r="D468" s="60"/>
      <c r="E468" s="60"/>
      <c r="F468" s="60"/>
      <c r="G468" s="60"/>
      <c r="H468" s="60"/>
      <c r="I468" s="60"/>
      <c r="J468" s="60"/>
      <c r="K468" s="60"/>
      <c r="L468" s="60"/>
      <c r="M468" s="60"/>
    </row>
    <row r="469">
      <c r="A469" s="60"/>
      <c r="B469" s="60"/>
      <c r="C469" s="60"/>
      <c r="D469" s="60"/>
      <c r="E469" s="60"/>
      <c r="F469" s="60"/>
      <c r="G469" s="60"/>
      <c r="H469" s="60"/>
      <c r="I469" s="60"/>
      <c r="J469" s="60"/>
      <c r="K469" s="60"/>
      <c r="L469" s="60"/>
      <c r="M469" s="60"/>
    </row>
    <row r="470">
      <c r="A470" s="60"/>
      <c r="B470" s="60"/>
      <c r="C470" s="60"/>
      <c r="D470" s="60"/>
      <c r="E470" s="60"/>
      <c r="F470" s="60"/>
      <c r="G470" s="60"/>
      <c r="H470" s="60"/>
      <c r="I470" s="60"/>
      <c r="J470" s="60"/>
      <c r="K470" s="60"/>
      <c r="L470" s="60"/>
      <c r="M470" s="60"/>
    </row>
    <row r="471">
      <c r="A471" s="60"/>
      <c r="B471" s="60"/>
      <c r="C471" s="60"/>
      <c r="D471" s="60"/>
      <c r="E471" s="60"/>
      <c r="F471" s="60"/>
      <c r="G471" s="60"/>
      <c r="H471" s="60"/>
      <c r="I471" s="60"/>
      <c r="J471" s="60"/>
      <c r="K471" s="60"/>
      <c r="L471" s="60"/>
      <c r="M471" s="60"/>
    </row>
    <row r="472">
      <c r="A472" s="60"/>
      <c r="B472" s="60"/>
      <c r="C472" s="60"/>
      <c r="D472" s="60"/>
      <c r="E472" s="60"/>
      <c r="F472" s="60"/>
      <c r="G472" s="60"/>
      <c r="H472" s="60"/>
      <c r="I472" s="60"/>
      <c r="J472" s="60"/>
      <c r="K472" s="60"/>
      <c r="L472" s="60"/>
      <c r="M472" s="60"/>
    </row>
    <row r="473">
      <c r="A473" s="60"/>
      <c r="B473" s="60"/>
      <c r="C473" s="60"/>
      <c r="D473" s="60"/>
      <c r="E473" s="60"/>
      <c r="F473" s="60"/>
      <c r="G473" s="60"/>
      <c r="H473" s="60"/>
      <c r="I473" s="60"/>
      <c r="J473" s="60"/>
      <c r="K473" s="60"/>
      <c r="L473" s="60"/>
      <c r="M473" s="60"/>
    </row>
    <row r="474">
      <c r="A474" s="60"/>
      <c r="B474" s="60"/>
      <c r="C474" s="60"/>
      <c r="D474" s="60"/>
      <c r="E474" s="60"/>
      <c r="F474" s="60"/>
      <c r="G474" s="60"/>
      <c r="H474" s="60"/>
      <c r="I474" s="60"/>
      <c r="J474" s="60"/>
      <c r="K474" s="60"/>
      <c r="L474" s="60"/>
      <c r="M474" s="60"/>
    </row>
    <row r="475">
      <c r="A475" s="60"/>
      <c r="B475" s="60"/>
      <c r="C475" s="60"/>
      <c r="D475" s="60"/>
      <c r="E475" s="60"/>
      <c r="F475" s="60"/>
      <c r="G475" s="60"/>
      <c r="H475" s="60"/>
      <c r="I475" s="60"/>
      <c r="J475" s="60"/>
      <c r="K475" s="60"/>
      <c r="L475" s="60"/>
      <c r="M475" s="60"/>
    </row>
    <row r="476">
      <c r="A476" s="60"/>
      <c r="B476" s="60"/>
      <c r="C476" s="60"/>
      <c r="D476" s="60"/>
      <c r="E476" s="60"/>
      <c r="F476" s="60"/>
      <c r="G476" s="60"/>
      <c r="H476" s="60"/>
      <c r="I476" s="60"/>
      <c r="J476" s="60"/>
      <c r="K476" s="60"/>
      <c r="L476" s="60"/>
      <c r="M476" s="60"/>
    </row>
    <row r="477">
      <c r="A477" s="60"/>
      <c r="B477" s="60"/>
      <c r="C477" s="60"/>
      <c r="D477" s="60"/>
      <c r="E477" s="60"/>
      <c r="F477" s="60"/>
      <c r="G477" s="60"/>
      <c r="H477" s="60"/>
      <c r="I477" s="60"/>
      <c r="J477" s="60"/>
      <c r="K477" s="60"/>
      <c r="L477" s="60"/>
      <c r="M477" s="60"/>
    </row>
    <row r="478">
      <c r="A478" s="60"/>
      <c r="B478" s="60"/>
      <c r="C478" s="60"/>
      <c r="D478" s="60"/>
      <c r="E478" s="60"/>
      <c r="F478" s="60"/>
      <c r="G478" s="60"/>
      <c r="H478" s="60"/>
      <c r="I478" s="60"/>
      <c r="J478" s="60"/>
      <c r="K478" s="60"/>
      <c r="L478" s="60"/>
      <c r="M478" s="60"/>
    </row>
    <row r="479">
      <c r="A479" s="60"/>
      <c r="B479" s="60"/>
      <c r="C479" s="60"/>
      <c r="D479" s="60"/>
      <c r="E479" s="60"/>
      <c r="F479" s="60"/>
      <c r="G479" s="60"/>
      <c r="H479" s="60"/>
      <c r="I479" s="60"/>
      <c r="J479" s="60"/>
      <c r="K479" s="60"/>
      <c r="L479" s="60"/>
      <c r="M479" s="60"/>
    </row>
    <row r="480">
      <c r="A480" s="60"/>
      <c r="B480" s="60"/>
      <c r="C480" s="60"/>
      <c r="D480" s="60"/>
      <c r="E480" s="60"/>
      <c r="F480" s="60"/>
      <c r="G480" s="60"/>
      <c r="H480" s="60"/>
      <c r="I480" s="60"/>
      <c r="J480" s="60"/>
      <c r="K480" s="60"/>
      <c r="L480" s="60"/>
      <c r="M480" s="60"/>
    </row>
    <row r="481">
      <c r="A481" s="60"/>
      <c r="B481" s="60"/>
      <c r="C481" s="60"/>
      <c r="D481" s="60"/>
      <c r="E481" s="60"/>
      <c r="F481" s="60"/>
      <c r="G481" s="60"/>
      <c r="H481" s="60"/>
      <c r="I481" s="60"/>
      <c r="J481" s="60"/>
      <c r="K481" s="60"/>
      <c r="L481" s="60"/>
      <c r="M481" s="60"/>
    </row>
    <row r="482">
      <c r="A482" s="60"/>
      <c r="B482" s="60"/>
      <c r="C482" s="60"/>
      <c r="D482" s="60"/>
      <c r="E482" s="60"/>
      <c r="F482" s="60"/>
      <c r="G482" s="60"/>
      <c r="H482" s="60"/>
      <c r="I482" s="60"/>
      <c r="J482" s="60"/>
      <c r="K482" s="60"/>
      <c r="L482" s="60"/>
      <c r="M482" s="60"/>
    </row>
    <row r="483">
      <c r="A483" s="60"/>
      <c r="B483" s="60"/>
      <c r="C483" s="60"/>
      <c r="D483" s="60"/>
      <c r="E483" s="60"/>
      <c r="F483" s="60"/>
      <c r="G483" s="60"/>
      <c r="H483" s="60"/>
      <c r="I483" s="60"/>
      <c r="J483" s="60"/>
      <c r="K483" s="60"/>
      <c r="L483" s="60"/>
      <c r="M483" s="60"/>
    </row>
    <row r="484">
      <c r="A484" s="60"/>
      <c r="B484" s="60"/>
      <c r="C484" s="60"/>
      <c r="D484" s="60"/>
      <c r="E484" s="60"/>
      <c r="F484" s="60"/>
      <c r="G484" s="60"/>
      <c r="H484" s="60"/>
      <c r="I484" s="60"/>
      <c r="J484" s="60"/>
      <c r="K484" s="60"/>
      <c r="L484" s="60"/>
      <c r="M484" s="60"/>
    </row>
    <row r="485">
      <c r="A485" s="60"/>
      <c r="B485" s="60"/>
      <c r="C485" s="60"/>
      <c r="D485" s="60"/>
      <c r="E485" s="60"/>
      <c r="F485" s="60"/>
      <c r="G485" s="60"/>
      <c r="H485" s="60"/>
      <c r="I485" s="60"/>
      <c r="J485" s="60"/>
      <c r="K485" s="60"/>
      <c r="L485" s="60"/>
      <c r="M485" s="60"/>
    </row>
    <row r="486">
      <c r="A486" s="60"/>
      <c r="B486" s="60"/>
      <c r="C486" s="60"/>
      <c r="D486" s="60"/>
      <c r="E486" s="60"/>
      <c r="F486" s="60"/>
      <c r="G486" s="60"/>
      <c r="H486" s="60"/>
      <c r="I486" s="60"/>
      <c r="J486" s="60"/>
      <c r="K486" s="60"/>
      <c r="L486" s="60"/>
      <c r="M486" s="60"/>
    </row>
    <row r="487">
      <c r="A487" s="60"/>
      <c r="B487" s="60"/>
      <c r="C487" s="60"/>
      <c r="D487" s="60"/>
      <c r="E487" s="60"/>
      <c r="F487" s="60"/>
      <c r="G487" s="60"/>
      <c r="H487" s="60"/>
      <c r="I487" s="60"/>
      <c r="J487" s="60"/>
      <c r="K487" s="60"/>
      <c r="L487" s="60"/>
      <c r="M487" s="60"/>
    </row>
    <row r="488">
      <c r="A488" s="60"/>
      <c r="B488" s="60"/>
      <c r="C488" s="60"/>
      <c r="D488" s="60"/>
      <c r="E488" s="60"/>
      <c r="F488" s="60"/>
      <c r="G488" s="60"/>
      <c r="H488" s="60"/>
      <c r="I488" s="60"/>
      <c r="J488" s="60"/>
      <c r="K488" s="60"/>
      <c r="L488" s="60"/>
      <c r="M488" s="60"/>
    </row>
    <row r="489">
      <c r="A489" s="60"/>
      <c r="B489" s="60"/>
      <c r="C489" s="60"/>
      <c r="D489" s="60"/>
      <c r="E489" s="60"/>
      <c r="F489" s="60"/>
      <c r="G489" s="60"/>
      <c r="H489" s="60"/>
      <c r="I489" s="60"/>
      <c r="J489" s="60"/>
      <c r="K489" s="60"/>
      <c r="L489" s="60"/>
      <c r="M489" s="60"/>
    </row>
    <row r="490">
      <c r="A490" s="60"/>
      <c r="B490" s="60"/>
      <c r="C490" s="60"/>
      <c r="D490" s="60"/>
      <c r="E490" s="60"/>
      <c r="F490" s="60"/>
      <c r="G490" s="60"/>
      <c r="H490" s="60"/>
      <c r="I490" s="60"/>
      <c r="J490" s="60"/>
      <c r="K490" s="60"/>
      <c r="L490" s="60"/>
      <c r="M490" s="60"/>
    </row>
    <row r="491">
      <c r="A491" s="60"/>
      <c r="B491" s="60"/>
      <c r="C491" s="60"/>
      <c r="D491" s="60"/>
      <c r="E491" s="60"/>
      <c r="F491" s="60"/>
      <c r="G491" s="60"/>
      <c r="H491" s="60"/>
      <c r="I491" s="60"/>
      <c r="J491" s="60"/>
      <c r="K491" s="60"/>
      <c r="L491" s="60"/>
      <c r="M491" s="60"/>
    </row>
    <row r="492">
      <c r="A492" s="60"/>
      <c r="B492" s="60"/>
      <c r="C492" s="60"/>
      <c r="D492" s="60"/>
      <c r="E492" s="60"/>
      <c r="F492" s="60"/>
      <c r="G492" s="60"/>
      <c r="H492" s="60"/>
      <c r="I492" s="60"/>
      <c r="J492" s="60"/>
      <c r="K492" s="60"/>
      <c r="L492" s="60"/>
      <c r="M492" s="60"/>
    </row>
    <row r="493">
      <c r="A493" s="60"/>
      <c r="B493" s="60"/>
      <c r="C493" s="60"/>
      <c r="D493" s="60"/>
      <c r="E493" s="60"/>
      <c r="F493" s="60"/>
      <c r="G493" s="60"/>
      <c r="H493" s="60"/>
      <c r="I493" s="60"/>
      <c r="J493" s="60"/>
      <c r="K493" s="60"/>
      <c r="L493" s="60"/>
      <c r="M493" s="60"/>
    </row>
    <row r="494">
      <c r="A494" s="60"/>
      <c r="B494" s="60"/>
      <c r="C494" s="60"/>
      <c r="D494" s="60"/>
      <c r="E494" s="60"/>
      <c r="F494" s="60"/>
      <c r="G494" s="60"/>
      <c r="H494" s="60"/>
      <c r="I494" s="60"/>
      <c r="J494" s="60"/>
      <c r="K494" s="60"/>
      <c r="L494" s="60"/>
      <c r="M494" s="60"/>
    </row>
    <row r="495">
      <c r="A495" s="60"/>
      <c r="B495" s="60"/>
      <c r="C495" s="60"/>
      <c r="D495" s="60"/>
      <c r="E495" s="60"/>
      <c r="F495" s="60"/>
      <c r="G495" s="60"/>
      <c r="H495" s="60"/>
      <c r="I495" s="60"/>
      <c r="J495" s="60"/>
      <c r="K495" s="60"/>
      <c r="L495" s="60"/>
      <c r="M495" s="60"/>
    </row>
    <row r="496">
      <c r="A496" s="60"/>
      <c r="B496" s="60"/>
      <c r="C496" s="60"/>
      <c r="D496" s="60"/>
      <c r="E496" s="60"/>
      <c r="F496" s="60"/>
      <c r="G496" s="60"/>
      <c r="H496" s="60"/>
      <c r="I496" s="60"/>
      <c r="J496" s="60"/>
      <c r="K496" s="60"/>
      <c r="L496" s="60"/>
      <c r="M496" s="60"/>
    </row>
    <row r="497">
      <c r="A497" s="60"/>
      <c r="B497" s="60"/>
      <c r="C497" s="60"/>
      <c r="D497" s="60"/>
      <c r="E497" s="60"/>
      <c r="F497" s="60"/>
      <c r="G497" s="60"/>
      <c r="H497" s="60"/>
      <c r="I497" s="60"/>
      <c r="J497" s="60"/>
      <c r="K497" s="60"/>
      <c r="L497" s="60"/>
      <c r="M497" s="60"/>
    </row>
    <row r="498">
      <c r="A498" s="60"/>
      <c r="B498" s="60"/>
      <c r="C498" s="60"/>
      <c r="D498" s="60"/>
      <c r="E498" s="60"/>
      <c r="F498" s="60"/>
      <c r="G498" s="60"/>
      <c r="H498" s="60"/>
      <c r="I498" s="60"/>
      <c r="J498" s="60"/>
      <c r="K498" s="60"/>
      <c r="L498" s="60"/>
      <c r="M498" s="60"/>
    </row>
    <row r="499">
      <c r="A499" s="60"/>
      <c r="B499" s="60"/>
      <c r="C499" s="60"/>
      <c r="D499" s="60"/>
      <c r="E499" s="60"/>
      <c r="F499" s="60"/>
      <c r="G499" s="60"/>
      <c r="H499" s="60"/>
      <c r="I499" s="60"/>
      <c r="J499" s="60"/>
      <c r="K499" s="60"/>
      <c r="L499" s="60"/>
      <c r="M499" s="60"/>
    </row>
    <row r="500">
      <c r="A500" s="60"/>
      <c r="B500" s="60"/>
      <c r="C500" s="60"/>
      <c r="D500" s="60"/>
      <c r="E500" s="60"/>
      <c r="F500" s="60"/>
      <c r="G500" s="60"/>
      <c r="H500" s="60"/>
      <c r="I500" s="60"/>
      <c r="J500" s="60"/>
      <c r="K500" s="60"/>
      <c r="L500" s="60"/>
      <c r="M500" s="60"/>
    </row>
    <row r="501">
      <c r="A501" s="60"/>
      <c r="B501" s="60"/>
      <c r="C501" s="60"/>
      <c r="D501" s="60"/>
      <c r="E501" s="60"/>
      <c r="F501" s="60"/>
      <c r="G501" s="60"/>
      <c r="H501" s="60"/>
      <c r="I501" s="60"/>
      <c r="J501" s="60"/>
      <c r="K501" s="60"/>
      <c r="L501" s="60"/>
      <c r="M501" s="60"/>
    </row>
    <row r="502">
      <c r="A502" s="60"/>
      <c r="B502" s="60"/>
      <c r="C502" s="60"/>
      <c r="D502" s="60"/>
      <c r="E502" s="60"/>
      <c r="F502" s="60"/>
      <c r="G502" s="60"/>
      <c r="H502" s="60"/>
      <c r="I502" s="60"/>
      <c r="J502" s="60"/>
      <c r="K502" s="60"/>
      <c r="L502" s="60"/>
      <c r="M502" s="60"/>
    </row>
    <row r="503">
      <c r="A503" s="60"/>
      <c r="B503" s="60"/>
      <c r="C503" s="60"/>
      <c r="D503" s="60"/>
      <c r="E503" s="60"/>
      <c r="F503" s="60"/>
      <c r="G503" s="60"/>
      <c r="H503" s="60"/>
      <c r="I503" s="60"/>
      <c r="J503" s="60"/>
      <c r="K503" s="60"/>
      <c r="L503" s="60"/>
      <c r="M503" s="60"/>
    </row>
    <row r="504">
      <c r="A504" s="60"/>
      <c r="B504" s="60"/>
      <c r="C504" s="60"/>
      <c r="D504" s="60"/>
      <c r="E504" s="60"/>
      <c r="F504" s="60"/>
      <c r="G504" s="60"/>
      <c r="H504" s="60"/>
      <c r="I504" s="60"/>
      <c r="J504" s="60"/>
      <c r="K504" s="60"/>
      <c r="L504" s="60"/>
      <c r="M504" s="60"/>
    </row>
    <row r="505">
      <c r="A505" s="60"/>
      <c r="B505" s="60"/>
      <c r="C505" s="60"/>
      <c r="D505" s="60"/>
      <c r="E505" s="60"/>
      <c r="F505" s="60"/>
      <c r="G505" s="60"/>
      <c r="H505" s="60"/>
      <c r="I505" s="60"/>
      <c r="J505" s="60"/>
      <c r="K505" s="60"/>
      <c r="L505" s="60"/>
      <c r="M505" s="60"/>
    </row>
    <row r="506">
      <c r="A506" s="60"/>
      <c r="B506" s="60"/>
      <c r="C506" s="60"/>
      <c r="D506" s="60"/>
      <c r="E506" s="60"/>
      <c r="F506" s="60"/>
      <c r="G506" s="60"/>
      <c r="H506" s="60"/>
      <c r="I506" s="60"/>
      <c r="J506" s="60"/>
      <c r="K506" s="60"/>
      <c r="L506" s="60"/>
      <c r="M506" s="60"/>
    </row>
    <row r="507">
      <c r="A507" s="60"/>
      <c r="B507" s="60"/>
      <c r="C507" s="60"/>
      <c r="D507" s="60"/>
      <c r="E507" s="60"/>
      <c r="F507" s="60"/>
      <c r="G507" s="60"/>
      <c r="H507" s="60"/>
      <c r="I507" s="60"/>
      <c r="J507" s="60"/>
      <c r="K507" s="60"/>
      <c r="L507" s="60"/>
      <c r="M507" s="60"/>
    </row>
    <row r="508">
      <c r="A508" s="60"/>
      <c r="B508" s="60"/>
      <c r="C508" s="60"/>
      <c r="D508" s="60"/>
      <c r="E508" s="60"/>
      <c r="F508" s="60"/>
      <c r="G508" s="60"/>
      <c r="H508" s="60"/>
      <c r="I508" s="60"/>
      <c r="J508" s="60"/>
      <c r="K508" s="60"/>
      <c r="L508" s="60"/>
      <c r="M508" s="60"/>
    </row>
    <row r="509">
      <c r="A509" s="60"/>
      <c r="B509" s="60"/>
      <c r="C509" s="60"/>
      <c r="D509" s="60"/>
      <c r="E509" s="60"/>
      <c r="F509" s="60"/>
      <c r="G509" s="60"/>
      <c r="H509" s="60"/>
      <c r="I509" s="60"/>
      <c r="J509" s="60"/>
      <c r="K509" s="60"/>
      <c r="L509" s="60"/>
      <c r="M509" s="60"/>
    </row>
    <row r="510">
      <c r="A510" s="60"/>
      <c r="B510" s="60"/>
      <c r="C510" s="60"/>
      <c r="D510" s="60"/>
      <c r="E510" s="60"/>
      <c r="F510" s="60"/>
      <c r="G510" s="60"/>
      <c r="H510" s="60"/>
      <c r="I510" s="60"/>
      <c r="J510" s="60"/>
      <c r="K510" s="60"/>
      <c r="L510" s="60"/>
      <c r="M510" s="60"/>
    </row>
    <row r="511">
      <c r="A511" s="60"/>
      <c r="B511" s="60"/>
      <c r="C511" s="60"/>
      <c r="D511" s="60"/>
      <c r="E511" s="60"/>
      <c r="F511" s="60"/>
      <c r="G511" s="60"/>
      <c r="H511" s="60"/>
      <c r="I511" s="60"/>
      <c r="J511" s="60"/>
      <c r="K511" s="60"/>
      <c r="L511" s="60"/>
      <c r="M511" s="60"/>
    </row>
    <row r="512">
      <c r="A512" s="60"/>
      <c r="B512" s="60"/>
      <c r="C512" s="60"/>
      <c r="D512" s="60"/>
      <c r="E512" s="60"/>
      <c r="F512" s="60"/>
      <c r="G512" s="60"/>
      <c r="H512" s="60"/>
      <c r="I512" s="60"/>
      <c r="J512" s="60"/>
      <c r="K512" s="60"/>
      <c r="L512" s="60"/>
      <c r="M512" s="60"/>
    </row>
    <row r="513">
      <c r="A513" s="60"/>
      <c r="B513" s="60"/>
      <c r="C513" s="60"/>
      <c r="D513" s="60"/>
      <c r="E513" s="60"/>
      <c r="F513" s="60"/>
      <c r="G513" s="60"/>
      <c r="H513" s="60"/>
      <c r="I513" s="60"/>
      <c r="J513" s="60"/>
      <c r="K513" s="60"/>
      <c r="L513" s="60"/>
      <c r="M513" s="60"/>
    </row>
    <row r="514">
      <c r="A514" s="60"/>
      <c r="B514" s="60"/>
      <c r="C514" s="60"/>
      <c r="D514" s="60"/>
      <c r="E514" s="60"/>
      <c r="F514" s="60"/>
      <c r="G514" s="60"/>
      <c r="H514" s="60"/>
      <c r="I514" s="60"/>
      <c r="J514" s="60"/>
      <c r="K514" s="60"/>
      <c r="L514" s="60"/>
      <c r="M514" s="60"/>
    </row>
    <row r="515">
      <c r="A515" s="60"/>
      <c r="B515" s="60"/>
      <c r="C515" s="60"/>
      <c r="D515" s="60"/>
      <c r="E515" s="60"/>
      <c r="F515" s="60"/>
      <c r="G515" s="60"/>
      <c r="H515" s="60"/>
      <c r="I515" s="60"/>
      <c r="J515" s="60"/>
      <c r="K515" s="60"/>
      <c r="L515" s="60"/>
      <c r="M515" s="60"/>
    </row>
    <row r="516">
      <c r="A516" s="60"/>
      <c r="B516" s="60"/>
      <c r="C516" s="60"/>
      <c r="D516" s="60"/>
      <c r="E516" s="60"/>
      <c r="F516" s="60"/>
      <c r="G516" s="60"/>
      <c r="H516" s="60"/>
      <c r="I516" s="60"/>
      <c r="J516" s="60"/>
      <c r="K516" s="60"/>
      <c r="L516" s="60"/>
      <c r="M516" s="60"/>
    </row>
    <row r="517">
      <c r="A517" s="60"/>
      <c r="B517" s="60"/>
      <c r="C517" s="60"/>
      <c r="D517" s="60"/>
      <c r="E517" s="60"/>
      <c r="F517" s="60"/>
      <c r="G517" s="60"/>
      <c r="H517" s="60"/>
      <c r="I517" s="60"/>
      <c r="J517" s="60"/>
      <c r="K517" s="60"/>
      <c r="L517" s="60"/>
      <c r="M517" s="60"/>
    </row>
    <row r="518">
      <c r="A518" s="60"/>
      <c r="B518" s="60"/>
      <c r="C518" s="60"/>
      <c r="D518" s="60"/>
      <c r="E518" s="60"/>
      <c r="F518" s="60"/>
      <c r="G518" s="60"/>
      <c r="H518" s="60"/>
      <c r="I518" s="60"/>
      <c r="J518" s="60"/>
      <c r="K518" s="60"/>
      <c r="L518" s="60"/>
      <c r="M518" s="60"/>
    </row>
    <row r="519">
      <c r="A519" s="60"/>
      <c r="B519" s="60"/>
      <c r="C519" s="60"/>
      <c r="D519" s="60"/>
      <c r="E519" s="60"/>
      <c r="F519" s="60"/>
      <c r="G519" s="60"/>
      <c r="H519" s="60"/>
      <c r="I519" s="60"/>
      <c r="J519" s="60"/>
      <c r="K519" s="60"/>
      <c r="L519" s="60"/>
      <c r="M519" s="60"/>
    </row>
    <row r="520">
      <c r="A520" s="60"/>
      <c r="B520" s="60"/>
      <c r="C520" s="60"/>
      <c r="D520" s="60"/>
      <c r="E520" s="60"/>
      <c r="F520" s="60"/>
      <c r="G520" s="60"/>
      <c r="H520" s="60"/>
      <c r="I520" s="60"/>
      <c r="J520" s="60"/>
      <c r="K520" s="60"/>
      <c r="L520" s="60"/>
      <c r="M520" s="60"/>
    </row>
    <row r="521">
      <c r="A521" s="60"/>
      <c r="B521" s="60"/>
      <c r="C521" s="60"/>
      <c r="D521" s="60"/>
      <c r="E521" s="60"/>
      <c r="F521" s="60"/>
      <c r="G521" s="60"/>
      <c r="H521" s="60"/>
      <c r="I521" s="60"/>
      <c r="J521" s="60"/>
      <c r="K521" s="60"/>
      <c r="L521" s="60"/>
      <c r="M521" s="60"/>
    </row>
    <row r="522">
      <c r="A522" s="60"/>
      <c r="B522" s="60"/>
      <c r="C522" s="60"/>
      <c r="D522" s="60"/>
      <c r="E522" s="60"/>
      <c r="F522" s="60"/>
      <c r="G522" s="60"/>
      <c r="H522" s="60"/>
      <c r="I522" s="60"/>
      <c r="J522" s="60"/>
      <c r="K522" s="60"/>
      <c r="L522" s="60"/>
      <c r="M522" s="60"/>
    </row>
    <row r="523">
      <c r="A523" s="60"/>
      <c r="B523" s="60"/>
      <c r="C523" s="60"/>
      <c r="D523" s="60"/>
      <c r="E523" s="60"/>
      <c r="F523" s="60"/>
      <c r="G523" s="60"/>
      <c r="H523" s="60"/>
      <c r="I523" s="60"/>
      <c r="J523" s="60"/>
      <c r="K523" s="60"/>
      <c r="L523" s="60"/>
      <c r="M523" s="60"/>
    </row>
    <row r="524">
      <c r="A524" s="60"/>
      <c r="B524" s="60"/>
      <c r="C524" s="60"/>
      <c r="D524" s="60"/>
      <c r="E524" s="60"/>
      <c r="F524" s="60"/>
      <c r="G524" s="60"/>
      <c r="H524" s="60"/>
      <c r="I524" s="60"/>
      <c r="J524" s="60"/>
      <c r="K524" s="60"/>
      <c r="L524" s="60"/>
      <c r="M524" s="60"/>
    </row>
    <row r="525">
      <c r="A525" s="60"/>
      <c r="B525" s="60"/>
      <c r="C525" s="60"/>
      <c r="D525" s="60"/>
      <c r="E525" s="60"/>
      <c r="F525" s="60"/>
      <c r="G525" s="60"/>
      <c r="H525" s="60"/>
      <c r="I525" s="60"/>
      <c r="J525" s="60"/>
      <c r="K525" s="60"/>
      <c r="L525" s="60"/>
      <c r="M525" s="60"/>
    </row>
    <row r="526">
      <c r="A526" s="60"/>
      <c r="B526" s="60"/>
      <c r="C526" s="60"/>
      <c r="D526" s="60"/>
      <c r="E526" s="60"/>
      <c r="F526" s="60"/>
      <c r="G526" s="60"/>
      <c r="H526" s="60"/>
      <c r="I526" s="60"/>
      <c r="J526" s="60"/>
      <c r="K526" s="60"/>
      <c r="L526" s="60"/>
      <c r="M526" s="60"/>
    </row>
    <row r="527">
      <c r="A527" s="60"/>
      <c r="B527" s="60"/>
      <c r="C527" s="60"/>
      <c r="D527" s="60"/>
      <c r="E527" s="60"/>
      <c r="F527" s="60"/>
      <c r="G527" s="60"/>
      <c r="H527" s="60"/>
      <c r="I527" s="60"/>
      <c r="J527" s="60"/>
      <c r="K527" s="60"/>
      <c r="L527" s="60"/>
      <c r="M527" s="60"/>
    </row>
    <row r="528">
      <c r="A528" s="60"/>
      <c r="B528" s="60"/>
      <c r="C528" s="60"/>
      <c r="D528" s="60"/>
      <c r="E528" s="60"/>
      <c r="F528" s="60"/>
      <c r="G528" s="60"/>
      <c r="H528" s="60"/>
      <c r="I528" s="60"/>
      <c r="J528" s="60"/>
      <c r="K528" s="60"/>
      <c r="L528" s="60"/>
      <c r="M528" s="60"/>
    </row>
    <row r="529">
      <c r="A529" s="60"/>
      <c r="B529" s="60"/>
      <c r="C529" s="60"/>
      <c r="D529" s="60"/>
      <c r="E529" s="60"/>
      <c r="F529" s="60"/>
      <c r="G529" s="60"/>
      <c r="H529" s="60"/>
      <c r="I529" s="60"/>
      <c r="J529" s="60"/>
      <c r="K529" s="60"/>
      <c r="L529" s="60"/>
      <c r="M529" s="60"/>
    </row>
    <row r="530">
      <c r="A530" s="60"/>
      <c r="B530" s="60"/>
      <c r="C530" s="60"/>
      <c r="D530" s="60"/>
      <c r="E530" s="60"/>
      <c r="F530" s="60"/>
      <c r="G530" s="60"/>
      <c r="H530" s="60"/>
      <c r="I530" s="60"/>
      <c r="J530" s="60"/>
      <c r="K530" s="60"/>
      <c r="L530" s="60"/>
      <c r="M530" s="60"/>
    </row>
    <row r="531">
      <c r="A531" s="60"/>
      <c r="B531" s="60"/>
      <c r="C531" s="60"/>
      <c r="D531" s="60"/>
      <c r="E531" s="60"/>
      <c r="F531" s="60"/>
      <c r="G531" s="60"/>
      <c r="H531" s="60"/>
      <c r="I531" s="60"/>
      <c r="J531" s="60"/>
      <c r="K531" s="60"/>
      <c r="L531" s="60"/>
      <c r="M531" s="60"/>
    </row>
    <row r="532">
      <c r="A532" s="60"/>
      <c r="B532" s="60"/>
      <c r="C532" s="60"/>
      <c r="D532" s="60"/>
      <c r="E532" s="60"/>
      <c r="F532" s="60"/>
      <c r="G532" s="60"/>
      <c r="H532" s="60"/>
      <c r="I532" s="60"/>
      <c r="J532" s="60"/>
      <c r="K532" s="60"/>
      <c r="L532" s="60"/>
      <c r="M532" s="60"/>
    </row>
    <row r="533">
      <c r="A533" s="60"/>
      <c r="B533" s="60"/>
      <c r="C533" s="60"/>
      <c r="D533" s="60"/>
      <c r="E533" s="60"/>
      <c r="F533" s="60"/>
      <c r="G533" s="60"/>
      <c r="H533" s="60"/>
      <c r="I533" s="60"/>
      <c r="J533" s="60"/>
      <c r="K533" s="60"/>
      <c r="L533" s="60"/>
      <c r="M533" s="60"/>
    </row>
    <row r="534">
      <c r="A534" s="60"/>
      <c r="B534" s="60"/>
      <c r="C534" s="60"/>
      <c r="D534" s="60"/>
      <c r="E534" s="60"/>
      <c r="F534" s="60"/>
      <c r="G534" s="60"/>
      <c r="H534" s="60"/>
      <c r="I534" s="60"/>
      <c r="J534" s="60"/>
      <c r="K534" s="60"/>
      <c r="L534" s="60"/>
      <c r="M534" s="60"/>
    </row>
    <row r="535">
      <c r="A535" s="60"/>
      <c r="B535" s="60"/>
      <c r="C535" s="60"/>
      <c r="D535" s="60"/>
      <c r="E535" s="60"/>
      <c r="F535" s="60"/>
      <c r="G535" s="60"/>
      <c r="H535" s="60"/>
      <c r="I535" s="60"/>
      <c r="J535" s="60"/>
      <c r="K535" s="60"/>
      <c r="L535" s="60"/>
      <c r="M535" s="60"/>
    </row>
    <row r="536">
      <c r="A536" s="60"/>
      <c r="B536" s="60"/>
      <c r="C536" s="60"/>
      <c r="D536" s="60"/>
      <c r="E536" s="60"/>
      <c r="F536" s="60"/>
      <c r="G536" s="60"/>
      <c r="H536" s="60"/>
      <c r="I536" s="60"/>
      <c r="J536" s="60"/>
      <c r="K536" s="60"/>
      <c r="L536" s="60"/>
      <c r="M536" s="60"/>
    </row>
    <row r="537">
      <c r="A537" s="60"/>
      <c r="B537" s="60"/>
      <c r="C537" s="60"/>
      <c r="D537" s="60"/>
      <c r="E537" s="60"/>
      <c r="F537" s="60"/>
      <c r="G537" s="60"/>
      <c r="H537" s="60"/>
      <c r="I537" s="60"/>
      <c r="J537" s="60"/>
      <c r="K537" s="60"/>
      <c r="L537" s="60"/>
      <c r="M537" s="60"/>
    </row>
    <row r="538">
      <c r="A538" s="60"/>
      <c r="B538" s="60"/>
      <c r="C538" s="60"/>
      <c r="D538" s="60"/>
      <c r="E538" s="60"/>
      <c r="F538" s="60"/>
      <c r="G538" s="60"/>
      <c r="H538" s="60"/>
      <c r="I538" s="60"/>
      <c r="J538" s="60"/>
      <c r="K538" s="60"/>
      <c r="L538" s="60"/>
      <c r="M538" s="60"/>
    </row>
    <row r="539">
      <c r="A539" s="60"/>
      <c r="B539" s="60"/>
      <c r="C539" s="60"/>
      <c r="D539" s="60"/>
      <c r="E539" s="60"/>
      <c r="F539" s="60"/>
      <c r="G539" s="60"/>
      <c r="H539" s="60"/>
      <c r="I539" s="60"/>
      <c r="J539" s="60"/>
      <c r="K539" s="60"/>
      <c r="L539" s="60"/>
      <c r="M539" s="60"/>
    </row>
    <row r="540">
      <c r="A540" s="60"/>
      <c r="B540" s="60"/>
      <c r="C540" s="60"/>
      <c r="D540" s="60"/>
      <c r="E540" s="60"/>
      <c r="F540" s="60"/>
      <c r="G540" s="60"/>
      <c r="H540" s="60"/>
      <c r="I540" s="60"/>
      <c r="J540" s="60"/>
      <c r="K540" s="60"/>
      <c r="L540" s="60"/>
      <c r="M540" s="60"/>
    </row>
    <row r="541">
      <c r="A541" s="60"/>
      <c r="B541" s="60"/>
      <c r="C541" s="60"/>
      <c r="D541" s="60"/>
      <c r="E541" s="60"/>
      <c r="F541" s="60"/>
      <c r="G541" s="60"/>
      <c r="H541" s="60"/>
      <c r="I541" s="60"/>
      <c r="J541" s="60"/>
      <c r="K541" s="60"/>
      <c r="L541" s="60"/>
      <c r="M541" s="60"/>
    </row>
    <row r="542">
      <c r="A542" s="60"/>
      <c r="B542" s="60"/>
      <c r="C542" s="60"/>
      <c r="D542" s="60"/>
      <c r="E542" s="60"/>
      <c r="F542" s="60"/>
      <c r="G542" s="60"/>
      <c r="H542" s="60"/>
      <c r="I542" s="60"/>
      <c r="J542" s="60"/>
      <c r="K542" s="60"/>
      <c r="L542" s="60"/>
      <c r="M542" s="60"/>
    </row>
    <row r="543">
      <c r="A543" s="60"/>
      <c r="B543" s="60"/>
      <c r="C543" s="60"/>
      <c r="D543" s="60"/>
      <c r="E543" s="60"/>
      <c r="F543" s="60"/>
      <c r="G543" s="60"/>
      <c r="H543" s="60"/>
      <c r="I543" s="60"/>
      <c r="J543" s="60"/>
      <c r="K543" s="60"/>
      <c r="L543" s="60"/>
      <c r="M543" s="60"/>
    </row>
    <row r="544">
      <c r="A544" s="60"/>
      <c r="B544" s="60"/>
      <c r="C544" s="60"/>
      <c r="D544" s="60"/>
      <c r="E544" s="60"/>
      <c r="F544" s="60"/>
      <c r="G544" s="60"/>
      <c r="H544" s="60"/>
      <c r="I544" s="60"/>
      <c r="J544" s="60"/>
      <c r="K544" s="60"/>
      <c r="L544" s="60"/>
      <c r="M544" s="60"/>
    </row>
    <row r="545">
      <c r="A545" s="60"/>
      <c r="B545" s="60"/>
      <c r="C545" s="60"/>
      <c r="D545" s="60"/>
      <c r="E545" s="60"/>
      <c r="F545" s="60"/>
      <c r="G545" s="60"/>
      <c r="H545" s="60"/>
      <c r="I545" s="60"/>
      <c r="J545" s="60"/>
      <c r="K545" s="60"/>
      <c r="L545" s="60"/>
      <c r="M545" s="60"/>
    </row>
    <row r="546">
      <c r="A546" s="60"/>
      <c r="B546" s="60"/>
      <c r="C546" s="60"/>
      <c r="D546" s="60"/>
      <c r="E546" s="60"/>
      <c r="F546" s="60"/>
      <c r="G546" s="60"/>
      <c r="H546" s="60"/>
      <c r="I546" s="60"/>
      <c r="J546" s="60"/>
      <c r="K546" s="60"/>
      <c r="L546" s="60"/>
      <c r="M546" s="60"/>
    </row>
    <row r="547">
      <c r="A547" s="60"/>
      <c r="B547" s="60"/>
      <c r="C547" s="60"/>
      <c r="D547" s="60"/>
      <c r="E547" s="60"/>
      <c r="F547" s="60"/>
      <c r="G547" s="60"/>
      <c r="H547" s="60"/>
      <c r="I547" s="60"/>
      <c r="J547" s="60"/>
      <c r="K547" s="60"/>
      <c r="L547" s="60"/>
      <c r="M547" s="60"/>
    </row>
    <row r="548">
      <c r="A548" s="60"/>
      <c r="B548" s="60"/>
      <c r="C548" s="60"/>
      <c r="D548" s="60"/>
      <c r="E548" s="60"/>
      <c r="F548" s="60"/>
      <c r="G548" s="60"/>
      <c r="H548" s="60"/>
      <c r="I548" s="60"/>
      <c r="J548" s="60"/>
      <c r="K548" s="60"/>
      <c r="L548" s="60"/>
      <c r="M548" s="60"/>
    </row>
    <row r="549">
      <c r="A549" s="60"/>
      <c r="B549" s="60"/>
      <c r="C549" s="60"/>
      <c r="D549" s="60"/>
      <c r="E549" s="60"/>
      <c r="F549" s="60"/>
      <c r="G549" s="60"/>
      <c r="H549" s="60"/>
      <c r="I549" s="60"/>
      <c r="J549" s="60"/>
      <c r="K549" s="60"/>
      <c r="L549" s="60"/>
      <c r="M549" s="60"/>
    </row>
    <row r="550">
      <c r="A550" s="60"/>
      <c r="B550" s="60"/>
      <c r="C550" s="60"/>
      <c r="D550" s="60"/>
      <c r="E550" s="60"/>
      <c r="F550" s="60"/>
      <c r="G550" s="60"/>
      <c r="H550" s="60"/>
      <c r="I550" s="60"/>
      <c r="J550" s="60"/>
      <c r="K550" s="60"/>
      <c r="L550" s="60"/>
      <c r="M550" s="60"/>
    </row>
    <row r="551">
      <c r="A551" s="60"/>
      <c r="B551" s="60"/>
      <c r="C551" s="60"/>
      <c r="D551" s="60"/>
      <c r="E551" s="60"/>
      <c r="F551" s="60"/>
      <c r="G551" s="60"/>
      <c r="H551" s="60"/>
      <c r="I551" s="60"/>
      <c r="J551" s="60"/>
      <c r="K551" s="60"/>
      <c r="L551" s="60"/>
      <c r="M551" s="60"/>
    </row>
    <row r="552">
      <c r="A552" s="60"/>
      <c r="B552" s="60"/>
      <c r="C552" s="60"/>
      <c r="D552" s="60"/>
      <c r="E552" s="60"/>
      <c r="F552" s="60"/>
      <c r="G552" s="60"/>
      <c r="H552" s="60"/>
      <c r="I552" s="60"/>
      <c r="J552" s="60"/>
      <c r="K552" s="60"/>
      <c r="L552" s="60"/>
      <c r="M552" s="60"/>
    </row>
    <row r="553">
      <c r="A553" s="60"/>
      <c r="B553" s="60"/>
      <c r="C553" s="60"/>
      <c r="D553" s="60"/>
      <c r="E553" s="60"/>
      <c r="F553" s="60"/>
      <c r="G553" s="60"/>
      <c r="H553" s="60"/>
      <c r="I553" s="60"/>
      <c r="J553" s="60"/>
      <c r="K553" s="60"/>
      <c r="L553" s="60"/>
      <c r="M553" s="60"/>
    </row>
    <row r="554">
      <c r="A554" s="60"/>
      <c r="B554" s="60"/>
      <c r="C554" s="60"/>
      <c r="D554" s="60"/>
      <c r="E554" s="60"/>
      <c r="F554" s="60"/>
      <c r="G554" s="60"/>
      <c r="H554" s="60"/>
      <c r="I554" s="60"/>
      <c r="J554" s="60"/>
      <c r="K554" s="60"/>
      <c r="L554" s="60"/>
      <c r="M554" s="60"/>
    </row>
    <row r="555">
      <c r="A555" s="60"/>
      <c r="B555" s="60"/>
      <c r="C555" s="60"/>
      <c r="D555" s="60"/>
      <c r="E555" s="60"/>
      <c r="F555" s="60"/>
      <c r="G555" s="60"/>
      <c r="H555" s="60"/>
      <c r="I555" s="60"/>
      <c r="J555" s="60"/>
      <c r="K555" s="60"/>
      <c r="L555" s="60"/>
      <c r="M555" s="60"/>
    </row>
    <row r="556">
      <c r="A556" s="60"/>
      <c r="B556" s="60"/>
      <c r="C556" s="60"/>
      <c r="D556" s="60"/>
      <c r="E556" s="60"/>
      <c r="F556" s="60"/>
      <c r="G556" s="60"/>
      <c r="H556" s="60"/>
      <c r="I556" s="60"/>
      <c r="J556" s="60"/>
      <c r="K556" s="60"/>
      <c r="L556" s="60"/>
      <c r="M556" s="60"/>
    </row>
    <row r="557">
      <c r="A557" s="60"/>
      <c r="B557" s="60"/>
      <c r="C557" s="60"/>
      <c r="D557" s="60"/>
      <c r="E557" s="60"/>
      <c r="F557" s="60"/>
      <c r="G557" s="60"/>
      <c r="H557" s="60"/>
      <c r="I557" s="60"/>
      <c r="J557" s="60"/>
      <c r="K557" s="60"/>
      <c r="L557" s="60"/>
      <c r="M557" s="60"/>
    </row>
    <row r="558">
      <c r="A558" s="60"/>
      <c r="B558" s="60"/>
      <c r="C558" s="60"/>
      <c r="D558" s="60"/>
      <c r="E558" s="60"/>
      <c r="F558" s="60"/>
      <c r="G558" s="60"/>
      <c r="H558" s="60"/>
      <c r="I558" s="60"/>
      <c r="J558" s="60"/>
      <c r="K558" s="60"/>
      <c r="L558" s="60"/>
      <c r="M558" s="60"/>
    </row>
    <row r="559">
      <c r="A559" s="60"/>
      <c r="B559" s="60"/>
      <c r="C559" s="60"/>
      <c r="D559" s="60"/>
      <c r="E559" s="60"/>
      <c r="F559" s="60"/>
      <c r="G559" s="60"/>
      <c r="H559" s="60"/>
      <c r="I559" s="60"/>
      <c r="J559" s="60"/>
      <c r="K559" s="60"/>
      <c r="L559" s="60"/>
      <c r="M559" s="60"/>
    </row>
    <row r="560">
      <c r="A560" s="60"/>
      <c r="B560" s="60"/>
      <c r="C560" s="60"/>
      <c r="D560" s="60"/>
      <c r="E560" s="60"/>
      <c r="F560" s="60"/>
      <c r="G560" s="60"/>
      <c r="H560" s="60"/>
      <c r="I560" s="60"/>
      <c r="J560" s="60"/>
      <c r="K560" s="60"/>
      <c r="L560" s="60"/>
      <c r="M560" s="60"/>
    </row>
    <row r="561">
      <c r="A561" s="60"/>
      <c r="B561" s="60"/>
      <c r="C561" s="60"/>
      <c r="D561" s="60"/>
      <c r="E561" s="60"/>
      <c r="F561" s="60"/>
      <c r="G561" s="60"/>
      <c r="H561" s="60"/>
      <c r="I561" s="60"/>
      <c r="J561" s="60"/>
      <c r="K561" s="60"/>
      <c r="L561" s="60"/>
      <c r="M561" s="60"/>
    </row>
    <row r="562">
      <c r="A562" s="60"/>
      <c r="B562" s="60"/>
      <c r="C562" s="60"/>
      <c r="D562" s="60"/>
      <c r="E562" s="60"/>
      <c r="F562" s="60"/>
      <c r="G562" s="60"/>
      <c r="H562" s="60"/>
      <c r="I562" s="60"/>
      <c r="J562" s="60"/>
      <c r="K562" s="60"/>
      <c r="L562" s="60"/>
      <c r="M562" s="60"/>
    </row>
    <row r="563">
      <c r="A563" s="60"/>
      <c r="B563" s="60"/>
      <c r="C563" s="60"/>
      <c r="D563" s="60"/>
      <c r="E563" s="60"/>
      <c r="F563" s="60"/>
      <c r="G563" s="60"/>
      <c r="H563" s="60"/>
      <c r="I563" s="60"/>
      <c r="J563" s="60"/>
      <c r="K563" s="60"/>
      <c r="L563" s="60"/>
      <c r="M563" s="60"/>
    </row>
    <row r="564">
      <c r="A564" s="60"/>
      <c r="B564" s="60"/>
      <c r="C564" s="60"/>
      <c r="D564" s="60"/>
      <c r="E564" s="60"/>
      <c r="F564" s="60"/>
      <c r="G564" s="60"/>
      <c r="H564" s="60"/>
      <c r="I564" s="60"/>
      <c r="J564" s="60"/>
      <c r="K564" s="60"/>
      <c r="L564" s="60"/>
      <c r="M564" s="60"/>
    </row>
    <row r="565">
      <c r="A565" s="60"/>
      <c r="B565" s="60"/>
      <c r="C565" s="60"/>
      <c r="D565" s="60"/>
      <c r="E565" s="60"/>
      <c r="F565" s="60"/>
      <c r="G565" s="60"/>
      <c r="H565" s="60"/>
      <c r="I565" s="60"/>
      <c r="J565" s="60"/>
      <c r="K565" s="60"/>
      <c r="L565" s="60"/>
      <c r="M565" s="60"/>
    </row>
    <row r="566">
      <c r="A566" s="60"/>
      <c r="B566" s="60"/>
      <c r="C566" s="60"/>
      <c r="D566" s="60"/>
      <c r="E566" s="60"/>
      <c r="F566" s="60"/>
      <c r="G566" s="60"/>
      <c r="H566" s="60"/>
      <c r="I566" s="60"/>
      <c r="J566" s="60"/>
      <c r="K566" s="60"/>
      <c r="L566" s="60"/>
      <c r="M566" s="60"/>
    </row>
    <row r="567">
      <c r="A567" s="60"/>
      <c r="B567" s="60"/>
      <c r="C567" s="60"/>
      <c r="D567" s="60"/>
      <c r="E567" s="60"/>
      <c r="F567" s="60"/>
      <c r="G567" s="60"/>
      <c r="H567" s="60"/>
      <c r="I567" s="60"/>
      <c r="J567" s="60"/>
      <c r="K567" s="60"/>
      <c r="L567" s="60"/>
      <c r="M567" s="60"/>
    </row>
    <row r="568">
      <c r="A568" s="60"/>
      <c r="B568" s="60"/>
      <c r="C568" s="60"/>
      <c r="D568" s="60"/>
      <c r="E568" s="60"/>
      <c r="F568" s="60"/>
      <c r="G568" s="60"/>
      <c r="H568" s="60"/>
      <c r="I568" s="60"/>
      <c r="J568" s="60"/>
      <c r="K568" s="60"/>
      <c r="L568" s="60"/>
      <c r="M568" s="60"/>
    </row>
    <row r="569">
      <c r="A569" s="60"/>
      <c r="B569" s="60"/>
      <c r="C569" s="60"/>
      <c r="D569" s="60"/>
      <c r="E569" s="60"/>
      <c r="F569" s="60"/>
      <c r="G569" s="60"/>
      <c r="H569" s="60"/>
      <c r="I569" s="60"/>
      <c r="J569" s="60"/>
      <c r="K569" s="60"/>
      <c r="L569" s="60"/>
      <c r="M569" s="60"/>
    </row>
    <row r="570">
      <c r="A570" s="60"/>
      <c r="B570" s="60"/>
      <c r="C570" s="60"/>
      <c r="D570" s="60"/>
      <c r="E570" s="60"/>
      <c r="F570" s="60"/>
      <c r="G570" s="60"/>
      <c r="H570" s="60"/>
      <c r="I570" s="60"/>
      <c r="J570" s="60"/>
      <c r="K570" s="60"/>
      <c r="L570" s="60"/>
      <c r="M570" s="60"/>
    </row>
    <row r="571">
      <c r="A571" s="60"/>
      <c r="B571" s="60"/>
      <c r="C571" s="60"/>
      <c r="D571" s="60"/>
      <c r="E571" s="60"/>
      <c r="F571" s="60"/>
      <c r="G571" s="60"/>
      <c r="H571" s="60"/>
      <c r="I571" s="60"/>
      <c r="J571" s="60"/>
      <c r="K571" s="60"/>
      <c r="L571" s="60"/>
      <c r="M571" s="60"/>
    </row>
    <row r="572">
      <c r="A572" s="60"/>
      <c r="B572" s="60"/>
      <c r="C572" s="60"/>
      <c r="D572" s="60"/>
      <c r="E572" s="60"/>
      <c r="F572" s="60"/>
      <c r="G572" s="60"/>
      <c r="H572" s="60"/>
      <c r="I572" s="60"/>
      <c r="J572" s="60"/>
      <c r="K572" s="60"/>
      <c r="L572" s="60"/>
      <c r="M572" s="60"/>
    </row>
    <row r="573">
      <c r="A573" s="60"/>
      <c r="B573" s="60"/>
      <c r="C573" s="60"/>
      <c r="D573" s="60"/>
      <c r="E573" s="60"/>
      <c r="F573" s="60"/>
      <c r="G573" s="60"/>
      <c r="H573" s="60"/>
      <c r="I573" s="60"/>
      <c r="J573" s="60"/>
      <c r="K573" s="60"/>
      <c r="L573" s="60"/>
      <c r="M573" s="60"/>
    </row>
    <row r="574">
      <c r="A574" s="60"/>
      <c r="B574" s="60"/>
      <c r="C574" s="60"/>
      <c r="D574" s="60"/>
      <c r="E574" s="60"/>
      <c r="F574" s="60"/>
      <c r="G574" s="60"/>
      <c r="H574" s="60"/>
      <c r="I574" s="60"/>
      <c r="J574" s="60"/>
      <c r="K574" s="60"/>
      <c r="L574" s="60"/>
      <c r="M574" s="60"/>
    </row>
    <row r="575">
      <c r="A575" s="60"/>
      <c r="B575" s="60"/>
      <c r="C575" s="60"/>
      <c r="D575" s="60"/>
      <c r="E575" s="60"/>
      <c r="F575" s="60"/>
      <c r="G575" s="60"/>
      <c r="H575" s="60"/>
      <c r="I575" s="60"/>
      <c r="J575" s="60"/>
      <c r="K575" s="60"/>
      <c r="L575" s="60"/>
      <c r="M575" s="60"/>
    </row>
    <row r="576">
      <c r="A576" s="60"/>
      <c r="B576" s="60"/>
      <c r="C576" s="60"/>
      <c r="D576" s="60"/>
      <c r="E576" s="60"/>
      <c r="F576" s="60"/>
      <c r="G576" s="60"/>
      <c r="H576" s="60"/>
      <c r="I576" s="60"/>
      <c r="J576" s="60"/>
      <c r="K576" s="60"/>
      <c r="L576" s="60"/>
      <c r="M576" s="60"/>
    </row>
    <row r="577">
      <c r="A577" s="60"/>
      <c r="B577" s="60"/>
      <c r="C577" s="60"/>
      <c r="D577" s="60"/>
      <c r="E577" s="60"/>
      <c r="F577" s="60"/>
      <c r="G577" s="60"/>
      <c r="H577" s="60"/>
      <c r="I577" s="60"/>
      <c r="J577" s="60"/>
      <c r="K577" s="60"/>
      <c r="L577" s="60"/>
      <c r="M577" s="60"/>
    </row>
    <row r="578">
      <c r="A578" s="60"/>
      <c r="B578" s="60"/>
      <c r="C578" s="60"/>
      <c r="D578" s="60"/>
      <c r="E578" s="60"/>
      <c r="F578" s="60"/>
      <c r="G578" s="60"/>
      <c r="H578" s="60"/>
      <c r="I578" s="60"/>
      <c r="J578" s="60"/>
      <c r="K578" s="60"/>
      <c r="L578" s="60"/>
      <c r="M578" s="60"/>
    </row>
    <row r="579">
      <c r="A579" s="60"/>
      <c r="B579" s="60"/>
      <c r="C579" s="60"/>
      <c r="D579" s="60"/>
      <c r="E579" s="60"/>
      <c r="F579" s="60"/>
      <c r="G579" s="60"/>
      <c r="H579" s="60"/>
      <c r="I579" s="60"/>
      <c r="J579" s="60"/>
      <c r="K579" s="60"/>
      <c r="L579" s="60"/>
      <c r="M579" s="60"/>
    </row>
    <row r="580">
      <c r="A580" s="60"/>
      <c r="B580" s="60"/>
      <c r="C580" s="60"/>
      <c r="D580" s="60"/>
      <c r="E580" s="60"/>
      <c r="F580" s="60"/>
      <c r="G580" s="60"/>
      <c r="H580" s="60"/>
      <c r="I580" s="60"/>
      <c r="J580" s="60"/>
      <c r="K580" s="60"/>
      <c r="L580" s="60"/>
      <c r="M580" s="60"/>
    </row>
    <row r="581">
      <c r="A581" s="60"/>
      <c r="B581" s="60"/>
      <c r="C581" s="60"/>
      <c r="D581" s="60"/>
      <c r="E581" s="60"/>
      <c r="F581" s="60"/>
      <c r="G581" s="60"/>
      <c r="H581" s="60"/>
      <c r="I581" s="60"/>
      <c r="J581" s="60"/>
      <c r="K581" s="60"/>
      <c r="L581" s="60"/>
      <c r="M581" s="60"/>
    </row>
    <row r="582">
      <c r="A582" s="60"/>
      <c r="B582" s="60"/>
      <c r="C582" s="60"/>
      <c r="D582" s="60"/>
      <c r="E582" s="60"/>
      <c r="F582" s="60"/>
      <c r="G582" s="60"/>
      <c r="H582" s="60"/>
      <c r="I582" s="60"/>
      <c r="J582" s="60"/>
      <c r="K582" s="60"/>
      <c r="L582" s="60"/>
      <c r="M582" s="60"/>
    </row>
    <row r="583">
      <c r="A583" s="60"/>
      <c r="B583" s="60"/>
      <c r="C583" s="60"/>
      <c r="D583" s="60"/>
      <c r="E583" s="60"/>
      <c r="F583" s="60"/>
      <c r="G583" s="60"/>
      <c r="H583" s="60"/>
      <c r="I583" s="60"/>
      <c r="J583" s="60"/>
      <c r="K583" s="60"/>
      <c r="L583" s="60"/>
      <c r="M583" s="60"/>
    </row>
    <row r="584">
      <c r="A584" s="60"/>
      <c r="B584" s="60"/>
      <c r="C584" s="60"/>
      <c r="D584" s="60"/>
      <c r="E584" s="60"/>
      <c r="F584" s="60"/>
      <c r="G584" s="60"/>
      <c r="H584" s="60"/>
      <c r="I584" s="60"/>
      <c r="J584" s="60"/>
      <c r="K584" s="60"/>
      <c r="L584" s="60"/>
      <c r="M584" s="60"/>
    </row>
    <row r="585">
      <c r="A585" s="60"/>
      <c r="B585" s="60"/>
      <c r="C585" s="60"/>
      <c r="D585" s="60"/>
      <c r="E585" s="60"/>
      <c r="F585" s="60"/>
      <c r="G585" s="60"/>
      <c r="H585" s="60"/>
      <c r="I585" s="60"/>
      <c r="J585" s="60"/>
      <c r="K585" s="60"/>
      <c r="L585" s="60"/>
      <c r="M585" s="60"/>
    </row>
    <row r="586">
      <c r="A586" s="60"/>
      <c r="B586" s="60"/>
      <c r="C586" s="60"/>
      <c r="D586" s="60"/>
      <c r="E586" s="60"/>
      <c r="F586" s="60"/>
      <c r="G586" s="60"/>
      <c r="H586" s="60"/>
      <c r="I586" s="60"/>
      <c r="J586" s="60"/>
      <c r="K586" s="60"/>
      <c r="L586" s="60"/>
      <c r="M586" s="60"/>
    </row>
    <row r="587">
      <c r="A587" s="60"/>
      <c r="B587" s="60"/>
      <c r="C587" s="60"/>
      <c r="D587" s="60"/>
      <c r="E587" s="60"/>
      <c r="F587" s="60"/>
      <c r="G587" s="60"/>
      <c r="H587" s="60"/>
      <c r="I587" s="60"/>
      <c r="J587" s="60"/>
      <c r="K587" s="60"/>
      <c r="L587" s="60"/>
      <c r="M587" s="60"/>
    </row>
    <row r="588">
      <c r="A588" s="60"/>
      <c r="B588" s="60"/>
      <c r="C588" s="60"/>
      <c r="D588" s="60"/>
      <c r="E588" s="60"/>
      <c r="F588" s="60"/>
      <c r="G588" s="60"/>
      <c r="H588" s="60"/>
      <c r="I588" s="60"/>
      <c r="J588" s="60"/>
      <c r="K588" s="60"/>
      <c r="L588" s="60"/>
      <c r="M588" s="60"/>
    </row>
    <row r="589">
      <c r="A589" s="60"/>
      <c r="B589" s="60"/>
      <c r="C589" s="60"/>
      <c r="D589" s="60"/>
      <c r="E589" s="60"/>
      <c r="F589" s="60"/>
      <c r="G589" s="60"/>
      <c r="H589" s="60"/>
      <c r="I589" s="60"/>
      <c r="J589" s="60"/>
      <c r="K589" s="60"/>
      <c r="L589" s="60"/>
      <c r="M589" s="60"/>
    </row>
    <row r="590">
      <c r="A590" s="60"/>
      <c r="B590" s="60"/>
      <c r="C590" s="60"/>
      <c r="D590" s="60"/>
      <c r="E590" s="60"/>
      <c r="F590" s="60"/>
      <c r="G590" s="60"/>
      <c r="H590" s="60"/>
      <c r="I590" s="60"/>
      <c r="J590" s="60"/>
      <c r="K590" s="60"/>
      <c r="L590" s="60"/>
      <c r="M590" s="60"/>
    </row>
    <row r="591">
      <c r="A591" s="60"/>
      <c r="B591" s="60"/>
      <c r="C591" s="60"/>
      <c r="D591" s="60"/>
      <c r="E591" s="60"/>
      <c r="F591" s="60"/>
      <c r="G591" s="60"/>
      <c r="H591" s="60"/>
      <c r="I591" s="60"/>
      <c r="J591" s="60"/>
      <c r="K591" s="60"/>
      <c r="L591" s="60"/>
      <c r="M591" s="60"/>
    </row>
    <row r="592">
      <c r="A592" s="60"/>
      <c r="B592" s="60"/>
      <c r="C592" s="60"/>
      <c r="D592" s="60"/>
      <c r="E592" s="60"/>
      <c r="F592" s="60"/>
      <c r="G592" s="60"/>
      <c r="H592" s="60"/>
      <c r="I592" s="60"/>
      <c r="J592" s="60"/>
      <c r="K592" s="60"/>
      <c r="L592" s="60"/>
      <c r="M592" s="60"/>
    </row>
    <row r="593">
      <c r="A593" s="60"/>
      <c r="B593" s="60"/>
      <c r="C593" s="60"/>
      <c r="D593" s="60"/>
      <c r="E593" s="60"/>
      <c r="F593" s="60"/>
      <c r="G593" s="60"/>
      <c r="H593" s="60"/>
      <c r="I593" s="60"/>
      <c r="J593" s="60"/>
      <c r="K593" s="60"/>
      <c r="L593" s="60"/>
      <c r="M593" s="60"/>
    </row>
    <row r="594">
      <c r="A594" s="60"/>
      <c r="B594" s="60"/>
      <c r="C594" s="60"/>
      <c r="D594" s="60"/>
      <c r="E594" s="60"/>
      <c r="F594" s="60"/>
      <c r="G594" s="60"/>
      <c r="H594" s="60"/>
      <c r="I594" s="60"/>
      <c r="J594" s="60"/>
      <c r="K594" s="60"/>
      <c r="L594" s="60"/>
      <c r="M594" s="60"/>
    </row>
    <row r="595">
      <c r="A595" s="60"/>
      <c r="B595" s="60"/>
      <c r="C595" s="60"/>
      <c r="D595" s="60"/>
      <c r="E595" s="60"/>
      <c r="F595" s="60"/>
      <c r="G595" s="60"/>
      <c r="H595" s="60"/>
      <c r="I595" s="60"/>
      <c r="J595" s="60"/>
      <c r="K595" s="60"/>
      <c r="L595" s="60"/>
      <c r="M595" s="60"/>
    </row>
    <row r="596">
      <c r="A596" s="60"/>
      <c r="B596" s="60"/>
      <c r="C596" s="60"/>
      <c r="D596" s="60"/>
      <c r="E596" s="60"/>
      <c r="F596" s="60"/>
      <c r="G596" s="60"/>
      <c r="H596" s="60"/>
      <c r="I596" s="60"/>
      <c r="J596" s="60"/>
      <c r="K596" s="60"/>
      <c r="L596" s="60"/>
      <c r="M596" s="60"/>
    </row>
    <row r="597">
      <c r="A597" s="60"/>
      <c r="B597" s="60"/>
      <c r="C597" s="60"/>
      <c r="D597" s="60"/>
      <c r="E597" s="60"/>
      <c r="F597" s="60"/>
      <c r="G597" s="60"/>
      <c r="H597" s="60"/>
      <c r="I597" s="60"/>
      <c r="J597" s="60"/>
      <c r="K597" s="60"/>
      <c r="L597" s="60"/>
      <c r="M597" s="60"/>
    </row>
    <row r="598">
      <c r="A598" s="60"/>
      <c r="B598" s="60"/>
      <c r="C598" s="60"/>
      <c r="D598" s="60"/>
      <c r="E598" s="60"/>
      <c r="F598" s="60"/>
      <c r="G598" s="60"/>
      <c r="H598" s="60"/>
      <c r="I598" s="60"/>
      <c r="J598" s="60"/>
      <c r="K598" s="60"/>
      <c r="L598" s="60"/>
      <c r="M598" s="60"/>
    </row>
    <row r="599">
      <c r="A599" s="60"/>
      <c r="B599" s="60"/>
      <c r="C599" s="60"/>
      <c r="D599" s="60"/>
      <c r="E599" s="60"/>
      <c r="F599" s="60"/>
      <c r="G599" s="60"/>
      <c r="H599" s="60"/>
      <c r="I599" s="60"/>
      <c r="J599" s="60"/>
      <c r="K599" s="60"/>
      <c r="L599" s="60"/>
      <c r="M599" s="60"/>
    </row>
    <row r="600">
      <c r="A600" s="60"/>
      <c r="B600" s="60"/>
      <c r="C600" s="60"/>
      <c r="D600" s="60"/>
      <c r="E600" s="60"/>
      <c r="F600" s="60"/>
      <c r="G600" s="60"/>
      <c r="H600" s="60"/>
      <c r="I600" s="60"/>
      <c r="J600" s="60"/>
      <c r="K600" s="60"/>
      <c r="L600" s="60"/>
      <c r="M600" s="60"/>
    </row>
    <row r="601">
      <c r="A601" s="60"/>
      <c r="B601" s="60"/>
      <c r="C601" s="60"/>
      <c r="D601" s="60"/>
      <c r="E601" s="60"/>
      <c r="F601" s="60"/>
      <c r="G601" s="60"/>
      <c r="H601" s="60"/>
      <c r="I601" s="60"/>
      <c r="J601" s="60"/>
      <c r="K601" s="60"/>
      <c r="L601" s="60"/>
      <c r="M601" s="60"/>
    </row>
    <row r="602">
      <c r="A602" s="60"/>
      <c r="B602" s="60"/>
      <c r="C602" s="60"/>
      <c r="D602" s="60"/>
      <c r="E602" s="60"/>
      <c r="F602" s="60"/>
      <c r="G602" s="60"/>
      <c r="H602" s="60"/>
      <c r="I602" s="60"/>
      <c r="J602" s="60"/>
      <c r="K602" s="60"/>
      <c r="L602" s="60"/>
      <c r="M602" s="60"/>
    </row>
    <row r="603">
      <c r="A603" s="60"/>
      <c r="B603" s="60"/>
      <c r="C603" s="60"/>
      <c r="D603" s="60"/>
      <c r="E603" s="60"/>
      <c r="F603" s="60"/>
      <c r="G603" s="60"/>
      <c r="H603" s="60"/>
      <c r="I603" s="60"/>
      <c r="J603" s="60"/>
      <c r="K603" s="60"/>
      <c r="L603" s="60"/>
      <c r="M603" s="60"/>
    </row>
    <row r="604">
      <c r="A604" s="60"/>
      <c r="B604" s="60"/>
      <c r="C604" s="60"/>
      <c r="D604" s="60"/>
      <c r="E604" s="60"/>
      <c r="F604" s="60"/>
      <c r="G604" s="60"/>
      <c r="H604" s="60"/>
      <c r="I604" s="60"/>
      <c r="J604" s="60"/>
      <c r="K604" s="60"/>
      <c r="L604" s="60"/>
      <c r="M604" s="60"/>
    </row>
    <row r="605">
      <c r="A605" s="60"/>
      <c r="B605" s="60"/>
      <c r="C605" s="60"/>
      <c r="D605" s="60"/>
      <c r="E605" s="60"/>
      <c r="F605" s="60"/>
      <c r="G605" s="60"/>
      <c r="H605" s="60"/>
      <c r="I605" s="60"/>
      <c r="J605" s="60"/>
      <c r="K605" s="60"/>
      <c r="L605" s="60"/>
      <c r="M605" s="60"/>
    </row>
    <row r="606">
      <c r="A606" s="60"/>
      <c r="B606" s="60"/>
      <c r="C606" s="60"/>
      <c r="D606" s="60"/>
      <c r="E606" s="60"/>
      <c r="F606" s="60"/>
      <c r="G606" s="60"/>
      <c r="H606" s="60"/>
      <c r="I606" s="60"/>
      <c r="J606" s="60"/>
      <c r="K606" s="60"/>
      <c r="L606" s="60"/>
      <c r="M606" s="60"/>
    </row>
    <row r="607">
      <c r="A607" s="60"/>
      <c r="B607" s="60"/>
      <c r="C607" s="60"/>
      <c r="D607" s="60"/>
      <c r="E607" s="60"/>
      <c r="F607" s="60"/>
      <c r="G607" s="60"/>
      <c r="H607" s="60"/>
      <c r="I607" s="60"/>
      <c r="J607" s="60"/>
      <c r="K607" s="60"/>
      <c r="L607" s="60"/>
      <c r="M607" s="60"/>
    </row>
    <row r="608">
      <c r="A608" s="60"/>
      <c r="B608" s="60"/>
      <c r="C608" s="60"/>
      <c r="D608" s="60"/>
      <c r="E608" s="60"/>
      <c r="F608" s="60"/>
      <c r="G608" s="60"/>
      <c r="H608" s="60"/>
      <c r="I608" s="60"/>
      <c r="J608" s="60"/>
      <c r="K608" s="60"/>
      <c r="L608" s="60"/>
      <c r="M608" s="60"/>
    </row>
    <row r="609">
      <c r="A609" s="60"/>
      <c r="B609" s="60"/>
      <c r="C609" s="60"/>
      <c r="D609" s="60"/>
      <c r="E609" s="60"/>
      <c r="F609" s="60"/>
      <c r="G609" s="60"/>
      <c r="H609" s="60"/>
      <c r="I609" s="60"/>
      <c r="J609" s="60"/>
      <c r="K609" s="60"/>
      <c r="L609" s="60"/>
      <c r="M609" s="60"/>
    </row>
    <row r="610">
      <c r="A610" s="60"/>
      <c r="B610" s="60"/>
      <c r="C610" s="60"/>
      <c r="D610" s="60"/>
      <c r="E610" s="60"/>
      <c r="F610" s="60"/>
      <c r="G610" s="60"/>
      <c r="H610" s="60"/>
      <c r="I610" s="60"/>
      <c r="J610" s="60"/>
      <c r="K610" s="60"/>
      <c r="L610" s="60"/>
      <c r="M610" s="60"/>
    </row>
    <row r="611">
      <c r="A611" s="60"/>
      <c r="B611" s="60"/>
      <c r="C611" s="60"/>
      <c r="D611" s="60"/>
      <c r="E611" s="60"/>
      <c r="F611" s="60"/>
      <c r="G611" s="60"/>
      <c r="H611" s="60"/>
      <c r="I611" s="60"/>
      <c r="J611" s="60"/>
      <c r="K611" s="60"/>
      <c r="L611" s="60"/>
      <c r="M611" s="60"/>
    </row>
    <row r="612">
      <c r="A612" s="60"/>
      <c r="B612" s="60"/>
      <c r="C612" s="60"/>
      <c r="D612" s="60"/>
      <c r="E612" s="60"/>
      <c r="F612" s="60"/>
      <c r="G612" s="60"/>
      <c r="H612" s="60"/>
      <c r="I612" s="60"/>
      <c r="J612" s="60"/>
      <c r="K612" s="60"/>
      <c r="L612" s="60"/>
      <c r="M612" s="60"/>
    </row>
    <row r="613">
      <c r="A613" s="60"/>
      <c r="B613" s="60"/>
      <c r="C613" s="60"/>
      <c r="D613" s="60"/>
      <c r="E613" s="60"/>
      <c r="F613" s="60"/>
      <c r="G613" s="60"/>
      <c r="H613" s="60"/>
      <c r="I613" s="60"/>
      <c r="J613" s="60"/>
      <c r="K613" s="60"/>
      <c r="L613" s="60"/>
      <c r="M613" s="60"/>
    </row>
    <row r="614">
      <c r="A614" s="60"/>
      <c r="B614" s="60"/>
      <c r="C614" s="60"/>
      <c r="D614" s="60"/>
      <c r="E614" s="60"/>
      <c r="F614" s="60"/>
      <c r="G614" s="60"/>
      <c r="H614" s="60"/>
      <c r="I614" s="60"/>
      <c r="J614" s="60"/>
      <c r="K614" s="60"/>
      <c r="L614" s="60"/>
      <c r="M614" s="60"/>
    </row>
    <row r="615">
      <c r="A615" s="60"/>
      <c r="B615" s="60"/>
      <c r="C615" s="60"/>
      <c r="D615" s="60"/>
      <c r="E615" s="60"/>
      <c r="F615" s="60"/>
      <c r="G615" s="60"/>
      <c r="H615" s="60"/>
      <c r="I615" s="60"/>
      <c r="J615" s="60"/>
      <c r="K615" s="60"/>
      <c r="L615" s="60"/>
      <c r="M615" s="60"/>
    </row>
    <row r="616">
      <c r="A616" s="60"/>
      <c r="B616" s="60"/>
      <c r="C616" s="60"/>
      <c r="D616" s="60"/>
      <c r="E616" s="60"/>
      <c r="F616" s="60"/>
      <c r="G616" s="60"/>
      <c r="H616" s="60"/>
      <c r="I616" s="60"/>
      <c r="J616" s="60"/>
      <c r="K616" s="60"/>
      <c r="L616" s="60"/>
      <c r="M616" s="60"/>
    </row>
    <row r="617">
      <c r="A617" s="60"/>
      <c r="B617" s="60"/>
      <c r="C617" s="60"/>
      <c r="D617" s="60"/>
      <c r="E617" s="60"/>
      <c r="F617" s="60"/>
      <c r="G617" s="60"/>
      <c r="H617" s="60"/>
      <c r="I617" s="60"/>
      <c r="J617" s="60"/>
      <c r="K617" s="60"/>
      <c r="L617" s="60"/>
      <c r="M617" s="60"/>
    </row>
    <row r="618">
      <c r="A618" s="60"/>
      <c r="B618" s="60"/>
      <c r="C618" s="60"/>
      <c r="D618" s="60"/>
      <c r="E618" s="60"/>
      <c r="F618" s="60"/>
      <c r="G618" s="60"/>
      <c r="H618" s="60"/>
      <c r="I618" s="60"/>
      <c r="J618" s="60"/>
      <c r="K618" s="60"/>
      <c r="L618" s="60"/>
      <c r="M618" s="60"/>
    </row>
    <row r="619">
      <c r="A619" s="60"/>
      <c r="B619" s="60"/>
      <c r="C619" s="60"/>
      <c r="D619" s="60"/>
      <c r="E619" s="60"/>
      <c r="F619" s="60"/>
      <c r="G619" s="60"/>
      <c r="H619" s="60"/>
      <c r="I619" s="60"/>
      <c r="J619" s="60"/>
      <c r="K619" s="60"/>
      <c r="L619" s="60"/>
      <c r="M619" s="60"/>
    </row>
    <row r="620">
      <c r="A620" s="60"/>
      <c r="B620" s="60"/>
      <c r="C620" s="60"/>
      <c r="D620" s="60"/>
      <c r="E620" s="60"/>
      <c r="F620" s="60"/>
      <c r="G620" s="60"/>
      <c r="H620" s="60"/>
      <c r="I620" s="60"/>
      <c r="J620" s="60"/>
      <c r="K620" s="60"/>
      <c r="L620" s="60"/>
      <c r="M620" s="60"/>
    </row>
    <row r="621">
      <c r="A621" s="60"/>
      <c r="B621" s="60"/>
      <c r="C621" s="60"/>
      <c r="D621" s="60"/>
      <c r="E621" s="60"/>
      <c r="F621" s="60"/>
      <c r="G621" s="60"/>
      <c r="H621" s="60"/>
      <c r="I621" s="60"/>
      <c r="J621" s="60"/>
      <c r="K621" s="60"/>
      <c r="L621" s="60"/>
      <c r="M621" s="60"/>
    </row>
    <row r="622">
      <c r="A622" s="60"/>
      <c r="B622" s="60"/>
      <c r="C622" s="60"/>
      <c r="D622" s="60"/>
      <c r="E622" s="60"/>
      <c r="F622" s="60"/>
      <c r="G622" s="60"/>
      <c r="H622" s="60"/>
      <c r="I622" s="60"/>
      <c r="J622" s="60"/>
      <c r="K622" s="60"/>
      <c r="L622" s="60"/>
      <c r="M622" s="60"/>
    </row>
    <row r="623">
      <c r="A623" s="60"/>
      <c r="B623" s="60"/>
      <c r="C623" s="60"/>
      <c r="D623" s="60"/>
      <c r="E623" s="60"/>
      <c r="F623" s="60"/>
      <c r="G623" s="60"/>
      <c r="H623" s="60"/>
      <c r="I623" s="60"/>
      <c r="J623" s="60"/>
      <c r="K623" s="60"/>
      <c r="L623" s="60"/>
      <c r="M623" s="60"/>
    </row>
    <row r="624">
      <c r="A624" s="60"/>
      <c r="B624" s="60"/>
      <c r="C624" s="60"/>
      <c r="D624" s="60"/>
      <c r="E624" s="60"/>
      <c r="F624" s="60"/>
      <c r="G624" s="60"/>
      <c r="H624" s="60"/>
      <c r="I624" s="60"/>
      <c r="J624" s="60"/>
      <c r="K624" s="60"/>
      <c r="L624" s="60"/>
      <c r="M624" s="60"/>
    </row>
    <row r="625">
      <c r="A625" s="60"/>
      <c r="B625" s="60"/>
      <c r="C625" s="60"/>
      <c r="D625" s="60"/>
      <c r="E625" s="60"/>
      <c r="F625" s="60"/>
      <c r="G625" s="60"/>
      <c r="H625" s="60"/>
      <c r="I625" s="60"/>
      <c r="J625" s="60"/>
      <c r="K625" s="60"/>
      <c r="L625" s="60"/>
      <c r="M625" s="60"/>
    </row>
    <row r="626">
      <c r="A626" s="60"/>
      <c r="B626" s="60"/>
      <c r="C626" s="60"/>
      <c r="D626" s="60"/>
      <c r="E626" s="60"/>
      <c r="F626" s="60"/>
      <c r="G626" s="60"/>
      <c r="H626" s="60"/>
      <c r="I626" s="60"/>
      <c r="J626" s="60"/>
      <c r="K626" s="60"/>
      <c r="L626" s="60"/>
      <c r="M626" s="60"/>
    </row>
    <row r="627">
      <c r="A627" s="60"/>
      <c r="B627" s="60"/>
      <c r="C627" s="60"/>
      <c r="D627" s="60"/>
      <c r="E627" s="60"/>
      <c r="F627" s="60"/>
      <c r="G627" s="60"/>
      <c r="H627" s="60"/>
      <c r="I627" s="60"/>
      <c r="J627" s="60"/>
      <c r="K627" s="60"/>
      <c r="L627" s="60"/>
      <c r="M627" s="60"/>
    </row>
    <row r="628">
      <c r="A628" s="60"/>
      <c r="B628" s="60"/>
      <c r="C628" s="60"/>
      <c r="D628" s="60"/>
      <c r="E628" s="60"/>
      <c r="F628" s="60"/>
      <c r="G628" s="60"/>
      <c r="H628" s="60"/>
      <c r="I628" s="60"/>
      <c r="J628" s="60"/>
      <c r="K628" s="60"/>
      <c r="L628" s="60"/>
      <c r="M628" s="60"/>
    </row>
    <row r="629">
      <c r="A629" s="60"/>
      <c r="B629" s="60"/>
      <c r="C629" s="60"/>
      <c r="D629" s="60"/>
      <c r="E629" s="60"/>
      <c r="F629" s="60"/>
      <c r="G629" s="60"/>
      <c r="H629" s="60"/>
      <c r="I629" s="60"/>
      <c r="J629" s="60"/>
      <c r="K629" s="60"/>
      <c r="L629" s="60"/>
      <c r="M629" s="60"/>
    </row>
    <row r="630">
      <c r="A630" s="60"/>
      <c r="B630" s="60"/>
      <c r="C630" s="60"/>
      <c r="D630" s="60"/>
      <c r="E630" s="60"/>
      <c r="F630" s="60"/>
      <c r="G630" s="60"/>
      <c r="H630" s="60"/>
      <c r="I630" s="60"/>
      <c r="J630" s="60"/>
      <c r="K630" s="60"/>
      <c r="L630" s="60"/>
      <c r="M630" s="60"/>
    </row>
    <row r="631">
      <c r="A631" s="60"/>
      <c r="B631" s="60"/>
      <c r="C631" s="60"/>
      <c r="D631" s="60"/>
      <c r="E631" s="60"/>
      <c r="F631" s="60"/>
      <c r="G631" s="60"/>
      <c r="H631" s="60"/>
      <c r="I631" s="60"/>
      <c r="J631" s="60"/>
      <c r="K631" s="60"/>
      <c r="L631" s="60"/>
      <c r="M631" s="60"/>
    </row>
    <row r="632">
      <c r="A632" s="60"/>
      <c r="B632" s="60"/>
      <c r="C632" s="60"/>
      <c r="D632" s="60"/>
      <c r="E632" s="60"/>
      <c r="F632" s="60"/>
      <c r="G632" s="60"/>
      <c r="H632" s="60"/>
      <c r="I632" s="60"/>
      <c r="J632" s="60"/>
      <c r="K632" s="60"/>
      <c r="L632" s="60"/>
      <c r="M632" s="60"/>
    </row>
    <row r="633">
      <c r="A633" s="60"/>
      <c r="B633" s="60"/>
      <c r="C633" s="60"/>
      <c r="D633" s="60"/>
      <c r="E633" s="60"/>
      <c r="F633" s="60"/>
      <c r="G633" s="60"/>
      <c r="H633" s="60"/>
      <c r="I633" s="60"/>
      <c r="J633" s="60"/>
      <c r="K633" s="60"/>
      <c r="L633" s="60"/>
      <c r="M633" s="60"/>
    </row>
    <row r="634">
      <c r="A634" s="60"/>
      <c r="B634" s="60"/>
      <c r="C634" s="60"/>
      <c r="D634" s="60"/>
      <c r="E634" s="60"/>
      <c r="F634" s="60"/>
      <c r="G634" s="60"/>
      <c r="H634" s="60"/>
      <c r="I634" s="60"/>
      <c r="J634" s="60"/>
      <c r="K634" s="60"/>
      <c r="L634" s="60"/>
      <c r="M634" s="60"/>
    </row>
    <row r="635">
      <c r="A635" s="60"/>
      <c r="B635" s="60"/>
      <c r="C635" s="60"/>
      <c r="D635" s="60"/>
      <c r="E635" s="60"/>
      <c r="F635" s="60"/>
      <c r="G635" s="60"/>
      <c r="H635" s="60"/>
      <c r="I635" s="60"/>
      <c r="J635" s="60"/>
      <c r="K635" s="60"/>
      <c r="L635" s="60"/>
      <c r="M635" s="60"/>
    </row>
    <row r="636">
      <c r="A636" s="60"/>
      <c r="B636" s="60"/>
      <c r="C636" s="60"/>
      <c r="D636" s="60"/>
      <c r="E636" s="60"/>
      <c r="F636" s="60"/>
      <c r="G636" s="60"/>
      <c r="H636" s="60"/>
      <c r="I636" s="60"/>
      <c r="J636" s="60"/>
      <c r="K636" s="60"/>
      <c r="L636" s="60"/>
      <c r="M636" s="60"/>
    </row>
    <row r="637">
      <c r="A637" s="60"/>
      <c r="B637" s="60"/>
      <c r="C637" s="60"/>
      <c r="D637" s="60"/>
      <c r="E637" s="60"/>
      <c r="F637" s="60"/>
      <c r="G637" s="60"/>
      <c r="H637" s="60"/>
      <c r="I637" s="60"/>
      <c r="J637" s="60"/>
      <c r="K637" s="60"/>
      <c r="L637" s="60"/>
      <c r="M637" s="60"/>
    </row>
    <row r="638">
      <c r="A638" s="60"/>
      <c r="B638" s="60"/>
      <c r="C638" s="60"/>
      <c r="D638" s="60"/>
      <c r="E638" s="60"/>
      <c r="F638" s="60"/>
      <c r="G638" s="60"/>
      <c r="H638" s="60"/>
      <c r="I638" s="60"/>
      <c r="J638" s="60"/>
      <c r="K638" s="60"/>
      <c r="L638" s="60"/>
      <c r="M638" s="60"/>
    </row>
    <row r="639">
      <c r="A639" s="60"/>
      <c r="B639" s="60"/>
      <c r="C639" s="60"/>
      <c r="D639" s="60"/>
      <c r="E639" s="60"/>
      <c r="F639" s="60"/>
      <c r="G639" s="60"/>
      <c r="H639" s="60"/>
      <c r="I639" s="60"/>
      <c r="J639" s="60"/>
      <c r="K639" s="60"/>
      <c r="L639" s="60"/>
      <c r="M639" s="60"/>
    </row>
    <row r="640">
      <c r="A640" s="60"/>
      <c r="B640" s="60"/>
      <c r="C640" s="60"/>
      <c r="D640" s="60"/>
      <c r="E640" s="60"/>
      <c r="F640" s="60"/>
      <c r="G640" s="60"/>
      <c r="H640" s="60"/>
      <c r="I640" s="60"/>
      <c r="J640" s="60"/>
      <c r="K640" s="60"/>
      <c r="L640" s="60"/>
      <c r="M640" s="60"/>
    </row>
    <row r="641">
      <c r="A641" s="60"/>
      <c r="B641" s="60"/>
      <c r="C641" s="60"/>
      <c r="D641" s="60"/>
      <c r="E641" s="60"/>
      <c r="F641" s="60"/>
      <c r="G641" s="60"/>
      <c r="H641" s="60"/>
      <c r="I641" s="60"/>
      <c r="J641" s="60"/>
      <c r="K641" s="60"/>
      <c r="L641" s="60"/>
      <c r="M641" s="60"/>
    </row>
    <row r="642">
      <c r="A642" s="60"/>
      <c r="B642" s="60"/>
      <c r="C642" s="60"/>
      <c r="D642" s="60"/>
      <c r="E642" s="60"/>
      <c r="F642" s="60"/>
      <c r="G642" s="60"/>
      <c r="H642" s="60"/>
      <c r="I642" s="60"/>
      <c r="J642" s="60"/>
      <c r="K642" s="60"/>
      <c r="L642" s="60"/>
      <c r="M642" s="60"/>
    </row>
    <row r="643">
      <c r="A643" s="60"/>
      <c r="B643" s="60"/>
      <c r="C643" s="60"/>
      <c r="D643" s="60"/>
      <c r="E643" s="60"/>
      <c r="F643" s="60"/>
      <c r="G643" s="60"/>
      <c r="H643" s="60"/>
      <c r="I643" s="60"/>
      <c r="J643" s="60"/>
      <c r="K643" s="60"/>
      <c r="L643" s="60"/>
      <c r="M643" s="60"/>
    </row>
    <row r="644">
      <c r="A644" s="60"/>
      <c r="B644" s="60"/>
      <c r="C644" s="60"/>
      <c r="D644" s="60"/>
      <c r="E644" s="60"/>
      <c r="F644" s="60"/>
      <c r="G644" s="60"/>
      <c r="H644" s="60"/>
      <c r="I644" s="60"/>
      <c r="J644" s="60"/>
      <c r="K644" s="60"/>
      <c r="L644" s="60"/>
      <c r="M644" s="60"/>
    </row>
    <row r="645">
      <c r="A645" s="60"/>
      <c r="B645" s="60"/>
      <c r="C645" s="60"/>
      <c r="D645" s="60"/>
      <c r="E645" s="60"/>
      <c r="F645" s="60"/>
      <c r="G645" s="60"/>
      <c r="H645" s="60"/>
      <c r="I645" s="60"/>
      <c r="J645" s="60"/>
      <c r="K645" s="60"/>
      <c r="L645" s="60"/>
      <c r="M645" s="60"/>
    </row>
    <row r="646">
      <c r="A646" s="60"/>
      <c r="B646" s="60"/>
      <c r="C646" s="60"/>
      <c r="D646" s="60"/>
      <c r="E646" s="60"/>
      <c r="F646" s="60"/>
      <c r="G646" s="60"/>
      <c r="H646" s="60"/>
      <c r="I646" s="60"/>
      <c r="J646" s="60"/>
      <c r="K646" s="60"/>
      <c r="L646" s="60"/>
      <c r="M646" s="60"/>
    </row>
    <row r="647">
      <c r="A647" s="60"/>
      <c r="B647" s="60"/>
      <c r="C647" s="60"/>
      <c r="D647" s="60"/>
      <c r="E647" s="60"/>
      <c r="F647" s="60"/>
      <c r="G647" s="60"/>
      <c r="H647" s="60"/>
      <c r="I647" s="60"/>
      <c r="J647" s="60"/>
      <c r="K647" s="60"/>
      <c r="L647" s="60"/>
      <c r="M647" s="60"/>
    </row>
    <row r="648">
      <c r="A648" s="60"/>
      <c r="B648" s="60"/>
      <c r="C648" s="60"/>
      <c r="D648" s="60"/>
      <c r="E648" s="60"/>
      <c r="F648" s="60"/>
      <c r="G648" s="60"/>
      <c r="H648" s="60"/>
      <c r="I648" s="60"/>
      <c r="J648" s="60"/>
      <c r="K648" s="60"/>
      <c r="L648" s="60"/>
      <c r="M648" s="60"/>
    </row>
    <row r="649">
      <c r="A649" s="60"/>
      <c r="B649" s="60"/>
      <c r="C649" s="60"/>
      <c r="D649" s="60"/>
      <c r="E649" s="60"/>
      <c r="F649" s="60"/>
      <c r="G649" s="60"/>
      <c r="H649" s="60"/>
      <c r="I649" s="60"/>
      <c r="J649" s="60"/>
      <c r="K649" s="60"/>
      <c r="L649" s="60"/>
      <c r="M649" s="60"/>
    </row>
    <row r="650">
      <c r="A650" s="60"/>
      <c r="B650" s="60"/>
      <c r="C650" s="60"/>
      <c r="D650" s="60"/>
      <c r="E650" s="60"/>
      <c r="F650" s="60"/>
      <c r="G650" s="60"/>
      <c r="H650" s="60"/>
      <c r="I650" s="60"/>
      <c r="J650" s="60"/>
      <c r="K650" s="60"/>
      <c r="L650" s="60"/>
      <c r="M650" s="60"/>
    </row>
    <row r="651">
      <c r="A651" s="60"/>
      <c r="B651" s="60"/>
      <c r="C651" s="60"/>
      <c r="D651" s="60"/>
      <c r="E651" s="60"/>
      <c r="F651" s="60"/>
      <c r="G651" s="60"/>
      <c r="H651" s="60"/>
      <c r="I651" s="60"/>
      <c r="J651" s="60"/>
      <c r="K651" s="60"/>
      <c r="L651" s="60"/>
      <c r="M651" s="60"/>
    </row>
    <row r="652">
      <c r="A652" s="60"/>
      <c r="B652" s="60"/>
      <c r="C652" s="60"/>
      <c r="D652" s="60"/>
      <c r="E652" s="60"/>
      <c r="F652" s="60"/>
      <c r="G652" s="60"/>
      <c r="H652" s="60"/>
      <c r="I652" s="60"/>
      <c r="J652" s="60"/>
      <c r="K652" s="60"/>
      <c r="L652" s="60"/>
      <c r="M652" s="60"/>
    </row>
    <row r="653">
      <c r="A653" s="60"/>
      <c r="B653" s="60"/>
      <c r="C653" s="60"/>
      <c r="D653" s="60"/>
      <c r="E653" s="60"/>
      <c r="F653" s="60"/>
      <c r="G653" s="60"/>
      <c r="H653" s="60"/>
      <c r="I653" s="60"/>
      <c r="J653" s="60"/>
      <c r="K653" s="60"/>
      <c r="L653" s="60"/>
      <c r="M653" s="60"/>
    </row>
    <row r="654">
      <c r="A654" s="60"/>
      <c r="B654" s="60"/>
      <c r="C654" s="60"/>
      <c r="D654" s="60"/>
      <c r="E654" s="60"/>
      <c r="F654" s="60"/>
      <c r="G654" s="60"/>
      <c r="H654" s="60"/>
      <c r="I654" s="60"/>
      <c r="J654" s="60"/>
      <c r="K654" s="60"/>
      <c r="L654" s="60"/>
      <c r="M654" s="60"/>
    </row>
    <row r="655">
      <c r="A655" s="60"/>
      <c r="B655" s="60"/>
      <c r="C655" s="60"/>
      <c r="D655" s="60"/>
      <c r="E655" s="60"/>
      <c r="F655" s="60"/>
      <c r="G655" s="60"/>
      <c r="H655" s="60"/>
      <c r="I655" s="60"/>
      <c r="J655" s="60"/>
      <c r="K655" s="60"/>
      <c r="L655" s="60"/>
      <c r="M655" s="60"/>
    </row>
    <row r="656">
      <c r="A656" s="60"/>
      <c r="B656" s="60"/>
      <c r="C656" s="60"/>
      <c r="D656" s="60"/>
      <c r="E656" s="60"/>
      <c r="F656" s="60"/>
      <c r="G656" s="60"/>
      <c r="H656" s="60"/>
      <c r="I656" s="60"/>
      <c r="J656" s="60"/>
      <c r="K656" s="60"/>
      <c r="L656" s="60"/>
      <c r="M656" s="60"/>
    </row>
    <row r="657">
      <c r="A657" s="60"/>
      <c r="B657" s="60"/>
      <c r="C657" s="60"/>
      <c r="D657" s="60"/>
      <c r="E657" s="60"/>
      <c r="F657" s="60"/>
      <c r="G657" s="60"/>
      <c r="H657" s="60"/>
      <c r="I657" s="60"/>
      <c r="J657" s="60"/>
      <c r="K657" s="60"/>
      <c r="L657" s="60"/>
      <c r="M657" s="60"/>
    </row>
    <row r="658">
      <c r="A658" s="60"/>
      <c r="B658" s="60"/>
      <c r="C658" s="60"/>
      <c r="D658" s="60"/>
      <c r="E658" s="60"/>
      <c r="F658" s="60"/>
      <c r="G658" s="60"/>
      <c r="H658" s="60"/>
      <c r="I658" s="60"/>
      <c r="J658" s="60"/>
      <c r="K658" s="60"/>
      <c r="L658" s="60"/>
      <c r="M658" s="60"/>
    </row>
    <row r="659">
      <c r="A659" s="60"/>
      <c r="B659" s="60"/>
      <c r="C659" s="60"/>
      <c r="D659" s="60"/>
      <c r="E659" s="60"/>
      <c r="F659" s="60"/>
      <c r="G659" s="60"/>
      <c r="H659" s="60"/>
      <c r="I659" s="60"/>
      <c r="J659" s="60"/>
      <c r="K659" s="60"/>
      <c r="L659" s="60"/>
      <c r="M659" s="60"/>
    </row>
    <row r="660">
      <c r="A660" s="60"/>
      <c r="B660" s="60"/>
      <c r="C660" s="60"/>
      <c r="D660" s="60"/>
      <c r="E660" s="60"/>
      <c r="F660" s="60"/>
      <c r="G660" s="60"/>
      <c r="H660" s="60"/>
      <c r="I660" s="60"/>
      <c r="J660" s="60"/>
      <c r="K660" s="60"/>
      <c r="L660" s="60"/>
      <c r="M660" s="60"/>
    </row>
    <row r="661">
      <c r="A661" s="60"/>
      <c r="B661" s="60"/>
      <c r="C661" s="60"/>
      <c r="D661" s="60"/>
      <c r="E661" s="60"/>
      <c r="F661" s="60"/>
      <c r="G661" s="60"/>
      <c r="H661" s="60"/>
      <c r="I661" s="60"/>
      <c r="J661" s="60"/>
      <c r="K661" s="60"/>
      <c r="L661" s="60"/>
      <c r="M661" s="60"/>
    </row>
    <row r="662">
      <c r="A662" s="60"/>
      <c r="B662" s="60"/>
      <c r="C662" s="60"/>
      <c r="D662" s="60"/>
      <c r="E662" s="60"/>
      <c r="F662" s="60"/>
      <c r="G662" s="60"/>
      <c r="H662" s="60"/>
      <c r="I662" s="60"/>
      <c r="J662" s="60"/>
      <c r="K662" s="60"/>
      <c r="L662" s="60"/>
      <c r="M662" s="60"/>
    </row>
    <row r="663">
      <c r="A663" s="60"/>
      <c r="B663" s="60"/>
      <c r="C663" s="60"/>
      <c r="D663" s="60"/>
      <c r="E663" s="60"/>
      <c r="F663" s="60"/>
      <c r="G663" s="60"/>
      <c r="H663" s="60"/>
      <c r="I663" s="60"/>
      <c r="J663" s="60"/>
      <c r="K663" s="60"/>
      <c r="L663" s="60"/>
      <c r="M663" s="60"/>
    </row>
    <row r="664">
      <c r="A664" s="60"/>
      <c r="B664" s="60"/>
      <c r="C664" s="60"/>
      <c r="D664" s="60"/>
      <c r="E664" s="60"/>
      <c r="F664" s="60"/>
      <c r="G664" s="60"/>
      <c r="H664" s="60"/>
      <c r="I664" s="60"/>
      <c r="J664" s="60"/>
      <c r="K664" s="60"/>
      <c r="L664" s="60"/>
      <c r="M664" s="60"/>
    </row>
    <row r="665">
      <c r="A665" s="60"/>
      <c r="B665" s="60"/>
      <c r="C665" s="60"/>
      <c r="D665" s="60"/>
      <c r="E665" s="60"/>
      <c r="F665" s="60"/>
      <c r="G665" s="60"/>
      <c r="H665" s="60"/>
      <c r="I665" s="60"/>
      <c r="J665" s="60"/>
      <c r="K665" s="60"/>
      <c r="L665" s="60"/>
      <c r="M665" s="60"/>
    </row>
    <row r="666">
      <c r="A666" s="60"/>
      <c r="B666" s="60"/>
      <c r="C666" s="60"/>
      <c r="D666" s="60"/>
      <c r="E666" s="60"/>
      <c r="F666" s="60"/>
      <c r="G666" s="60"/>
      <c r="H666" s="60"/>
      <c r="I666" s="60"/>
      <c r="J666" s="60"/>
      <c r="K666" s="60"/>
      <c r="L666" s="60"/>
      <c r="M666" s="60"/>
    </row>
    <row r="667">
      <c r="A667" s="60"/>
      <c r="B667" s="60"/>
      <c r="C667" s="60"/>
      <c r="D667" s="60"/>
      <c r="E667" s="60"/>
      <c r="F667" s="60"/>
      <c r="G667" s="60"/>
      <c r="H667" s="60"/>
      <c r="I667" s="60"/>
      <c r="J667" s="60"/>
      <c r="K667" s="60"/>
      <c r="L667" s="60"/>
      <c r="M667" s="60"/>
    </row>
    <row r="668">
      <c r="A668" s="60"/>
      <c r="B668" s="60"/>
      <c r="C668" s="60"/>
      <c r="D668" s="60"/>
      <c r="E668" s="60"/>
      <c r="F668" s="60"/>
      <c r="G668" s="60"/>
      <c r="H668" s="60"/>
      <c r="I668" s="60"/>
      <c r="J668" s="60"/>
      <c r="K668" s="60"/>
      <c r="L668" s="60"/>
      <c r="M668" s="60"/>
    </row>
    <row r="669">
      <c r="A669" s="60"/>
      <c r="B669" s="60"/>
      <c r="C669" s="60"/>
      <c r="D669" s="60"/>
      <c r="E669" s="60"/>
      <c r="F669" s="60"/>
      <c r="G669" s="60"/>
      <c r="H669" s="60"/>
      <c r="I669" s="60"/>
      <c r="J669" s="60"/>
      <c r="K669" s="60"/>
      <c r="L669" s="60"/>
      <c r="M669" s="60"/>
    </row>
    <row r="670">
      <c r="A670" s="60"/>
      <c r="B670" s="60"/>
      <c r="C670" s="60"/>
      <c r="D670" s="60"/>
      <c r="E670" s="60"/>
      <c r="F670" s="60"/>
      <c r="G670" s="60"/>
      <c r="H670" s="60"/>
      <c r="I670" s="60"/>
      <c r="J670" s="60"/>
      <c r="K670" s="60"/>
      <c r="L670" s="60"/>
      <c r="M670" s="60"/>
    </row>
    <row r="671">
      <c r="A671" s="60"/>
      <c r="B671" s="60"/>
      <c r="C671" s="60"/>
      <c r="D671" s="60"/>
      <c r="E671" s="60"/>
      <c r="F671" s="60"/>
      <c r="G671" s="60"/>
      <c r="H671" s="60"/>
      <c r="I671" s="60"/>
      <c r="J671" s="60"/>
      <c r="K671" s="60"/>
      <c r="L671" s="60"/>
      <c r="M671" s="60"/>
    </row>
    <row r="672">
      <c r="A672" s="60"/>
      <c r="B672" s="60"/>
      <c r="C672" s="60"/>
      <c r="D672" s="60"/>
      <c r="E672" s="60"/>
      <c r="F672" s="60"/>
      <c r="G672" s="60"/>
      <c r="H672" s="60"/>
      <c r="I672" s="60"/>
      <c r="J672" s="60"/>
      <c r="K672" s="60"/>
      <c r="L672" s="60"/>
      <c r="M672" s="60"/>
    </row>
    <row r="673">
      <c r="A673" s="60"/>
      <c r="B673" s="60"/>
      <c r="C673" s="60"/>
      <c r="D673" s="60"/>
      <c r="E673" s="60"/>
      <c r="F673" s="60"/>
      <c r="G673" s="60"/>
      <c r="H673" s="60"/>
      <c r="I673" s="60"/>
      <c r="J673" s="60"/>
      <c r="K673" s="60"/>
      <c r="L673" s="60"/>
      <c r="M673" s="60"/>
    </row>
    <row r="674">
      <c r="A674" s="60"/>
      <c r="B674" s="60"/>
      <c r="C674" s="60"/>
      <c r="D674" s="60"/>
      <c r="E674" s="60"/>
      <c r="F674" s="60"/>
      <c r="G674" s="60"/>
      <c r="H674" s="60"/>
      <c r="I674" s="60"/>
      <c r="J674" s="60"/>
      <c r="K674" s="60"/>
      <c r="L674" s="60"/>
      <c r="M674" s="60"/>
    </row>
    <row r="675">
      <c r="A675" s="60"/>
      <c r="B675" s="60"/>
      <c r="C675" s="60"/>
      <c r="D675" s="60"/>
      <c r="E675" s="60"/>
      <c r="F675" s="60"/>
      <c r="G675" s="60"/>
      <c r="H675" s="60"/>
      <c r="I675" s="60"/>
      <c r="J675" s="60"/>
      <c r="K675" s="60"/>
      <c r="L675" s="60"/>
      <c r="M675" s="60"/>
    </row>
    <row r="676">
      <c r="A676" s="60"/>
      <c r="B676" s="60"/>
      <c r="C676" s="60"/>
      <c r="D676" s="60"/>
      <c r="E676" s="60"/>
      <c r="F676" s="60"/>
      <c r="G676" s="60"/>
      <c r="H676" s="60"/>
      <c r="I676" s="60"/>
      <c r="J676" s="60"/>
      <c r="K676" s="60"/>
      <c r="L676" s="60"/>
      <c r="M676" s="60"/>
    </row>
    <row r="677">
      <c r="A677" s="60"/>
      <c r="B677" s="60"/>
      <c r="C677" s="60"/>
      <c r="D677" s="60"/>
      <c r="E677" s="60"/>
      <c r="F677" s="60"/>
      <c r="G677" s="60"/>
      <c r="H677" s="60"/>
      <c r="I677" s="60"/>
      <c r="J677" s="60"/>
      <c r="K677" s="60"/>
      <c r="L677" s="60"/>
      <c r="M677" s="60"/>
    </row>
    <row r="678">
      <c r="A678" s="60"/>
      <c r="B678" s="60"/>
      <c r="C678" s="60"/>
      <c r="D678" s="60"/>
      <c r="E678" s="60"/>
      <c r="F678" s="60"/>
      <c r="G678" s="60"/>
      <c r="H678" s="60"/>
      <c r="I678" s="60"/>
      <c r="J678" s="60"/>
      <c r="K678" s="60"/>
      <c r="L678" s="60"/>
      <c r="M678" s="60"/>
    </row>
    <row r="679">
      <c r="A679" s="60"/>
      <c r="B679" s="60"/>
      <c r="C679" s="60"/>
      <c r="D679" s="60"/>
      <c r="E679" s="60"/>
      <c r="F679" s="60"/>
      <c r="G679" s="60"/>
      <c r="H679" s="60"/>
      <c r="I679" s="60"/>
      <c r="J679" s="60"/>
      <c r="K679" s="60"/>
      <c r="L679" s="60"/>
      <c r="M679" s="60"/>
    </row>
    <row r="680">
      <c r="A680" s="60"/>
      <c r="B680" s="60"/>
      <c r="C680" s="60"/>
      <c r="D680" s="60"/>
      <c r="E680" s="60"/>
      <c r="F680" s="60"/>
      <c r="G680" s="60"/>
      <c r="H680" s="60"/>
      <c r="I680" s="60"/>
      <c r="J680" s="60"/>
      <c r="K680" s="60"/>
      <c r="L680" s="60"/>
      <c r="M680" s="60"/>
    </row>
    <row r="681">
      <c r="A681" s="60"/>
      <c r="B681" s="60"/>
      <c r="C681" s="60"/>
      <c r="D681" s="60"/>
      <c r="E681" s="60"/>
      <c r="F681" s="60"/>
      <c r="G681" s="60"/>
      <c r="H681" s="60"/>
      <c r="I681" s="60"/>
      <c r="J681" s="60"/>
      <c r="K681" s="60"/>
      <c r="L681" s="60"/>
      <c r="M681" s="60"/>
    </row>
    <row r="682">
      <c r="A682" s="60"/>
      <c r="B682" s="60"/>
      <c r="C682" s="60"/>
      <c r="D682" s="60"/>
      <c r="E682" s="60"/>
      <c r="F682" s="60"/>
      <c r="G682" s="60"/>
      <c r="H682" s="60"/>
      <c r="I682" s="60"/>
      <c r="J682" s="60"/>
      <c r="K682" s="60"/>
      <c r="L682" s="60"/>
      <c r="M682" s="60"/>
    </row>
    <row r="683">
      <c r="A683" s="60"/>
      <c r="B683" s="60"/>
      <c r="C683" s="60"/>
      <c r="D683" s="60"/>
      <c r="E683" s="60"/>
      <c r="F683" s="60"/>
      <c r="G683" s="60"/>
      <c r="H683" s="60"/>
      <c r="I683" s="60"/>
      <c r="J683" s="60"/>
      <c r="K683" s="60"/>
      <c r="L683" s="60"/>
      <c r="M683" s="60"/>
    </row>
    <row r="684">
      <c r="A684" s="60"/>
      <c r="B684" s="60"/>
      <c r="C684" s="60"/>
      <c r="D684" s="60"/>
      <c r="E684" s="60"/>
      <c r="F684" s="60"/>
      <c r="G684" s="60"/>
      <c r="H684" s="60"/>
      <c r="I684" s="60"/>
      <c r="J684" s="60"/>
      <c r="K684" s="60"/>
      <c r="L684" s="60"/>
      <c r="M684" s="60"/>
    </row>
    <row r="685">
      <c r="A685" s="60"/>
      <c r="B685" s="60"/>
      <c r="C685" s="60"/>
      <c r="D685" s="60"/>
      <c r="E685" s="60"/>
      <c r="F685" s="60"/>
      <c r="G685" s="60"/>
      <c r="H685" s="60"/>
      <c r="I685" s="60"/>
      <c r="J685" s="60"/>
      <c r="K685" s="60"/>
      <c r="L685" s="60"/>
      <c r="M685" s="60"/>
    </row>
    <row r="686">
      <c r="A686" s="60"/>
      <c r="B686" s="60"/>
      <c r="C686" s="60"/>
      <c r="D686" s="60"/>
      <c r="E686" s="60"/>
      <c r="F686" s="60"/>
      <c r="G686" s="60"/>
      <c r="H686" s="60"/>
      <c r="I686" s="60"/>
      <c r="J686" s="60"/>
      <c r="K686" s="60"/>
      <c r="L686" s="60"/>
      <c r="M686" s="60"/>
    </row>
    <row r="687">
      <c r="A687" s="60"/>
      <c r="B687" s="60"/>
      <c r="C687" s="60"/>
      <c r="D687" s="60"/>
      <c r="E687" s="60"/>
      <c r="F687" s="60"/>
      <c r="G687" s="60"/>
      <c r="H687" s="60"/>
      <c r="I687" s="60"/>
      <c r="J687" s="60"/>
      <c r="K687" s="60"/>
      <c r="L687" s="60"/>
      <c r="M687" s="60"/>
    </row>
    <row r="688">
      <c r="A688" s="60"/>
      <c r="B688" s="60"/>
      <c r="C688" s="60"/>
      <c r="D688" s="60"/>
      <c r="E688" s="60"/>
      <c r="F688" s="60"/>
      <c r="G688" s="60"/>
      <c r="H688" s="60"/>
      <c r="I688" s="60"/>
      <c r="J688" s="60"/>
      <c r="K688" s="60"/>
      <c r="L688" s="60"/>
      <c r="M688" s="60"/>
    </row>
    <row r="689">
      <c r="A689" s="60"/>
      <c r="B689" s="60"/>
      <c r="C689" s="60"/>
      <c r="D689" s="60"/>
      <c r="E689" s="60"/>
      <c r="F689" s="60"/>
      <c r="G689" s="60"/>
      <c r="H689" s="60"/>
      <c r="I689" s="60"/>
      <c r="J689" s="60"/>
      <c r="K689" s="60"/>
      <c r="L689" s="60"/>
      <c r="M689" s="60"/>
    </row>
    <row r="690">
      <c r="A690" s="60"/>
      <c r="B690" s="60"/>
      <c r="C690" s="60"/>
      <c r="D690" s="60"/>
      <c r="E690" s="60"/>
      <c r="F690" s="60"/>
      <c r="G690" s="60"/>
      <c r="H690" s="60"/>
      <c r="I690" s="60"/>
      <c r="J690" s="60"/>
      <c r="K690" s="60"/>
      <c r="L690" s="60"/>
      <c r="M690" s="60"/>
    </row>
    <row r="691">
      <c r="A691" s="60"/>
      <c r="B691" s="60"/>
      <c r="C691" s="60"/>
      <c r="D691" s="60"/>
      <c r="E691" s="60"/>
      <c r="F691" s="60"/>
      <c r="G691" s="60"/>
      <c r="H691" s="60"/>
      <c r="I691" s="60"/>
      <c r="J691" s="60"/>
      <c r="K691" s="60"/>
      <c r="L691" s="60"/>
      <c r="M691" s="60"/>
    </row>
    <row r="692">
      <c r="A692" s="60"/>
      <c r="B692" s="60"/>
      <c r="C692" s="60"/>
      <c r="D692" s="60"/>
      <c r="E692" s="60"/>
      <c r="F692" s="60"/>
      <c r="G692" s="60"/>
      <c r="H692" s="60"/>
      <c r="I692" s="60"/>
      <c r="J692" s="60"/>
      <c r="K692" s="60"/>
      <c r="L692" s="60"/>
      <c r="M692" s="60"/>
    </row>
    <row r="693">
      <c r="A693" s="60"/>
      <c r="B693" s="60"/>
      <c r="C693" s="60"/>
      <c r="D693" s="60"/>
      <c r="E693" s="60"/>
      <c r="F693" s="60"/>
      <c r="G693" s="60"/>
      <c r="H693" s="60"/>
      <c r="I693" s="60"/>
      <c r="J693" s="60"/>
      <c r="K693" s="60"/>
      <c r="L693" s="60"/>
      <c r="M693" s="60"/>
    </row>
    <row r="694">
      <c r="A694" s="60"/>
      <c r="B694" s="60"/>
      <c r="C694" s="60"/>
      <c r="D694" s="60"/>
      <c r="E694" s="60"/>
      <c r="F694" s="60"/>
      <c r="G694" s="60"/>
      <c r="H694" s="60"/>
      <c r="I694" s="60"/>
      <c r="J694" s="60"/>
      <c r="K694" s="60"/>
      <c r="L694" s="60"/>
      <c r="M694" s="60"/>
    </row>
    <row r="695">
      <c r="A695" s="60"/>
      <c r="B695" s="60"/>
      <c r="C695" s="60"/>
      <c r="D695" s="60"/>
      <c r="E695" s="60"/>
      <c r="F695" s="60"/>
      <c r="G695" s="60"/>
      <c r="H695" s="60"/>
      <c r="I695" s="60"/>
      <c r="J695" s="60"/>
      <c r="K695" s="60"/>
      <c r="L695" s="60"/>
      <c r="M695" s="60"/>
    </row>
    <row r="696">
      <c r="A696" s="60"/>
      <c r="B696" s="60"/>
      <c r="C696" s="60"/>
      <c r="D696" s="60"/>
      <c r="E696" s="60"/>
      <c r="F696" s="60"/>
      <c r="G696" s="60"/>
      <c r="H696" s="60"/>
      <c r="I696" s="60"/>
      <c r="J696" s="60"/>
      <c r="K696" s="60"/>
      <c r="L696" s="60"/>
      <c r="M696" s="60"/>
    </row>
    <row r="697">
      <c r="A697" s="60"/>
      <c r="B697" s="60"/>
      <c r="C697" s="60"/>
      <c r="D697" s="60"/>
      <c r="E697" s="60"/>
      <c r="F697" s="60"/>
      <c r="G697" s="60"/>
      <c r="H697" s="60"/>
      <c r="I697" s="60"/>
      <c r="J697" s="60"/>
      <c r="K697" s="60"/>
      <c r="L697" s="60"/>
      <c r="M697" s="60"/>
    </row>
    <row r="698">
      <c r="A698" s="60"/>
      <c r="B698" s="60"/>
      <c r="C698" s="60"/>
      <c r="D698" s="60"/>
      <c r="E698" s="60"/>
      <c r="F698" s="60"/>
      <c r="G698" s="60"/>
      <c r="H698" s="60"/>
      <c r="I698" s="60"/>
      <c r="J698" s="60"/>
      <c r="K698" s="60"/>
      <c r="L698" s="60"/>
      <c r="M698" s="60"/>
    </row>
    <row r="699">
      <c r="A699" s="60"/>
      <c r="B699" s="60"/>
      <c r="C699" s="60"/>
      <c r="D699" s="60"/>
      <c r="E699" s="60"/>
      <c r="F699" s="60"/>
      <c r="G699" s="60"/>
      <c r="H699" s="60"/>
      <c r="I699" s="60"/>
      <c r="J699" s="60"/>
      <c r="K699" s="60"/>
      <c r="L699" s="60"/>
      <c r="M699" s="60"/>
    </row>
    <row r="700">
      <c r="A700" s="60"/>
      <c r="B700" s="60"/>
      <c r="C700" s="60"/>
      <c r="D700" s="60"/>
      <c r="E700" s="60"/>
      <c r="F700" s="60"/>
      <c r="G700" s="60"/>
      <c r="H700" s="60"/>
      <c r="I700" s="60"/>
      <c r="J700" s="60"/>
      <c r="K700" s="60"/>
      <c r="L700" s="60"/>
      <c r="M700" s="60"/>
    </row>
    <row r="701">
      <c r="A701" s="60"/>
      <c r="B701" s="60"/>
      <c r="C701" s="60"/>
      <c r="D701" s="60"/>
      <c r="E701" s="60"/>
      <c r="F701" s="60"/>
      <c r="G701" s="60"/>
      <c r="H701" s="60"/>
      <c r="I701" s="60"/>
      <c r="J701" s="60"/>
      <c r="K701" s="60"/>
      <c r="L701" s="60"/>
      <c r="M701" s="60"/>
    </row>
    <row r="702">
      <c r="A702" s="60"/>
      <c r="B702" s="60"/>
      <c r="C702" s="60"/>
      <c r="D702" s="60"/>
      <c r="E702" s="60"/>
      <c r="F702" s="60"/>
      <c r="G702" s="60"/>
      <c r="H702" s="60"/>
      <c r="I702" s="60"/>
      <c r="J702" s="60"/>
      <c r="K702" s="60"/>
      <c r="L702" s="60"/>
      <c r="M702" s="60"/>
    </row>
    <row r="703">
      <c r="A703" s="60"/>
      <c r="B703" s="60"/>
      <c r="C703" s="60"/>
      <c r="D703" s="60"/>
      <c r="E703" s="60"/>
      <c r="F703" s="60"/>
      <c r="G703" s="60"/>
      <c r="H703" s="60"/>
      <c r="I703" s="60"/>
      <c r="J703" s="60"/>
      <c r="K703" s="60"/>
      <c r="L703" s="60"/>
      <c r="M703" s="60"/>
    </row>
    <row r="704">
      <c r="A704" s="60"/>
      <c r="B704" s="60"/>
      <c r="C704" s="60"/>
      <c r="D704" s="60"/>
      <c r="E704" s="60"/>
      <c r="F704" s="60"/>
      <c r="G704" s="60"/>
      <c r="H704" s="60"/>
      <c r="I704" s="60"/>
      <c r="J704" s="60"/>
      <c r="K704" s="60"/>
      <c r="L704" s="60"/>
      <c r="M704" s="60"/>
    </row>
    <row r="705">
      <c r="A705" s="60"/>
      <c r="B705" s="60"/>
      <c r="C705" s="60"/>
      <c r="D705" s="60"/>
      <c r="E705" s="60"/>
      <c r="F705" s="60"/>
      <c r="G705" s="60"/>
      <c r="H705" s="60"/>
      <c r="I705" s="60"/>
      <c r="J705" s="60"/>
      <c r="K705" s="60"/>
      <c r="L705" s="60"/>
      <c r="M705" s="60"/>
    </row>
    <row r="706">
      <c r="A706" s="60"/>
      <c r="B706" s="60"/>
      <c r="C706" s="60"/>
      <c r="D706" s="60"/>
      <c r="E706" s="60"/>
      <c r="F706" s="60"/>
      <c r="G706" s="60"/>
      <c r="H706" s="60"/>
      <c r="I706" s="60"/>
      <c r="J706" s="60"/>
      <c r="K706" s="60"/>
      <c r="L706" s="60"/>
      <c r="M706" s="60"/>
    </row>
    <row r="707">
      <c r="A707" s="60"/>
      <c r="B707" s="60"/>
      <c r="C707" s="60"/>
      <c r="D707" s="60"/>
      <c r="E707" s="60"/>
      <c r="F707" s="60"/>
      <c r="G707" s="60"/>
      <c r="H707" s="60"/>
      <c r="I707" s="60"/>
      <c r="J707" s="60"/>
      <c r="K707" s="60"/>
      <c r="L707" s="60"/>
      <c r="M707" s="60"/>
    </row>
    <row r="708">
      <c r="A708" s="60"/>
      <c r="B708" s="60"/>
      <c r="C708" s="60"/>
      <c r="D708" s="60"/>
      <c r="E708" s="60"/>
      <c r="F708" s="60"/>
      <c r="G708" s="60"/>
      <c r="H708" s="60"/>
      <c r="I708" s="60"/>
      <c r="J708" s="60"/>
      <c r="K708" s="60"/>
      <c r="L708" s="60"/>
      <c r="M708" s="60"/>
    </row>
    <row r="709">
      <c r="A709" s="60"/>
      <c r="B709" s="60"/>
      <c r="C709" s="60"/>
      <c r="D709" s="60"/>
      <c r="E709" s="60"/>
      <c r="F709" s="60"/>
      <c r="G709" s="60"/>
      <c r="H709" s="60"/>
      <c r="I709" s="60"/>
      <c r="J709" s="60"/>
      <c r="K709" s="60"/>
      <c r="L709" s="60"/>
      <c r="M709" s="60"/>
    </row>
    <row r="710">
      <c r="A710" s="60"/>
      <c r="B710" s="60"/>
      <c r="C710" s="60"/>
      <c r="D710" s="60"/>
      <c r="E710" s="60"/>
      <c r="F710" s="60"/>
      <c r="G710" s="60"/>
      <c r="H710" s="60"/>
      <c r="I710" s="60"/>
      <c r="J710" s="60"/>
      <c r="K710" s="60"/>
      <c r="L710" s="60"/>
      <c r="M710" s="60"/>
    </row>
    <row r="711">
      <c r="A711" s="60"/>
      <c r="B711" s="60"/>
      <c r="C711" s="60"/>
      <c r="D711" s="60"/>
      <c r="E711" s="60"/>
      <c r="F711" s="60"/>
      <c r="G711" s="60"/>
      <c r="H711" s="60"/>
      <c r="I711" s="60"/>
      <c r="J711" s="60"/>
      <c r="K711" s="60"/>
      <c r="L711" s="60"/>
      <c r="M711" s="60"/>
    </row>
    <row r="712">
      <c r="A712" s="60"/>
      <c r="B712" s="60"/>
      <c r="C712" s="60"/>
      <c r="D712" s="60"/>
      <c r="E712" s="60"/>
      <c r="F712" s="60"/>
      <c r="G712" s="60"/>
      <c r="H712" s="60"/>
      <c r="I712" s="60"/>
      <c r="J712" s="60"/>
      <c r="K712" s="60"/>
      <c r="L712" s="60"/>
      <c r="M712" s="60"/>
    </row>
    <row r="713">
      <c r="A713" s="60"/>
      <c r="B713" s="60"/>
      <c r="C713" s="60"/>
      <c r="D713" s="60"/>
      <c r="E713" s="60"/>
      <c r="F713" s="60"/>
      <c r="G713" s="60"/>
      <c r="H713" s="60"/>
      <c r="I713" s="60"/>
      <c r="J713" s="60"/>
      <c r="K713" s="60"/>
      <c r="L713" s="60"/>
      <c r="M713" s="60"/>
    </row>
    <row r="714">
      <c r="A714" s="60"/>
      <c r="B714" s="60"/>
      <c r="C714" s="60"/>
      <c r="D714" s="60"/>
      <c r="E714" s="60"/>
      <c r="F714" s="60"/>
      <c r="G714" s="60"/>
      <c r="H714" s="60"/>
      <c r="I714" s="60"/>
      <c r="J714" s="60"/>
      <c r="K714" s="60"/>
      <c r="L714" s="60"/>
      <c r="M714" s="60"/>
    </row>
    <row r="715">
      <c r="A715" s="60"/>
      <c r="B715" s="60"/>
      <c r="C715" s="60"/>
      <c r="D715" s="60"/>
      <c r="E715" s="60"/>
      <c r="F715" s="60"/>
      <c r="G715" s="60"/>
      <c r="H715" s="60"/>
      <c r="I715" s="60"/>
      <c r="J715" s="60"/>
      <c r="K715" s="60"/>
      <c r="L715" s="60"/>
      <c r="M715" s="60"/>
    </row>
    <row r="716">
      <c r="A716" s="60"/>
      <c r="B716" s="60"/>
      <c r="C716" s="60"/>
      <c r="D716" s="60"/>
      <c r="E716" s="60"/>
      <c r="F716" s="60"/>
      <c r="G716" s="60"/>
      <c r="H716" s="60"/>
      <c r="I716" s="60"/>
      <c r="J716" s="60"/>
      <c r="K716" s="60"/>
      <c r="L716" s="60"/>
      <c r="M716" s="60"/>
    </row>
    <row r="717">
      <c r="A717" s="60"/>
      <c r="B717" s="60"/>
      <c r="C717" s="60"/>
      <c r="D717" s="60"/>
      <c r="E717" s="60"/>
      <c r="F717" s="60"/>
      <c r="G717" s="60"/>
      <c r="H717" s="60"/>
      <c r="I717" s="60"/>
      <c r="J717" s="60"/>
      <c r="K717" s="60"/>
      <c r="L717" s="60"/>
      <c r="M717" s="60"/>
    </row>
    <row r="718">
      <c r="A718" s="60"/>
      <c r="B718" s="60"/>
      <c r="C718" s="60"/>
      <c r="D718" s="60"/>
      <c r="E718" s="60"/>
      <c r="F718" s="60"/>
      <c r="G718" s="60"/>
      <c r="H718" s="60"/>
      <c r="I718" s="60"/>
      <c r="J718" s="60"/>
      <c r="K718" s="60"/>
      <c r="L718" s="60"/>
      <c r="M718" s="60"/>
    </row>
    <row r="719">
      <c r="A719" s="60"/>
      <c r="B719" s="60"/>
      <c r="C719" s="60"/>
      <c r="D719" s="60"/>
      <c r="E719" s="60"/>
      <c r="F719" s="60"/>
      <c r="G719" s="60"/>
      <c r="H719" s="60"/>
      <c r="I719" s="60"/>
      <c r="J719" s="60"/>
      <c r="K719" s="60"/>
      <c r="L719" s="60"/>
      <c r="M719" s="60"/>
    </row>
    <row r="720">
      <c r="A720" s="60"/>
      <c r="B720" s="60"/>
      <c r="C720" s="60"/>
      <c r="D720" s="60"/>
      <c r="E720" s="60"/>
      <c r="F720" s="60"/>
      <c r="G720" s="60"/>
      <c r="H720" s="60"/>
      <c r="I720" s="60"/>
      <c r="J720" s="60"/>
      <c r="K720" s="60"/>
      <c r="L720" s="60"/>
      <c r="M720" s="60"/>
    </row>
    <row r="721">
      <c r="A721" s="60"/>
      <c r="B721" s="60"/>
      <c r="C721" s="60"/>
      <c r="D721" s="60"/>
      <c r="E721" s="60"/>
      <c r="F721" s="60"/>
      <c r="G721" s="60"/>
      <c r="H721" s="60"/>
      <c r="I721" s="60"/>
      <c r="J721" s="60"/>
      <c r="K721" s="60"/>
      <c r="L721" s="60"/>
      <c r="M721" s="60"/>
    </row>
    <row r="722">
      <c r="A722" s="60"/>
      <c r="B722" s="60"/>
      <c r="C722" s="60"/>
      <c r="D722" s="60"/>
      <c r="E722" s="60"/>
      <c r="F722" s="60"/>
      <c r="G722" s="60"/>
      <c r="H722" s="60"/>
      <c r="I722" s="60"/>
      <c r="J722" s="60"/>
      <c r="K722" s="60"/>
      <c r="L722" s="60"/>
      <c r="M722" s="60"/>
    </row>
    <row r="723">
      <c r="A723" s="60"/>
      <c r="B723" s="60"/>
      <c r="C723" s="60"/>
      <c r="D723" s="60"/>
      <c r="E723" s="60"/>
      <c r="F723" s="60"/>
      <c r="G723" s="60"/>
      <c r="H723" s="60"/>
      <c r="I723" s="60"/>
      <c r="J723" s="60"/>
      <c r="K723" s="60"/>
      <c r="L723" s="60"/>
      <c r="M723" s="60"/>
    </row>
    <row r="724">
      <c r="A724" s="60"/>
      <c r="B724" s="60"/>
      <c r="C724" s="60"/>
      <c r="D724" s="60"/>
      <c r="E724" s="60"/>
      <c r="F724" s="60"/>
      <c r="G724" s="60"/>
      <c r="H724" s="60"/>
      <c r="I724" s="60"/>
      <c r="J724" s="60"/>
      <c r="K724" s="60"/>
      <c r="L724" s="60"/>
      <c r="M724" s="60"/>
    </row>
    <row r="725">
      <c r="A725" s="60"/>
      <c r="B725" s="60"/>
      <c r="C725" s="60"/>
      <c r="D725" s="60"/>
      <c r="E725" s="60"/>
      <c r="F725" s="60"/>
      <c r="G725" s="60"/>
      <c r="H725" s="60"/>
      <c r="I725" s="60"/>
      <c r="J725" s="60"/>
      <c r="K725" s="60"/>
      <c r="L725" s="60"/>
      <c r="M725" s="60"/>
    </row>
    <row r="726">
      <c r="A726" s="60"/>
      <c r="B726" s="60"/>
      <c r="C726" s="60"/>
      <c r="D726" s="60"/>
      <c r="E726" s="60"/>
      <c r="F726" s="60"/>
      <c r="G726" s="60"/>
      <c r="H726" s="60"/>
      <c r="I726" s="60"/>
      <c r="J726" s="60"/>
      <c r="K726" s="60"/>
      <c r="L726" s="60"/>
      <c r="M726" s="60"/>
    </row>
    <row r="727">
      <c r="A727" s="60"/>
      <c r="B727" s="60"/>
      <c r="C727" s="60"/>
      <c r="D727" s="60"/>
      <c r="E727" s="60"/>
      <c r="F727" s="60"/>
      <c r="G727" s="60"/>
      <c r="H727" s="60"/>
      <c r="I727" s="60"/>
      <c r="J727" s="60"/>
      <c r="K727" s="60"/>
      <c r="L727" s="60"/>
      <c r="M727" s="60"/>
    </row>
    <row r="728">
      <c r="A728" s="60"/>
      <c r="B728" s="60"/>
      <c r="C728" s="60"/>
      <c r="D728" s="60"/>
      <c r="E728" s="60"/>
      <c r="F728" s="60"/>
      <c r="G728" s="60"/>
      <c r="H728" s="60"/>
      <c r="I728" s="60"/>
      <c r="J728" s="60"/>
      <c r="K728" s="60"/>
      <c r="L728" s="60"/>
      <c r="M728" s="60"/>
    </row>
    <row r="729">
      <c r="A729" s="60"/>
      <c r="B729" s="60"/>
      <c r="C729" s="60"/>
      <c r="D729" s="60"/>
      <c r="E729" s="60"/>
      <c r="F729" s="60"/>
      <c r="G729" s="60"/>
      <c r="H729" s="60"/>
      <c r="I729" s="60"/>
      <c r="J729" s="60"/>
      <c r="K729" s="60"/>
      <c r="L729" s="60"/>
      <c r="M729" s="60"/>
    </row>
    <row r="730">
      <c r="A730" s="60"/>
      <c r="B730" s="60"/>
      <c r="C730" s="60"/>
      <c r="D730" s="60"/>
      <c r="E730" s="60"/>
      <c r="F730" s="60"/>
      <c r="G730" s="60"/>
      <c r="H730" s="60"/>
      <c r="I730" s="60"/>
      <c r="J730" s="60"/>
      <c r="K730" s="60"/>
      <c r="L730" s="60"/>
      <c r="M730" s="60"/>
    </row>
    <row r="731">
      <c r="A731" s="60"/>
      <c r="B731" s="60"/>
      <c r="C731" s="60"/>
      <c r="D731" s="60"/>
      <c r="E731" s="60"/>
      <c r="F731" s="60"/>
      <c r="G731" s="60"/>
      <c r="H731" s="60"/>
      <c r="I731" s="60"/>
      <c r="J731" s="60"/>
      <c r="K731" s="60"/>
      <c r="L731" s="60"/>
      <c r="M731" s="60"/>
    </row>
    <row r="732">
      <c r="A732" s="60"/>
      <c r="B732" s="60"/>
      <c r="C732" s="60"/>
      <c r="D732" s="60"/>
      <c r="E732" s="60"/>
      <c r="F732" s="60"/>
      <c r="G732" s="60"/>
      <c r="H732" s="60"/>
      <c r="I732" s="60"/>
      <c r="J732" s="60"/>
      <c r="K732" s="60"/>
      <c r="L732" s="60"/>
      <c r="M732" s="60"/>
    </row>
    <row r="733">
      <c r="A733" s="60"/>
      <c r="B733" s="60"/>
      <c r="C733" s="60"/>
      <c r="D733" s="60"/>
      <c r="E733" s="60"/>
      <c r="F733" s="60"/>
      <c r="G733" s="60"/>
      <c r="H733" s="60"/>
      <c r="I733" s="60"/>
      <c r="J733" s="60"/>
      <c r="K733" s="60"/>
      <c r="L733" s="60"/>
      <c r="M733" s="60"/>
    </row>
    <row r="734">
      <c r="A734" s="60"/>
      <c r="B734" s="60"/>
      <c r="C734" s="60"/>
      <c r="D734" s="60"/>
      <c r="E734" s="60"/>
      <c r="F734" s="60"/>
      <c r="G734" s="60"/>
      <c r="H734" s="60"/>
      <c r="I734" s="60"/>
      <c r="J734" s="60"/>
      <c r="K734" s="60"/>
      <c r="L734" s="60"/>
      <c r="M734" s="60"/>
    </row>
    <row r="735">
      <c r="A735" s="60"/>
      <c r="B735" s="60"/>
      <c r="C735" s="60"/>
      <c r="D735" s="60"/>
      <c r="E735" s="60"/>
      <c r="F735" s="60"/>
      <c r="G735" s="60"/>
      <c r="H735" s="60"/>
      <c r="I735" s="60"/>
      <c r="J735" s="60"/>
      <c r="K735" s="60"/>
      <c r="L735" s="60"/>
      <c r="M735" s="60"/>
    </row>
    <row r="736">
      <c r="A736" s="60"/>
      <c r="B736" s="60"/>
      <c r="C736" s="60"/>
      <c r="D736" s="60"/>
      <c r="E736" s="60"/>
      <c r="F736" s="60"/>
      <c r="G736" s="60"/>
      <c r="H736" s="60"/>
      <c r="I736" s="60"/>
      <c r="J736" s="60"/>
      <c r="K736" s="60"/>
      <c r="L736" s="60"/>
      <c r="M736" s="60"/>
    </row>
    <row r="737">
      <c r="A737" s="60"/>
      <c r="B737" s="60"/>
      <c r="C737" s="60"/>
      <c r="D737" s="60"/>
      <c r="E737" s="60"/>
      <c r="F737" s="60"/>
      <c r="G737" s="60"/>
      <c r="H737" s="60"/>
      <c r="I737" s="60"/>
      <c r="J737" s="60"/>
      <c r="K737" s="60"/>
      <c r="L737" s="60"/>
      <c r="M737" s="60"/>
    </row>
    <row r="738">
      <c r="A738" s="60"/>
      <c r="B738" s="60"/>
      <c r="C738" s="60"/>
      <c r="D738" s="60"/>
      <c r="E738" s="60"/>
      <c r="F738" s="60"/>
      <c r="G738" s="60"/>
      <c r="H738" s="60"/>
      <c r="I738" s="60"/>
      <c r="J738" s="60"/>
      <c r="K738" s="60"/>
      <c r="L738" s="60"/>
      <c r="M738" s="60"/>
    </row>
    <row r="739">
      <c r="A739" s="60"/>
      <c r="B739" s="60"/>
      <c r="C739" s="60"/>
      <c r="D739" s="60"/>
      <c r="E739" s="60"/>
      <c r="F739" s="60"/>
      <c r="G739" s="60"/>
      <c r="H739" s="60"/>
      <c r="I739" s="60"/>
      <c r="J739" s="60"/>
      <c r="K739" s="60"/>
      <c r="L739" s="60"/>
      <c r="M739" s="60"/>
    </row>
    <row r="740">
      <c r="A740" s="60"/>
      <c r="B740" s="60"/>
      <c r="C740" s="60"/>
      <c r="D740" s="60"/>
      <c r="E740" s="60"/>
      <c r="F740" s="60"/>
      <c r="G740" s="60"/>
      <c r="H740" s="60"/>
      <c r="I740" s="60"/>
      <c r="J740" s="60"/>
      <c r="K740" s="60"/>
      <c r="L740" s="60"/>
      <c r="M740" s="60"/>
    </row>
    <row r="741">
      <c r="A741" s="60"/>
      <c r="B741" s="60"/>
      <c r="C741" s="60"/>
      <c r="D741" s="60"/>
      <c r="E741" s="60"/>
      <c r="F741" s="60"/>
      <c r="G741" s="60"/>
      <c r="H741" s="60"/>
      <c r="I741" s="60"/>
      <c r="J741" s="60"/>
      <c r="K741" s="60"/>
      <c r="L741" s="60"/>
      <c r="M741" s="60"/>
    </row>
    <row r="742">
      <c r="A742" s="60"/>
      <c r="B742" s="60"/>
      <c r="C742" s="60"/>
      <c r="D742" s="60"/>
      <c r="E742" s="60"/>
      <c r="F742" s="60"/>
      <c r="G742" s="60"/>
      <c r="H742" s="60"/>
      <c r="I742" s="60"/>
      <c r="J742" s="60"/>
      <c r="K742" s="60"/>
      <c r="L742" s="60"/>
      <c r="M742" s="60"/>
    </row>
    <row r="743">
      <c r="A743" s="60"/>
      <c r="B743" s="60"/>
      <c r="C743" s="60"/>
      <c r="D743" s="60"/>
      <c r="E743" s="60"/>
      <c r="F743" s="60"/>
      <c r="G743" s="60"/>
      <c r="H743" s="60"/>
      <c r="I743" s="60"/>
      <c r="J743" s="60"/>
      <c r="K743" s="60"/>
      <c r="L743" s="60"/>
      <c r="M743" s="60"/>
    </row>
    <row r="744">
      <c r="A744" s="60"/>
      <c r="B744" s="60"/>
      <c r="C744" s="60"/>
      <c r="D744" s="60"/>
      <c r="E744" s="60"/>
      <c r="F744" s="60"/>
      <c r="G744" s="60"/>
      <c r="H744" s="60"/>
      <c r="I744" s="60"/>
      <c r="J744" s="60"/>
      <c r="K744" s="60"/>
      <c r="L744" s="60"/>
      <c r="M744" s="60"/>
    </row>
    <row r="745">
      <c r="A745" s="60"/>
      <c r="B745" s="60"/>
      <c r="C745" s="60"/>
      <c r="D745" s="60"/>
      <c r="E745" s="60"/>
      <c r="F745" s="60"/>
      <c r="G745" s="60"/>
      <c r="H745" s="60"/>
      <c r="I745" s="60"/>
      <c r="J745" s="60"/>
      <c r="K745" s="60"/>
      <c r="L745" s="60"/>
      <c r="M745" s="60"/>
    </row>
    <row r="746">
      <c r="A746" s="60"/>
      <c r="B746" s="60"/>
      <c r="C746" s="60"/>
      <c r="D746" s="60"/>
      <c r="E746" s="60"/>
      <c r="F746" s="60"/>
      <c r="G746" s="60"/>
      <c r="H746" s="60"/>
      <c r="I746" s="60"/>
      <c r="J746" s="60"/>
      <c r="K746" s="60"/>
      <c r="L746" s="60"/>
      <c r="M746" s="60"/>
    </row>
    <row r="747">
      <c r="A747" s="60"/>
      <c r="B747" s="60"/>
      <c r="C747" s="60"/>
      <c r="D747" s="60"/>
      <c r="E747" s="60"/>
      <c r="F747" s="60"/>
      <c r="G747" s="60"/>
      <c r="H747" s="60"/>
      <c r="I747" s="60"/>
      <c r="J747" s="60"/>
      <c r="K747" s="60"/>
      <c r="L747" s="60"/>
      <c r="M747" s="60"/>
    </row>
    <row r="748">
      <c r="A748" s="60"/>
      <c r="B748" s="60"/>
      <c r="C748" s="60"/>
      <c r="D748" s="60"/>
      <c r="E748" s="60"/>
      <c r="F748" s="60"/>
      <c r="G748" s="60"/>
      <c r="H748" s="60"/>
      <c r="I748" s="60"/>
      <c r="J748" s="60"/>
      <c r="K748" s="60"/>
      <c r="L748" s="60"/>
      <c r="M748" s="60"/>
    </row>
    <row r="749">
      <c r="A749" s="60"/>
      <c r="B749" s="60"/>
      <c r="C749" s="60"/>
      <c r="D749" s="60"/>
      <c r="E749" s="60"/>
      <c r="F749" s="60"/>
      <c r="G749" s="60"/>
      <c r="H749" s="60"/>
      <c r="I749" s="60"/>
      <c r="J749" s="60"/>
      <c r="K749" s="60"/>
      <c r="L749" s="60"/>
      <c r="M749" s="60"/>
    </row>
    <row r="750">
      <c r="A750" s="60"/>
      <c r="B750" s="60"/>
      <c r="C750" s="60"/>
      <c r="D750" s="60"/>
      <c r="E750" s="60"/>
      <c r="F750" s="60"/>
      <c r="G750" s="60"/>
      <c r="H750" s="60"/>
      <c r="I750" s="60"/>
      <c r="J750" s="60"/>
      <c r="K750" s="60"/>
      <c r="L750" s="60"/>
      <c r="M750" s="60"/>
    </row>
    <row r="751">
      <c r="A751" s="60"/>
      <c r="B751" s="60"/>
      <c r="C751" s="60"/>
      <c r="D751" s="60"/>
      <c r="E751" s="60"/>
      <c r="F751" s="60"/>
      <c r="G751" s="60"/>
      <c r="H751" s="60"/>
      <c r="I751" s="60"/>
      <c r="J751" s="60"/>
      <c r="K751" s="60"/>
      <c r="L751" s="60"/>
      <c r="M751" s="60"/>
    </row>
    <row r="752">
      <c r="A752" s="60"/>
      <c r="B752" s="60"/>
      <c r="C752" s="60"/>
      <c r="D752" s="60"/>
      <c r="E752" s="60"/>
      <c r="F752" s="60"/>
      <c r="G752" s="60"/>
      <c r="H752" s="60"/>
      <c r="I752" s="60"/>
      <c r="J752" s="60"/>
      <c r="K752" s="60"/>
      <c r="L752" s="60"/>
      <c r="M752" s="60"/>
    </row>
    <row r="753">
      <c r="A753" s="60"/>
      <c r="B753" s="60"/>
      <c r="C753" s="60"/>
      <c r="D753" s="60"/>
      <c r="E753" s="60"/>
      <c r="F753" s="60"/>
      <c r="G753" s="60"/>
      <c r="H753" s="60"/>
      <c r="I753" s="60"/>
      <c r="J753" s="60"/>
      <c r="K753" s="60"/>
      <c r="L753" s="60"/>
      <c r="M753" s="60"/>
    </row>
    <row r="754">
      <c r="A754" s="60"/>
      <c r="B754" s="60"/>
      <c r="C754" s="60"/>
      <c r="D754" s="60"/>
      <c r="E754" s="60"/>
      <c r="F754" s="60"/>
      <c r="G754" s="60"/>
      <c r="H754" s="60"/>
      <c r="I754" s="60"/>
      <c r="J754" s="60"/>
      <c r="K754" s="60"/>
      <c r="L754" s="60"/>
      <c r="M754" s="60"/>
    </row>
    <row r="755">
      <c r="A755" s="60"/>
      <c r="B755" s="60"/>
      <c r="C755" s="60"/>
      <c r="D755" s="60"/>
      <c r="E755" s="60"/>
      <c r="F755" s="60"/>
      <c r="G755" s="60"/>
      <c r="H755" s="60"/>
      <c r="I755" s="60"/>
      <c r="J755" s="60"/>
      <c r="K755" s="60"/>
      <c r="L755" s="60"/>
      <c r="M755" s="60"/>
    </row>
    <row r="756">
      <c r="A756" s="60"/>
      <c r="B756" s="60"/>
      <c r="C756" s="60"/>
      <c r="D756" s="60"/>
      <c r="E756" s="60"/>
      <c r="F756" s="60"/>
      <c r="G756" s="60"/>
      <c r="H756" s="60"/>
      <c r="I756" s="60"/>
      <c r="J756" s="60"/>
      <c r="K756" s="60"/>
      <c r="L756" s="60"/>
      <c r="M756" s="60"/>
    </row>
    <row r="757">
      <c r="A757" s="60"/>
      <c r="B757" s="60"/>
      <c r="C757" s="60"/>
      <c r="D757" s="60"/>
      <c r="E757" s="60"/>
      <c r="F757" s="60"/>
      <c r="G757" s="60"/>
      <c r="H757" s="60"/>
      <c r="I757" s="60"/>
      <c r="J757" s="60"/>
      <c r="K757" s="60"/>
      <c r="L757" s="60"/>
      <c r="M757" s="60"/>
    </row>
    <row r="758">
      <c r="A758" s="60"/>
      <c r="B758" s="60"/>
      <c r="C758" s="60"/>
      <c r="D758" s="60"/>
      <c r="E758" s="60"/>
      <c r="F758" s="60"/>
      <c r="G758" s="60"/>
      <c r="H758" s="60"/>
      <c r="I758" s="60"/>
      <c r="J758" s="60"/>
      <c r="K758" s="60"/>
      <c r="L758" s="60"/>
      <c r="M758" s="60"/>
    </row>
    <row r="759">
      <c r="A759" s="60"/>
      <c r="B759" s="60"/>
      <c r="C759" s="60"/>
      <c r="D759" s="60"/>
      <c r="E759" s="60"/>
      <c r="F759" s="60"/>
      <c r="G759" s="60"/>
      <c r="H759" s="60"/>
      <c r="I759" s="60"/>
      <c r="J759" s="60"/>
      <c r="K759" s="60"/>
      <c r="L759" s="60"/>
      <c r="M759" s="60"/>
    </row>
    <row r="760">
      <c r="A760" s="60"/>
      <c r="B760" s="60"/>
      <c r="C760" s="60"/>
      <c r="D760" s="60"/>
      <c r="E760" s="60"/>
      <c r="F760" s="60"/>
      <c r="G760" s="60"/>
      <c r="H760" s="60"/>
      <c r="I760" s="60"/>
      <c r="J760" s="60"/>
      <c r="K760" s="60"/>
      <c r="L760" s="60"/>
      <c r="M760" s="60"/>
    </row>
    <row r="761">
      <c r="A761" s="60"/>
      <c r="B761" s="60"/>
      <c r="C761" s="60"/>
      <c r="D761" s="60"/>
      <c r="E761" s="60"/>
      <c r="F761" s="60"/>
      <c r="G761" s="60"/>
      <c r="H761" s="60"/>
      <c r="I761" s="60"/>
      <c r="J761" s="60"/>
      <c r="K761" s="60"/>
      <c r="L761" s="60"/>
      <c r="M761" s="60"/>
    </row>
    <row r="762">
      <c r="A762" s="60"/>
      <c r="B762" s="60"/>
      <c r="C762" s="60"/>
      <c r="D762" s="60"/>
      <c r="E762" s="60"/>
      <c r="F762" s="60"/>
      <c r="G762" s="60"/>
      <c r="H762" s="60"/>
      <c r="I762" s="60"/>
      <c r="J762" s="60"/>
      <c r="K762" s="60"/>
      <c r="L762" s="60"/>
      <c r="M762" s="60"/>
    </row>
    <row r="763">
      <c r="A763" s="60"/>
      <c r="B763" s="60"/>
      <c r="C763" s="60"/>
      <c r="D763" s="60"/>
      <c r="E763" s="60"/>
      <c r="F763" s="60"/>
      <c r="G763" s="60"/>
      <c r="H763" s="60"/>
      <c r="I763" s="60"/>
      <c r="J763" s="60"/>
      <c r="K763" s="60"/>
      <c r="L763" s="60"/>
      <c r="M763" s="60"/>
    </row>
    <row r="764">
      <c r="A764" s="60"/>
      <c r="B764" s="60"/>
      <c r="C764" s="60"/>
      <c r="D764" s="60"/>
      <c r="E764" s="60"/>
      <c r="F764" s="60"/>
      <c r="G764" s="60"/>
      <c r="H764" s="60"/>
      <c r="I764" s="60"/>
      <c r="J764" s="60"/>
      <c r="K764" s="60"/>
      <c r="L764" s="60"/>
      <c r="M764" s="60"/>
    </row>
    <row r="765">
      <c r="A765" s="60"/>
      <c r="B765" s="60"/>
      <c r="C765" s="60"/>
      <c r="D765" s="60"/>
      <c r="E765" s="60"/>
      <c r="F765" s="60"/>
      <c r="G765" s="60"/>
      <c r="H765" s="60"/>
      <c r="I765" s="60"/>
      <c r="J765" s="60"/>
      <c r="K765" s="60"/>
      <c r="L765" s="60"/>
      <c r="M765" s="60"/>
    </row>
    <row r="766">
      <c r="A766" s="60"/>
      <c r="B766" s="60"/>
      <c r="C766" s="60"/>
      <c r="D766" s="60"/>
      <c r="E766" s="60"/>
      <c r="F766" s="60"/>
      <c r="G766" s="60"/>
      <c r="H766" s="60"/>
      <c r="I766" s="60"/>
      <c r="J766" s="60"/>
      <c r="K766" s="60"/>
      <c r="L766" s="60"/>
      <c r="M766" s="60"/>
    </row>
    <row r="767">
      <c r="A767" s="60"/>
      <c r="B767" s="60"/>
      <c r="C767" s="60"/>
      <c r="D767" s="60"/>
      <c r="E767" s="60"/>
      <c r="F767" s="60"/>
      <c r="G767" s="60"/>
      <c r="H767" s="60"/>
      <c r="I767" s="60"/>
      <c r="J767" s="60"/>
      <c r="K767" s="60"/>
      <c r="L767" s="60"/>
      <c r="M767" s="60"/>
    </row>
    <row r="768">
      <c r="A768" s="60"/>
      <c r="B768" s="60"/>
      <c r="C768" s="60"/>
      <c r="D768" s="60"/>
      <c r="E768" s="60"/>
      <c r="F768" s="60"/>
      <c r="G768" s="60"/>
      <c r="H768" s="60"/>
      <c r="I768" s="60"/>
      <c r="J768" s="60"/>
      <c r="K768" s="60"/>
      <c r="L768" s="60"/>
      <c r="M768" s="60"/>
    </row>
    <row r="769">
      <c r="A769" s="60"/>
      <c r="B769" s="60"/>
      <c r="C769" s="60"/>
      <c r="D769" s="60"/>
      <c r="E769" s="60"/>
      <c r="F769" s="60"/>
      <c r="G769" s="60"/>
      <c r="H769" s="60"/>
      <c r="I769" s="60"/>
      <c r="J769" s="60"/>
      <c r="K769" s="60"/>
      <c r="L769" s="60"/>
      <c r="M769" s="60"/>
    </row>
    <row r="770">
      <c r="A770" s="60"/>
      <c r="B770" s="60"/>
      <c r="C770" s="60"/>
      <c r="D770" s="60"/>
      <c r="E770" s="60"/>
      <c r="F770" s="60"/>
      <c r="G770" s="60"/>
      <c r="H770" s="60"/>
      <c r="I770" s="60"/>
      <c r="J770" s="60"/>
      <c r="K770" s="60"/>
      <c r="L770" s="60"/>
      <c r="M770" s="60"/>
    </row>
    <row r="771">
      <c r="A771" s="60"/>
      <c r="B771" s="60"/>
      <c r="C771" s="60"/>
      <c r="D771" s="60"/>
      <c r="E771" s="60"/>
      <c r="F771" s="60"/>
      <c r="G771" s="60"/>
      <c r="H771" s="60"/>
      <c r="I771" s="60"/>
      <c r="J771" s="60"/>
      <c r="K771" s="60"/>
      <c r="L771" s="60"/>
      <c r="M771" s="60"/>
    </row>
    <row r="772">
      <c r="A772" s="60"/>
      <c r="B772" s="60"/>
      <c r="C772" s="60"/>
      <c r="D772" s="60"/>
      <c r="E772" s="60"/>
      <c r="F772" s="60"/>
      <c r="G772" s="60"/>
      <c r="H772" s="60"/>
      <c r="I772" s="60"/>
      <c r="J772" s="60"/>
      <c r="K772" s="60"/>
      <c r="L772" s="60"/>
      <c r="M772" s="60"/>
    </row>
    <row r="773">
      <c r="A773" s="60"/>
      <c r="B773" s="60"/>
      <c r="C773" s="60"/>
      <c r="D773" s="60"/>
      <c r="E773" s="60"/>
      <c r="F773" s="60"/>
      <c r="G773" s="60"/>
      <c r="H773" s="60"/>
      <c r="I773" s="60"/>
      <c r="J773" s="60"/>
      <c r="K773" s="60"/>
      <c r="L773" s="60"/>
      <c r="M773" s="60"/>
    </row>
    <row r="774">
      <c r="A774" s="60"/>
      <c r="B774" s="60"/>
      <c r="C774" s="60"/>
      <c r="D774" s="60"/>
      <c r="E774" s="60"/>
      <c r="F774" s="60"/>
      <c r="G774" s="60"/>
      <c r="H774" s="60"/>
      <c r="I774" s="60"/>
      <c r="J774" s="60"/>
      <c r="K774" s="60"/>
      <c r="L774" s="60"/>
      <c r="M774" s="60"/>
    </row>
    <row r="775">
      <c r="A775" s="60"/>
      <c r="B775" s="60"/>
      <c r="C775" s="60"/>
      <c r="D775" s="60"/>
      <c r="E775" s="60"/>
      <c r="F775" s="60"/>
      <c r="G775" s="60"/>
      <c r="H775" s="60"/>
      <c r="I775" s="60"/>
      <c r="J775" s="60"/>
      <c r="K775" s="60"/>
      <c r="L775" s="60"/>
      <c r="M775" s="60"/>
    </row>
    <row r="776">
      <c r="A776" s="60"/>
      <c r="B776" s="60"/>
      <c r="C776" s="60"/>
      <c r="D776" s="60"/>
      <c r="E776" s="60"/>
      <c r="F776" s="60"/>
      <c r="G776" s="60"/>
      <c r="H776" s="60"/>
      <c r="I776" s="60"/>
      <c r="J776" s="60"/>
      <c r="K776" s="60"/>
      <c r="L776" s="60"/>
      <c r="M776" s="60"/>
    </row>
    <row r="777">
      <c r="A777" s="60"/>
      <c r="B777" s="60"/>
      <c r="C777" s="60"/>
      <c r="D777" s="60"/>
      <c r="E777" s="60"/>
      <c r="F777" s="60"/>
      <c r="G777" s="60"/>
      <c r="H777" s="60"/>
      <c r="I777" s="60"/>
      <c r="J777" s="60"/>
      <c r="K777" s="60"/>
      <c r="L777" s="60"/>
      <c r="M777" s="60"/>
    </row>
    <row r="778">
      <c r="A778" s="60"/>
      <c r="B778" s="60"/>
      <c r="C778" s="60"/>
      <c r="D778" s="60"/>
      <c r="E778" s="60"/>
      <c r="F778" s="60"/>
      <c r="G778" s="60"/>
      <c r="H778" s="60"/>
      <c r="I778" s="60"/>
      <c r="J778" s="60"/>
      <c r="K778" s="60"/>
      <c r="L778" s="60"/>
      <c r="M778" s="60"/>
    </row>
    <row r="779">
      <c r="A779" s="60"/>
      <c r="B779" s="60"/>
      <c r="C779" s="60"/>
      <c r="D779" s="60"/>
      <c r="E779" s="60"/>
      <c r="F779" s="60"/>
      <c r="G779" s="60"/>
      <c r="H779" s="60"/>
      <c r="I779" s="60"/>
      <c r="J779" s="60"/>
      <c r="K779" s="60"/>
      <c r="L779" s="60"/>
      <c r="M779" s="60"/>
    </row>
    <row r="780">
      <c r="A780" s="60"/>
      <c r="B780" s="60"/>
      <c r="C780" s="60"/>
      <c r="D780" s="60"/>
      <c r="E780" s="60"/>
      <c r="F780" s="60"/>
      <c r="G780" s="60"/>
      <c r="H780" s="60"/>
      <c r="I780" s="60"/>
      <c r="J780" s="60"/>
      <c r="K780" s="60"/>
      <c r="L780" s="60"/>
      <c r="M780" s="60"/>
    </row>
    <row r="781">
      <c r="A781" s="60"/>
      <c r="B781" s="60"/>
      <c r="C781" s="60"/>
      <c r="D781" s="60"/>
      <c r="E781" s="60"/>
      <c r="F781" s="60"/>
      <c r="G781" s="60"/>
      <c r="H781" s="60"/>
      <c r="I781" s="60"/>
      <c r="J781" s="60"/>
      <c r="K781" s="60"/>
      <c r="L781" s="60"/>
      <c r="M781" s="60"/>
    </row>
    <row r="782">
      <c r="A782" s="60"/>
      <c r="B782" s="60"/>
      <c r="C782" s="60"/>
      <c r="D782" s="60"/>
      <c r="E782" s="60"/>
      <c r="F782" s="60"/>
      <c r="G782" s="60"/>
      <c r="H782" s="60"/>
      <c r="I782" s="60"/>
      <c r="J782" s="60"/>
      <c r="K782" s="60"/>
      <c r="L782" s="60"/>
      <c r="M782" s="60"/>
    </row>
    <row r="783">
      <c r="A783" s="60"/>
      <c r="B783" s="60"/>
      <c r="C783" s="60"/>
      <c r="D783" s="60"/>
      <c r="E783" s="60"/>
      <c r="F783" s="60"/>
      <c r="G783" s="60"/>
      <c r="H783" s="60"/>
      <c r="I783" s="60"/>
      <c r="J783" s="60"/>
      <c r="K783" s="60"/>
      <c r="L783" s="60"/>
      <c r="M783" s="60"/>
    </row>
    <row r="784">
      <c r="A784" s="60"/>
      <c r="B784" s="60"/>
      <c r="C784" s="60"/>
      <c r="D784" s="60"/>
      <c r="E784" s="60"/>
      <c r="F784" s="60"/>
      <c r="G784" s="60"/>
      <c r="H784" s="60"/>
      <c r="I784" s="60"/>
      <c r="J784" s="60"/>
      <c r="K784" s="60"/>
      <c r="L784" s="60"/>
      <c r="M784" s="60"/>
    </row>
    <row r="785">
      <c r="A785" s="60"/>
      <c r="B785" s="60"/>
      <c r="C785" s="60"/>
      <c r="D785" s="60"/>
      <c r="E785" s="60"/>
      <c r="F785" s="60"/>
      <c r="G785" s="60"/>
      <c r="H785" s="60"/>
      <c r="I785" s="60"/>
      <c r="J785" s="60"/>
      <c r="K785" s="60"/>
      <c r="L785" s="60"/>
      <c r="M785" s="60"/>
    </row>
    <row r="786">
      <c r="A786" s="60"/>
      <c r="B786" s="60"/>
      <c r="C786" s="60"/>
      <c r="D786" s="60"/>
      <c r="E786" s="60"/>
      <c r="F786" s="60"/>
      <c r="G786" s="60"/>
      <c r="H786" s="60"/>
      <c r="I786" s="60"/>
      <c r="J786" s="60"/>
      <c r="K786" s="60"/>
      <c r="L786" s="60"/>
      <c r="M786" s="60"/>
    </row>
    <row r="787">
      <c r="A787" s="60"/>
      <c r="B787" s="60"/>
      <c r="C787" s="60"/>
      <c r="D787" s="60"/>
      <c r="E787" s="60"/>
      <c r="F787" s="60"/>
      <c r="G787" s="60"/>
      <c r="H787" s="60"/>
      <c r="I787" s="60"/>
      <c r="J787" s="60"/>
      <c r="K787" s="60"/>
      <c r="L787" s="60"/>
      <c r="M787" s="60"/>
    </row>
    <row r="788">
      <c r="A788" s="60"/>
      <c r="B788" s="60"/>
      <c r="C788" s="60"/>
      <c r="D788" s="60"/>
      <c r="E788" s="60"/>
      <c r="F788" s="60"/>
      <c r="G788" s="60"/>
      <c r="H788" s="60"/>
      <c r="I788" s="60"/>
      <c r="J788" s="60"/>
      <c r="K788" s="60"/>
      <c r="L788" s="60"/>
      <c r="M788" s="60"/>
    </row>
    <row r="789">
      <c r="A789" s="60"/>
      <c r="B789" s="60"/>
      <c r="C789" s="60"/>
      <c r="D789" s="60"/>
      <c r="E789" s="60"/>
      <c r="F789" s="60"/>
      <c r="G789" s="60"/>
      <c r="H789" s="60"/>
      <c r="I789" s="60"/>
      <c r="J789" s="60"/>
      <c r="K789" s="60"/>
      <c r="L789" s="60"/>
      <c r="M789" s="60"/>
    </row>
    <row r="790">
      <c r="A790" s="60"/>
      <c r="B790" s="60"/>
      <c r="C790" s="60"/>
      <c r="D790" s="60"/>
      <c r="E790" s="60"/>
      <c r="F790" s="60"/>
      <c r="G790" s="60"/>
      <c r="H790" s="60"/>
      <c r="I790" s="60"/>
      <c r="J790" s="60"/>
      <c r="K790" s="60"/>
      <c r="L790" s="60"/>
      <c r="M790" s="60"/>
    </row>
    <row r="791">
      <c r="A791" s="60"/>
      <c r="B791" s="60"/>
      <c r="C791" s="60"/>
      <c r="D791" s="60"/>
      <c r="E791" s="60"/>
      <c r="F791" s="60"/>
      <c r="G791" s="60"/>
      <c r="H791" s="60"/>
      <c r="I791" s="60"/>
      <c r="J791" s="60"/>
      <c r="K791" s="60"/>
      <c r="L791" s="60"/>
      <c r="M791" s="60"/>
    </row>
    <row r="792">
      <c r="A792" s="60"/>
      <c r="B792" s="60"/>
      <c r="C792" s="60"/>
      <c r="D792" s="60"/>
      <c r="E792" s="60"/>
      <c r="F792" s="60"/>
      <c r="G792" s="60"/>
      <c r="H792" s="60"/>
      <c r="I792" s="60"/>
      <c r="J792" s="60"/>
      <c r="K792" s="60"/>
      <c r="L792" s="60"/>
      <c r="M792" s="60"/>
    </row>
    <row r="793">
      <c r="A793" s="60"/>
      <c r="B793" s="60"/>
      <c r="C793" s="60"/>
      <c r="D793" s="60"/>
      <c r="E793" s="60"/>
      <c r="F793" s="60"/>
      <c r="G793" s="60"/>
      <c r="H793" s="60"/>
      <c r="I793" s="60"/>
      <c r="J793" s="60"/>
      <c r="K793" s="60"/>
      <c r="L793" s="60"/>
      <c r="M793" s="60"/>
    </row>
    <row r="794">
      <c r="A794" s="60"/>
      <c r="B794" s="60"/>
      <c r="C794" s="60"/>
      <c r="D794" s="60"/>
      <c r="E794" s="60"/>
      <c r="F794" s="60"/>
      <c r="G794" s="60"/>
      <c r="H794" s="60"/>
      <c r="I794" s="60"/>
      <c r="J794" s="60"/>
      <c r="K794" s="60"/>
      <c r="L794" s="60"/>
      <c r="M794" s="60"/>
    </row>
    <row r="795">
      <c r="A795" s="60"/>
      <c r="B795" s="60"/>
      <c r="C795" s="60"/>
      <c r="D795" s="60"/>
      <c r="E795" s="60"/>
      <c r="F795" s="60"/>
      <c r="G795" s="60"/>
      <c r="H795" s="60"/>
      <c r="I795" s="60"/>
      <c r="J795" s="60"/>
      <c r="K795" s="60"/>
      <c r="L795" s="60"/>
      <c r="M795" s="60"/>
    </row>
    <row r="796">
      <c r="A796" s="60"/>
      <c r="B796" s="60"/>
      <c r="C796" s="60"/>
      <c r="D796" s="60"/>
      <c r="E796" s="60"/>
      <c r="F796" s="60"/>
      <c r="G796" s="60"/>
      <c r="H796" s="60"/>
      <c r="I796" s="60"/>
      <c r="J796" s="60"/>
      <c r="K796" s="60"/>
      <c r="L796" s="60"/>
      <c r="M796" s="60"/>
    </row>
    <row r="797">
      <c r="A797" s="60"/>
      <c r="B797" s="60"/>
      <c r="C797" s="60"/>
      <c r="D797" s="60"/>
      <c r="E797" s="60"/>
      <c r="F797" s="60"/>
      <c r="G797" s="60"/>
      <c r="H797" s="60"/>
      <c r="I797" s="60"/>
      <c r="J797" s="60"/>
      <c r="K797" s="60"/>
      <c r="L797" s="60"/>
      <c r="M797" s="60"/>
    </row>
    <row r="798">
      <c r="A798" s="60"/>
      <c r="B798" s="60"/>
      <c r="C798" s="60"/>
      <c r="D798" s="60"/>
      <c r="E798" s="60"/>
      <c r="F798" s="60"/>
      <c r="G798" s="60"/>
      <c r="H798" s="60"/>
      <c r="I798" s="60"/>
      <c r="J798" s="60"/>
      <c r="K798" s="60"/>
      <c r="L798" s="60"/>
      <c r="M798" s="60"/>
    </row>
    <row r="799">
      <c r="A799" s="60"/>
      <c r="B799" s="60"/>
      <c r="C799" s="60"/>
      <c r="D799" s="60"/>
      <c r="E799" s="60"/>
      <c r="F799" s="60"/>
      <c r="G799" s="60"/>
      <c r="H799" s="60"/>
      <c r="I799" s="60"/>
      <c r="J799" s="60"/>
      <c r="K799" s="60"/>
      <c r="L799" s="60"/>
      <c r="M799" s="60"/>
    </row>
    <row r="800">
      <c r="A800" s="60"/>
      <c r="B800" s="60"/>
      <c r="C800" s="60"/>
      <c r="D800" s="60"/>
      <c r="E800" s="60"/>
      <c r="F800" s="60"/>
      <c r="G800" s="60"/>
      <c r="H800" s="60"/>
      <c r="I800" s="60"/>
      <c r="J800" s="60"/>
      <c r="K800" s="60"/>
      <c r="L800" s="60"/>
      <c r="M800" s="60"/>
    </row>
    <row r="801">
      <c r="A801" s="60"/>
      <c r="B801" s="60"/>
      <c r="C801" s="60"/>
      <c r="D801" s="60"/>
      <c r="E801" s="60"/>
      <c r="F801" s="60"/>
      <c r="G801" s="60"/>
      <c r="H801" s="60"/>
      <c r="I801" s="60"/>
      <c r="J801" s="60"/>
      <c r="K801" s="60"/>
      <c r="L801" s="60"/>
      <c r="M801" s="60"/>
    </row>
    <row r="802">
      <c r="A802" s="60"/>
      <c r="B802" s="60"/>
      <c r="C802" s="60"/>
      <c r="D802" s="60"/>
      <c r="E802" s="60"/>
      <c r="F802" s="60"/>
      <c r="G802" s="60"/>
      <c r="H802" s="60"/>
      <c r="I802" s="60"/>
      <c r="J802" s="60"/>
      <c r="K802" s="60"/>
      <c r="L802" s="60"/>
      <c r="M802" s="60"/>
    </row>
    <row r="803">
      <c r="A803" s="60"/>
      <c r="B803" s="60"/>
      <c r="C803" s="60"/>
      <c r="D803" s="60"/>
      <c r="E803" s="60"/>
      <c r="F803" s="60"/>
      <c r="G803" s="60"/>
      <c r="H803" s="60"/>
      <c r="I803" s="60"/>
      <c r="J803" s="60"/>
      <c r="K803" s="60"/>
      <c r="L803" s="60"/>
      <c r="M803" s="60"/>
    </row>
    <row r="804">
      <c r="A804" s="60"/>
      <c r="B804" s="60"/>
      <c r="C804" s="60"/>
      <c r="D804" s="60"/>
      <c r="E804" s="60"/>
      <c r="F804" s="60"/>
      <c r="G804" s="60"/>
      <c r="H804" s="60"/>
      <c r="I804" s="60"/>
      <c r="J804" s="60"/>
      <c r="K804" s="60"/>
      <c r="L804" s="60"/>
      <c r="M804" s="60"/>
    </row>
    <row r="805">
      <c r="A805" s="60"/>
      <c r="B805" s="60"/>
      <c r="C805" s="60"/>
      <c r="D805" s="60"/>
      <c r="E805" s="60"/>
      <c r="F805" s="60"/>
      <c r="G805" s="60"/>
      <c r="H805" s="60"/>
      <c r="I805" s="60"/>
      <c r="J805" s="60"/>
      <c r="K805" s="60"/>
      <c r="L805" s="60"/>
      <c r="M805" s="60"/>
    </row>
    <row r="806">
      <c r="A806" s="60"/>
      <c r="B806" s="60"/>
      <c r="C806" s="60"/>
      <c r="D806" s="60"/>
      <c r="E806" s="60"/>
      <c r="F806" s="60"/>
      <c r="G806" s="60"/>
      <c r="H806" s="60"/>
      <c r="I806" s="60"/>
      <c r="J806" s="60"/>
      <c r="K806" s="60"/>
      <c r="L806" s="60"/>
      <c r="M806" s="60"/>
    </row>
    <row r="807">
      <c r="A807" s="60"/>
      <c r="B807" s="60"/>
      <c r="C807" s="60"/>
      <c r="D807" s="60"/>
      <c r="E807" s="60"/>
      <c r="F807" s="60"/>
      <c r="G807" s="60"/>
      <c r="H807" s="60"/>
      <c r="I807" s="60"/>
      <c r="J807" s="60"/>
      <c r="K807" s="60"/>
      <c r="L807" s="60"/>
      <c r="M807" s="60"/>
    </row>
    <row r="808">
      <c r="A808" s="60"/>
      <c r="B808" s="60"/>
      <c r="C808" s="60"/>
      <c r="D808" s="60"/>
      <c r="E808" s="60"/>
      <c r="F808" s="60"/>
      <c r="G808" s="60"/>
      <c r="H808" s="60"/>
      <c r="I808" s="60"/>
      <c r="J808" s="60"/>
      <c r="K808" s="60"/>
      <c r="L808" s="60"/>
      <c r="M808" s="60"/>
    </row>
    <row r="809">
      <c r="A809" s="60"/>
      <c r="B809" s="60"/>
      <c r="C809" s="60"/>
      <c r="D809" s="60"/>
      <c r="E809" s="60"/>
      <c r="F809" s="60"/>
      <c r="G809" s="60"/>
      <c r="H809" s="60"/>
      <c r="I809" s="60"/>
      <c r="J809" s="60"/>
      <c r="K809" s="60"/>
      <c r="L809" s="60"/>
      <c r="M809" s="60"/>
    </row>
    <row r="810">
      <c r="A810" s="60"/>
      <c r="B810" s="60"/>
      <c r="C810" s="60"/>
      <c r="D810" s="60"/>
      <c r="E810" s="60"/>
      <c r="F810" s="60"/>
      <c r="G810" s="60"/>
      <c r="H810" s="60"/>
      <c r="I810" s="60"/>
      <c r="J810" s="60"/>
      <c r="K810" s="60"/>
      <c r="L810" s="60"/>
      <c r="M810" s="60"/>
    </row>
    <row r="811">
      <c r="A811" s="60"/>
      <c r="B811" s="60"/>
      <c r="C811" s="60"/>
      <c r="D811" s="60"/>
      <c r="E811" s="60"/>
      <c r="F811" s="60"/>
      <c r="G811" s="60"/>
      <c r="H811" s="60"/>
      <c r="I811" s="60"/>
      <c r="J811" s="60"/>
      <c r="K811" s="60"/>
      <c r="L811" s="60"/>
      <c r="M811" s="60"/>
    </row>
    <row r="812">
      <c r="A812" s="60"/>
      <c r="B812" s="60"/>
      <c r="C812" s="60"/>
      <c r="D812" s="60"/>
      <c r="E812" s="60"/>
      <c r="F812" s="60"/>
      <c r="G812" s="60"/>
      <c r="H812" s="60"/>
      <c r="I812" s="60"/>
      <c r="J812" s="60"/>
      <c r="K812" s="60"/>
      <c r="L812" s="60"/>
      <c r="M812" s="60"/>
    </row>
    <row r="813">
      <c r="A813" s="60"/>
      <c r="B813" s="60"/>
      <c r="C813" s="60"/>
      <c r="D813" s="60"/>
      <c r="E813" s="60"/>
      <c r="F813" s="60"/>
      <c r="G813" s="60"/>
      <c r="H813" s="60"/>
      <c r="I813" s="60"/>
      <c r="J813" s="60"/>
      <c r="K813" s="60"/>
      <c r="L813" s="60"/>
      <c r="M813" s="60"/>
    </row>
    <row r="814">
      <c r="A814" s="60"/>
      <c r="B814" s="60"/>
      <c r="C814" s="60"/>
      <c r="D814" s="60"/>
      <c r="E814" s="60"/>
      <c r="F814" s="60"/>
      <c r="G814" s="60"/>
      <c r="H814" s="60"/>
      <c r="I814" s="60"/>
      <c r="J814" s="60"/>
      <c r="K814" s="60"/>
      <c r="L814" s="60"/>
      <c r="M814" s="60"/>
    </row>
    <row r="815">
      <c r="A815" s="60"/>
      <c r="B815" s="60"/>
      <c r="C815" s="60"/>
      <c r="D815" s="60"/>
      <c r="E815" s="60"/>
      <c r="F815" s="60"/>
      <c r="G815" s="60"/>
      <c r="H815" s="60"/>
      <c r="I815" s="60"/>
      <c r="J815" s="60"/>
      <c r="K815" s="60"/>
      <c r="L815" s="60"/>
      <c r="M815" s="60"/>
    </row>
    <row r="816">
      <c r="A816" s="60"/>
      <c r="B816" s="60"/>
      <c r="C816" s="60"/>
      <c r="D816" s="60"/>
      <c r="E816" s="60"/>
      <c r="F816" s="60"/>
      <c r="G816" s="60"/>
      <c r="H816" s="60"/>
      <c r="I816" s="60"/>
      <c r="J816" s="60"/>
      <c r="K816" s="60"/>
      <c r="L816" s="60"/>
      <c r="M816" s="60"/>
    </row>
    <row r="817">
      <c r="A817" s="60"/>
      <c r="B817" s="60"/>
      <c r="C817" s="60"/>
      <c r="D817" s="60"/>
      <c r="E817" s="60"/>
      <c r="F817" s="60"/>
      <c r="G817" s="60"/>
      <c r="H817" s="60"/>
      <c r="I817" s="60"/>
      <c r="J817" s="60"/>
      <c r="K817" s="60"/>
      <c r="L817" s="60"/>
      <c r="M817" s="60"/>
    </row>
    <row r="818">
      <c r="A818" s="60"/>
      <c r="B818" s="60"/>
      <c r="C818" s="60"/>
      <c r="D818" s="60"/>
      <c r="E818" s="60"/>
      <c r="F818" s="60"/>
      <c r="G818" s="60"/>
      <c r="H818" s="60"/>
      <c r="I818" s="60"/>
      <c r="J818" s="60"/>
      <c r="K818" s="60"/>
      <c r="L818" s="60"/>
      <c r="M818" s="60"/>
    </row>
    <row r="819">
      <c r="A819" s="60"/>
      <c r="B819" s="60"/>
      <c r="C819" s="60"/>
      <c r="D819" s="60"/>
      <c r="E819" s="60"/>
      <c r="F819" s="60"/>
      <c r="G819" s="60"/>
      <c r="H819" s="60"/>
      <c r="I819" s="60"/>
      <c r="J819" s="60"/>
      <c r="K819" s="60"/>
      <c r="L819" s="60"/>
      <c r="M819" s="60"/>
    </row>
    <row r="820">
      <c r="A820" s="60"/>
      <c r="B820" s="60"/>
      <c r="C820" s="60"/>
      <c r="D820" s="60"/>
      <c r="E820" s="60"/>
      <c r="F820" s="60"/>
      <c r="G820" s="60"/>
      <c r="H820" s="60"/>
      <c r="I820" s="60"/>
      <c r="J820" s="60"/>
      <c r="K820" s="60"/>
      <c r="L820" s="60"/>
      <c r="M820" s="60"/>
    </row>
    <row r="821">
      <c r="A821" s="60"/>
      <c r="B821" s="60"/>
      <c r="C821" s="60"/>
      <c r="D821" s="60"/>
      <c r="E821" s="60"/>
      <c r="F821" s="60"/>
      <c r="G821" s="60"/>
      <c r="H821" s="60"/>
      <c r="I821" s="60"/>
      <c r="J821" s="60"/>
      <c r="K821" s="60"/>
      <c r="L821" s="60"/>
      <c r="M821" s="60"/>
    </row>
    <row r="822">
      <c r="A822" s="60"/>
      <c r="B822" s="60"/>
      <c r="C822" s="60"/>
      <c r="D822" s="60"/>
      <c r="E822" s="60"/>
      <c r="F822" s="60"/>
      <c r="G822" s="60"/>
      <c r="H822" s="60"/>
      <c r="I822" s="60"/>
      <c r="J822" s="60"/>
      <c r="K822" s="60"/>
      <c r="L822" s="60"/>
      <c r="M822" s="60"/>
    </row>
    <row r="823">
      <c r="A823" s="60"/>
      <c r="B823" s="60"/>
      <c r="C823" s="60"/>
      <c r="D823" s="60"/>
      <c r="E823" s="60"/>
      <c r="F823" s="60"/>
      <c r="G823" s="60"/>
      <c r="H823" s="60"/>
      <c r="I823" s="60"/>
      <c r="J823" s="60"/>
      <c r="K823" s="60"/>
      <c r="L823" s="60"/>
      <c r="M823" s="60"/>
    </row>
    <row r="824">
      <c r="A824" s="60"/>
      <c r="B824" s="60"/>
      <c r="C824" s="60"/>
      <c r="D824" s="60"/>
      <c r="E824" s="60"/>
      <c r="F824" s="60"/>
      <c r="G824" s="60"/>
      <c r="H824" s="60"/>
      <c r="I824" s="60"/>
      <c r="J824" s="60"/>
      <c r="K824" s="60"/>
      <c r="L824" s="60"/>
      <c r="M824" s="60"/>
    </row>
    <row r="825">
      <c r="A825" s="60"/>
      <c r="B825" s="60"/>
      <c r="C825" s="60"/>
      <c r="D825" s="60"/>
      <c r="E825" s="60"/>
      <c r="F825" s="60"/>
      <c r="G825" s="60"/>
      <c r="H825" s="60"/>
      <c r="I825" s="60"/>
      <c r="J825" s="60"/>
      <c r="K825" s="60"/>
      <c r="L825" s="60"/>
      <c r="M825" s="60"/>
    </row>
    <row r="826">
      <c r="A826" s="60"/>
      <c r="B826" s="60"/>
      <c r="C826" s="60"/>
      <c r="D826" s="60"/>
      <c r="E826" s="60"/>
      <c r="F826" s="60"/>
      <c r="G826" s="60"/>
      <c r="H826" s="60"/>
      <c r="I826" s="60"/>
      <c r="J826" s="60"/>
      <c r="K826" s="60"/>
      <c r="L826" s="60"/>
      <c r="M826" s="60"/>
    </row>
    <row r="827">
      <c r="A827" s="60"/>
      <c r="B827" s="60"/>
      <c r="C827" s="60"/>
      <c r="D827" s="60"/>
      <c r="E827" s="60"/>
      <c r="F827" s="60"/>
      <c r="G827" s="60"/>
      <c r="H827" s="60"/>
      <c r="I827" s="60"/>
      <c r="J827" s="60"/>
      <c r="K827" s="60"/>
      <c r="L827" s="60"/>
      <c r="M827" s="60"/>
    </row>
    <row r="828">
      <c r="A828" s="60"/>
      <c r="B828" s="60"/>
      <c r="C828" s="60"/>
      <c r="D828" s="60"/>
      <c r="E828" s="60"/>
      <c r="F828" s="60"/>
      <c r="G828" s="60"/>
      <c r="H828" s="60"/>
      <c r="I828" s="60"/>
      <c r="J828" s="60"/>
      <c r="K828" s="60"/>
      <c r="L828" s="60"/>
      <c r="M828" s="60"/>
    </row>
    <row r="829">
      <c r="A829" s="60"/>
      <c r="B829" s="60"/>
      <c r="C829" s="60"/>
      <c r="D829" s="60"/>
      <c r="E829" s="60"/>
      <c r="F829" s="60"/>
      <c r="G829" s="60"/>
      <c r="H829" s="60"/>
      <c r="I829" s="60"/>
      <c r="J829" s="60"/>
      <c r="K829" s="60"/>
      <c r="L829" s="60"/>
      <c r="M829" s="60"/>
    </row>
    <row r="830">
      <c r="A830" s="60"/>
      <c r="B830" s="60"/>
      <c r="C830" s="60"/>
      <c r="D830" s="60"/>
      <c r="E830" s="60"/>
      <c r="F830" s="60"/>
      <c r="G830" s="60"/>
      <c r="H830" s="60"/>
      <c r="I830" s="60"/>
      <c r="J830" s="60"/>
      <c r="K830" s="60"/>
      <c r="L830" s="60"/>
      <c r="M830" s="60"/>
    </row>
    <row r="831">
      <c r="A831" s="60"/>
      <c r="B831" s="60"/>
      <c r="C831" s="60"/>
      <c r="D831" s="60"/>
      <c r="E831" s="60"/>
      <c r="F831" s="60"/>
      <c r="G831" s="60"/>
      <c r="H831" s="60"/>
      <c r="I831" s="60"/>
      <c r="J831" s="60"/>
      <c r="K831" s="60"/>
      <c r="L831" s="60"/>
      <c r="M831" s="60"/>
    </row>
    <row r="832">
      <c r="A832" s="60"/>
      <c r="B832" s="60"/>
      <c r="C832" s="60"/>
      <c r="D832" s="60"/>
      <c r="E832" s="60"/>
      <c r="F832" s="60"/>
      <c r="G832" s="60"/>
      <c r="H832" s="60"/>
      <c r="I832" s="60"/>
      <c r="J832" s="60"/>
      <c r="K832" s="60"/>
      <c r="L832" s="60"/>
      <c r="M832" s="60"/>
    </row>
    <row r="833">
      <c r="A833" s="60"/>
      <c r="B833" s="60"/>
      <c r="C833" s="60"/>
      <c r="D833" s="60"/>
      <c r="E833" s="60"/>
      <c r="F833" s="60"/>
      <c r="G833" s="60"/>
      <c r="H833" s="60"/>
      <c r="I833" s="60"/>
      <c r="J833" s="60"/>
      <c r="K833" s="60"/>
      <c r="L833" s="60"/>
      <c r="M833" s="60"/>
    </row>
    <row r="834">
      <c r="A834" s="60"/>
      <c r="B834" s="60"/>
      <c r="C834" s="60"/>
      <c r="D834" s="60"/>
      <c r="E834" s="60"/>
      <c r="F834" s="60"/>
      <c r="G834" s="60"/>
      <c r="H834" s="60"/>
      <c r="I834" s="60"/>
      <c r="J834" s="60"/>
      <c r="K834" s="60"/>
      <c r="L834" s="60"/>
      <c r="M834" s="60"/>
    </row>
    <row r="835">
      <c r="A835" s="60"/>
      <c r="B835" s="60"/>
      <c r="C835" s="60"/>
      <c r="D835" s="60"/>
      <c r="E835" s="60"/>
      <c r="F835" s="60"/>
      <c r="G835" s="60"/>
      <c r="H835" s="60"/>
      <c r="I835" s="60"/>
      <c r="J835" s="60"/>
      <c r="K835" s="60"/>
      <c r="L835" s="60"/>
      <c r="M835" s="60"/>
    </row>
    <row r="836">
      <c r="A836" s="60"/>
      <c r="B836" s="60"/>
      <c r="C836" s="60"/>
      <c r="D836" s="60"/>
      <c r="E836" s="60"/>
      <c r="F836" s="60"/>
      <c r="G836" s="60"/>
      <c r="H836" s="60"/>
      <c r="I836" s="60"/>
      <c r="J836" s="60"/>
      <c r="K836" s="60"/>
      <c r="L836" s="60"/>
      <c r="M836" s="60"/>
    </row>
    <row r="837">
      <c r="A837" s="60"/>
      <c r="B837" s="60"/>
      <c r="C837" s="60"/>
      <c r="D837" s="60"/>
      <c r="E837" s="60"/>
      <c r="F837" s="60"/>
      <c r="G837" s="60"/>
      <c r="H837" s="60"/>
      <c r="I837" s="60"/>
      <c r="J837" s="60"/>
      <c r="K837" s="60"/>
      <c r="L837" s="60"/>
      <c r="M837" s="60"/>
    </row>
    <row r="838">
      <c r="A838" s="60"/>
      <c r="B838" s="60"/>
      <c r="C838" s="60"/>
      <c r="D838" s="60"/>
      <c r="E838" s="60"/>
      <c r="F838" s="60"/>
      <c r="G838" s="60"/>
      <c r="H838" s="60"/>
      <c r="I838" s="60"/>
      <c r="J838" s="60"/>
      <c r="K838" s="60"/>
      <c r="L838" s="60"/>
      <c r="M838" s="60"/>
    </row>
    <row r="839">
      <c r="A839" s="60"/>
      <c r="B839" s="60"/>
      <c r="C839" s="60"/>
      <c r="D839" s="60"/>
      <c r="E839" s="60"/>
      <c r="F839" s="60"/>
      <c r="G839" s="60"/>
      <c r="H839" s="60"/>
      <c r="I839" s="60"/>
      <c r="J839" s="60"/>
      <c r="K839" s="60"/>
      <c r="L839" s="60"/>
      <c r="M839" s="60"/>
    </row>
    <row r="840">
      <c r="A840" s="60"/>
      <c r="B840" s="60"/>
      <c r="C840" s="60"/>
      <c r="D840" s="60"/>
      <c r="E840" s="60"/>
      <c r="F840" s="60"/>
      <c r="G840" s="60"/>
      <c r="H840" s="60"/>
      <c r="I840" s="60"/>
      <c r="J840" s="60"/>
      <c r="K840" s="60"/>
      <c r="L840" s="60"/>
      <c r="M840" s="60"/>
    </row>
    <row r="841">
      <c r="A841" s="60"/>
      <c r="B841" s="60"/>
      <c r="C841" s="60"/>
      <c r="D841" s="60"/>
      <c r="E841" s="60"/>
      <c r="F841" s="60"/>
      <c r="G841" s="60"/>
      <c r="H841" s="60"/>
      <c r="I841" s="60"/>
      <c r="J841" s="60"/>
      <c r="K841" s="60"/>
      <c r="L841" s="60"/>
      <c r="M841" s="60"/>
    </row>
    <row r="842">
      <c r="A842" s="60"/>
      <c r="B842" s="60"/>
      <c r="C842" s="60"/>
      <c r="D842" s="60"/>
      <c r="E842" s="60"/>
      <c r="F842" s="60"/>
      <c r="G842" s="60"/>
      <c r="H842" s="60"/>
      <c r="I842" s="60"/>
      <c r="J842" s="60"/>
      <c r="K842" s="60"/>
      <c r="L842" s="60"/>
      <c r="M842" s="60"/>
    </row>
    <row r="843">
      <c r="A843" s="60"/>
      <c r="B843" s="60"/>
      <c r="C843" s="60"/>
      <c r="D843" s="60"/>
      <c r="E843" s="60"/>
      <c r="F843" s="60"/>
      <c r="G843" s="60"/>
      <c r="H843" s="60"/>
      <c r="I843" s="60"/>
      <c r="J843" s="60"/>
      <c r="K843" s="60"/>
      <c r="L843" s="60"/>
      <c r="M843" s="60"/>
    </row>
    <row r="844">
      <c r="A844" s="60"/>
      <c r="B844" s="60"/>
      <c r="C844" s="60"/>
      <c r="D844" s="60"/>
      <c r="E844" s="60"/>
      <c r="F844" s="60"/>
      <c r="G844" s="60"/>
      <c r="H844" s="60"/>
      <c r="I844" s="60"/>
      <c r="J844" s="60"/>
      <c r="K844" s="60"/>
      <c r="L844" s="60"/>
      <c r="M844" s="60"/>
    </row>
    <row r="845">
      <c r="A845" s="60"/>
      <c r="B845" s="60"/>
      <c r="C845" s="60"/>
      <c r="D845" s="60"/>
      <c r="E845" s="60"/>
      <c r="F845" s="60"/>
      <c r="G845" s="60"/>
      <c r="H845" s="60"/>
      <c r="I845" s="60"/>
      <c r="J845" s="60"/>
      <c r="K845" s="60"/>
      <c r="L845" s="60"/>
      <c r="M845" s="60"/>
    </row>
    <row r="846">
      <c r="A846" s="60"/>
      <c r="B846" s="60"/>
      <c r="C846" s="60"/>
      <c r="D846" s="60"/>
      <c r="E846" s="60"/>
      <c r="F846" s="60"/>
      <c r="G846" s="60"/>
      <c r="H846" s="60"/>
      <c r="I846" s="60"/>
      <c r="J846" s="60"/>
      <c r="K846" s="60"/>
      <c r="L846" s="60"/>
      <c r="M846" s="60"/>
    </row>
    <row r="847">
      <c r="A847" s="60"/>
      <c r="B847" s="60"/>
      <c r="C847" s="60"/>
      <c r="D847" s="60"/>
      <c r="E847" s="60"/>
      <c r="F847" s="60"/>
      <c r="G847" s="60"/>
      <c r="H847" s="60"/>
      <c r="I847" s="60"/>
      <c r="J847" s="60"/>
      <c r="K847" s="60"/>
      <c r="L847" s="60"/>
      <c r="M847" s="60"/>
    </row>
    <row r="848">
      <c r="A848" s="60"/>
      <c r="B848" s="60"/>
      <c r="C848" s="60"/>
      <c r="D848" s="60"/>
      <c r="E848" s="60"/>
      <c r="F848" s="60"/>
      <c r="G848" s="60"/>
      <c r="H848" s="60"/>
      <c r="I848" s="60"/>
      <c r="J848" s="60"/>
      <c r="K848" s="60"/>
      <c r="L848" s="60"/>
      <c r="M848" s="60"/>
    </row>
    <row r="849">
      <c r="A849" s="60"/>
      <c r="B849" s="60"/>
      <c r="C849" s="60"/>
      <c r="D849" s="60"/>
      <c r="E849" s="60"/>
      <c r="F849" s="60"/>
      <c r="G849" s="60"/>
      <c r="H849" s="60"/>
      <c r="I849" s="60"/>
      <c r="J849" s="60"/>
      <c r="K849" s="60"/>
      <c r="L849" s="60"/>
      <c r="M849" s="60"/>
    </row>
    <row r="850">
      <c r="A850" s="60"/>
      <c r="B850" s="60"/>
      <c r="C850" s="60"/>
      <c r="D850" s="60"/>
      <c r="E850" s="60"/>
      <c r="F850" s="60"/>
      <c r="G850" s="60"/>
      <c r="H850" s="60"/>
      <c r="I850" s="60"/>
      <c r="J850" s="60"/>
      <c r="K850" s="60"/>
      <c r="L850" s="60"/>
      <c r="M850" s="60"/>
    </row>
    <row r="851">
      <c r="A851" s="60"/>
      <c r="B851" s="60"/>
      <c r="C851" s="60"/>
      <c r="D851" s="60"/>
      <c r="E851" s="60"/>
      <c r="F851" s="60"/>
      <c r="G851" s="60"/>
      <c r="H851" s="60"/>
      <c r="I851" s="60"/>
      <c r="J851" s="60"/>
      <c r="K851" s="60"/>
      <c r="L851" s="60"/>
      <c r="M851" s="60"/>
    </row>
    <row r="852">
      <c r="A852" s="60"/>
      <c r="B852" s="60"/>
      <c r="C852" s="60"/>
      <c r="D852" s="60"/>
      <c r="E852" s="60"/>
      <c r="F852" s="60"/>
      <c r="G852" s="60"/>
      <c r="H852" s="60"/>
      <c r="I852" s="60"/>
      <c r="J852" s="60"/>
      <c r="K852" s="60"/>
      <c r="L852" s="60"/>
      <c r="M852" s="60"/>
    </row>
    <row r="853">
      <c r="A853" s="60"/>
      <c r="B853" s="60"/>
      <c r="C853" s="60"/>
      <c r="D853" s="60"/>
      <c r="E853" s="60"/>
      <c r="F853" s="60"/>
      <c r="G853" s="60"/>
      <c r="H853" s="60"/>
      <c r="I853" s="60"/>
      <c r="J853" s="60"/>
      <c r="K853" s="60"/>
      <c r="L853" s="60"/>
      <c r="M853" s="60"/>
    </row>
    <row r="854">
      <c r="A854" s="60"/>
      <c r="B854" s="60"/>
      <c r="C854" s="60"/>
      <c r="D854" s="60"/>
      <c r="E854" s="60"/>
      <c r="F854" s="60"/>
      <c r="G854" s="60"/>
      <c r="H854" s="60"/>
      <c r="I854" s="60"/>
      <c r="J854" s="60"/>
      <c r="K854" s="60"/>
      <c r="L854" s="60"/>
      <c r="M854" s="60"/>
    </row>
    <row r="855">
      <c r="A855" s="60"/>
      <c r="B855" s="60"/>
      <c r="C855" s="60"/>
      <c r="D855" s="60"/>
      <c r="E855" s="60"/>
      <c r="F855" s="60"/>
      <c r="G855" s="60"/>
      <c r="H855" s="60"/>
      <c r="I855" s="60"/>
      <c r="J855" s="60"/>
      <c r="K855" s="60"/>
      <c r="L855" s="60"/>
      <c r="M855" s="60"/>
    </row>
    <row r="856">
      <c r="A856" s="60"/>
      <c r="B856" s="60"/>
      <c r="C856" s="60"/>
      <c r="D856" s="60"/>
      <c r="E856" s="60"/>
      <c r="F856" s="60"/>
      <c r="G856" s="60"/>
      <c r="H856" s="60"/>
      <c r="I856" s="60"/>
      <c r="J856" s="60"/>
      <c r="K856" s="60"/>
      <c r="L856" s="60"/>
      <c r="M856" s="60"/>
    </row>
    <row r="857">
      <c r="A857" s="60"/>
      <c r="B857" s="60"/>
      <c r="C857" s="60"/>
      <c r="D857" s="60"/>
      <c r="E857" s="60"/>
      <c r="F857" s="60"/>
      <c r="G857" s="60"/>
      <c r="H857" s="60"/>
      <c r="I857" s="60"/>
      <c r="J857" s="60"/>
      <c r="K857" s="60"/>
      <c r="L857" s="60"/>
      <c r="M857" s="60"/>
    </row>
    <row r="858">
      <c r="A858" s="60"/>
      <c r="B858" s="60"/>
      <c r="C858" s="60"/>
      <c r="D858" s="60"/>
      <c r="E858" s="60"/>
      <c r="F858" s="60"/>
      <c r="G858" s="60"/>
      <c r="H858" s="60"/>
      <c r="I858" s="60"/>
      <c r="J858" s="60"/>
      <c r="K858" s="60"/>
      <c r="L858" s="60"/>
      <c r="M858" s="60"/>
    </row>
    <row r="859">
      <c r="A859" s="60"/>
      <c r="B859" s="60"/>
      <c r="C859" s="60"/>
      <c r="D859" s="60"/>
      <c r="E859" s="60"/>
      <c r="F859" s="60"/>
      <c r="G859" s="60"/>
      <c r="H859" s="60"/>
      <c r="I859" s="60"/>
      <c r="J859" s="60"/>
      <c r="K859" s="60"/>
      <c r="L859" s="60"/>
      <c r="M859" s="60"/>
    </row>
    <row r="860">
      <c r="A860" s="60"/>
      <c r="B860" s="60"/>
      <c r="C860" s="60"/>
      <c r="D860" s="60"/>
      <c r="E860" s="60"/>
      <c r="F860" s="60"/>
      <c r="G860" s="60"/>
      <c r="H860" s="60"/>
      <c r="I860" s="60"/>
      <c r="J860" s="60"/>
      <c r="K860" s="60"/>
      <c r="L860" s="60"/>
      <c r="M860" s="60"/>
    </row>
    <row r="861">
      <c r="A861" s="60"/>
      <c r="B861" s="60"/>
      <c r="C861" s="60"/>
      <c r="D861" s="60"/>
      <c r="E861" s="60"/>
      <c r="F861" s="60"/>
      <c r="G861" s="60"/>
      <c r="H861" s="60"/>
      <c r="I861" s="60"/>
      <c r="J861" s="60"/>
      <c r="K861" s="60"/>
      <c r="L861" s="60"/>
      <c r="M861" s="60"/>
    </row>
    <row r="862">
      <c r="A862" s="60"/>
      <c r="B862" s="60"/>
      <c r="C862" s="60"/>
      <c r="D862" s="60"/>
      <c r="E862" s="60"/>
      <c r="F862" s="60"/>
      <c r="G862" s="60"/>
      <c r="H862" s="60"/>
      <c r="I862" s="60"/>
      <c r="J862" s="60"/>
      <c r="K862" s="60"/>
      <c r="L862" s="60"/>
      <c r="M862" s="60"/>
    </row>
    <row r="863">
      <c r="A863" s="60"/>
      <c r="B863" s="60"/>
      <c r="C863" s="60"/>
      <c r="D863" s="60"/>
      <c r="E863" s="60"/>
      <c r="F863" s="60"/>
      <c r="G863" s="60"/>
      <c r="H863" s="60"/>
      <c r="I863" s="60"/>
      <c r="J863" s="60"/>
      <c r="K863" s="60"/>
      <c r="L863" s="60"/>
      <c r="M863" s="60"/>
    </row>
    <row r="864">
      <c r="A864" s="60"/>
      <c r="B864" s="60"/>
      <c r="C864" s="60"/>
      <c r="D864" s="60"/>
      <c r="E864" s="60"/>
      <c r="F864" s="60"/>
      <c r="G864" s="60"/>
      <c r="H864" s="60"/>
      <c r="I864" s="60"/>
      <c r="J864" s="60"/>
      <c r="K864" s="60"/>
      <c r="L864" s="60"/>
      <c r="M864" s="60"/>
    </row>
    <row r="865">
      <c r="A865" s="60"/>
      <c r="B865" s="60"/>
      <c r="C865" s="60"/>
      <c r="D865" s="60"/>
      <c r="E865" s="60"/>
      <c r="F865" s="60"/>
      <c r="G865" s="60"/>
      <c r="H865" s="60"/>
      <c r="I865" s="60"/>
      <c r="J865" s="60"/>
      <c r="K865" s="60"/>
      <c r="L865" s="60"/>
      <c r="M865" s="60"/>
    </row>
    <row r="866">
      <c r="A866" s="60"/>
      <c r="B866" s="60"/>
      <c r="C866" s="60"/>
      <c r="D866" s="60"/>
      <c r="E866" s="60"/>
      <c r="F866" s="60"/>
      <c r="G866" s="60"/>
      <c r="H866" s="60"/>
      <c r="I866" s="60"/>
      <c r="J866" s="60"/>
      <c r="K866" s="60"/>
      <c r="L866" s="60"/>
      <c r="M866" s="60"/>
    </row>
    <row r="867">
      <c r="A867" s="60"/>
      <c r="B867" s="60"/>
      <c r="C867" s="60"/>
      <c r="D867" s="60"/>
      <c r="E867" s="60"/>
      <c r="F867" s="60"/>
      <c r="G867" s="60"/>
      <c r="H867" s="60"/>
      <c r="I867" s="60"/>
      <c r="J867" s="60"/>
      <c r="K867" s="60"/>
      <c r="L867" s="60"/>
      <c r="M867" s="60"/>
    </row>
    <row r="868">
      <c r="A868" s="60"/>
      <c r="B868" s="60"/>
      <c r="C868" s="60"/>
      <c r="D868" s="60"/>
      <c r="E868" s="60"/>
      <c r="F868" s="60"/>
      <c r="G868" s="60"/>
      <c r="H868" s="60"/>
      <c r="I868" s="60"/>
      <c r="J868" s="60"/>
      <c r="K868" s="60"/>
      <c r="L868" s="60"/>
      <c r="M868" s="60"/>
    </row>
    <row r="869">
      <c r="A869" s="60"/>
      <c r="B869" s="60"/>
      <c r="C869" s="60"/>
      <c r="D869" s="60"/>
      <c r="E869" s="60"/>
      <c r="F869" s="60"/>
      <c r="G869" s="60"/>
      <c r="H869" s="60"/>
      <c r="I869" s="60"/>
      <c r="J869" s="60"/>
      <c r="K869" s="60"/>
      <c r="L869" s="60"/>
      <c r="M869" s="60"/>
    </row>
    <row r="870">
      <c r="A870" s="60"/>
      <c r="B870" s="60"/>
      <c r="C870" s="60"/>
      <c r="D870" s="60"/>
      <c r="E870" s="60"/>
      <c r="F870" s="60"/>
      <c r="G870" s="60"/>
      <c r="H870" s="60"/>
      <c r="I870" s="60"/>
      <c r="J870" s="60"/>
      <c r="K870" s="60"/>
      <c r="L870" s="60"/>
      <c r="M870" s="60"/>
    </row>
    <row r="871">
      <c r="A871" s="60"/>
      <c r="B871" s="60"/>
      <c r="C871" s="60"/>
      <c r="D871" s="60"/>
      <c r="E871" s="60"/>
      <c r="F871" s="60"/>
      <c r="G871" s="60"/>
      <c r="H871" s="60"/>
      <c r="I871" s="60"/>
      <c r="J871" s="60"/>
      <c r="K871" s="60"/>
      <c r="L871" s="60"/>
      <c r="M871" s="60"/>
    </row>
    <row r="872">
      <c r="A872" s="60"/>
      <c r="B872" s="60"/>
      <c r="C872" s="60"/>
      <c r="D872" s="60"/>
      <c r="E872" s="60"/>
      <c r="F872" s="60"/>
      <c r="G872" s="60"/>
      <c r="H872" s="60"/>
      <c r="I872" s="60"/>
      <c r="J872" s="60"/>
      <c r="K872" s="60"/>
      <c r="L872" s="60"/>
      <c r="M872" s="60"/>
    </row>
    <row r="873">
      <c r="A873" s="60"/>
      <c r="B873" s="60"/>
      <c r="C873" s="60"/>
      <c r="D873" s="60"/>
      <c r="E873" s="60"/>
      <c r="F873" s="60"/>
      <c r="G873" s="60"/>
      <c r="H873" s="60"/>
      <c r="I873" s="60"/>
      <c r="J873" s="60"/>
      <c r="K873" s="60"/>
      <c r="L873" s="60"/>
      <c r="M873" s="60"/>
    </row>
    <row r="874">
      <c r="A874" s="60"/>
      <c r="B874" s="60"/>
      <c r="C874" s="60"/>
      <c r="D874" s="60"/>
      <c r="E874" s="60"/>
      <c r="F874" s="60"/>
      <c r="G874" s="60"/>
      <c r="H874" s="60"/>
      <c r="I874" s="60"/>
      <c r="J874" s="60"/>
      <c r="K874" s="60"/>
      <c r="L874" s="60"/>
      <c r="M874" s="60"/>
    </row>
    <row r="875">
      <c r="A875" s="60"/>
      <c r="B875" s="60"/>
      <c r="C875" s="60"/>
      <c r="D875" s="60"/>
      <c r="E875" s="60"/>
      <c r="F875" s="60"/>
      <c r="G875" s="60"/>
      <c r="H875" s="60"/>
      <c r="I875" s="60"/>
      <c r="J875" s="60"/>
      <c r="K875" s="60"/>
      <c r="L875" s="60"/>
      <c r="M875" s="60"/>
    </row>
    <row r="876">
      <c r="A876" s="60"/>
      <c r="B876" s="60"/>
      <c r="C876" s="60"/>
      <c r="D876" s="60"/>
      <c r="E876" s="60"/>
      <c r="F876" s="60"/>
      <c r="G876" s="60"/>
      <c r="H876" s="60"/>
      <c r="I876" s="60"/>
      <c r="J876" s="60"/>
      <c r="K876" s="60"/>
      <c r="L876" s="60"/>
      <c r="M876" s="60"/>
    </row>
    <row r="877">
      <c r="A877" s="60"/>
      <c r="B877" s="60"/>
      <c r="C877" s="60"/>
      <c r="D877" s="60"/>
      <c r="E877" s="60"/>
      <c r="F877" s="60"/>
      <c r="G877" s="60"/>
      <c r="H877" s="60"/>
      <c r="I877" s="60"/>
      <c r="J877" s="60"/>
      <c r="K877" s="60"/>
      <c r="L877" s="60"/>
      <c r="M877" s="60"/>
    </row>
    <row r="878">
      <c r="A878" s="60"/>
      <c r="B878" s="60"/>
      <c r="C878" s="60"/>
      <c r="D878" s="60"/>
      <c r="E878" s="60"/>
      <c r="F878" s="60"/>
      <c r="G878" s="60"/>
      <c r="H878" s="60"/>
      <c r="I878" s="60"/>
      <c r="J878" s="60"/>
      <c r="K878" s="60"/>
      <c r="L878" s="60"/>
      <c r="M878" s="60"/>
    </row>
    <row r="879">
      <c r="A879" s="60"/>
      <c r="B879" s="60"/>
      <c r="C879" s="60"/>
      <c r="D879" s="60"/>
      <c r="E879" s="60"/>
      <c r="F879" s="60"/>
      <c r="G879" s="60"/>
      <c r="H879" s="60"/>
      <c r="I879" s="60"/>
      <c r="J879" s="60"/>
      <c r="K879" s="60"/>
      <c r="L879" s="60"/>
      <c r="M879" s="60"/>
    </row>
    <row r="880">
      <c r="A880" s="60"/>
      <c r="B880" s="60"/>
      <c r="C880" s="60"/>
      <c r="D880" s="60"/>
      <c r="E880" s="60"/>
      <c r="F880" s="60"/>
      <c r="G880" s="60"/>
      <c r="H880" s="60"/>
      <c r="I880" s="60"/>
      <c r="J880" s="60"/>
      <c r="K880" s="60"/>
      <c r="L880" s="60"/>
      <c r="M880" s="60"/>
    </row>
    <row r="881">
      <c r="A881" s="60"/>
      <c r="B881" s="60"/>
      <c r="C881" s="60"/>
      <c r="D881" s="60"/>
      <c r="E881" s="60"/>
      <c r="F881" s="60"/>
      <c r="G881" s="60"/>
      <c r="H881" s="60"/>
      <c r="I881" s="60"/>
      <c r="J881" s="60"/>
      <c r="K881" s="60"/>
      <c r="L881" s="60"/>
      <c r="M881" s="60"/>
    </row>
    <row r="882">
      <c r="A882" s="60"/>
      <c r="B882" s="60"/>
      <c r="C882" s="60"/>
      <c r="D882" s="60"/>
      <c r="E882" s="60"/>
      <c r="F882" s="60"/>
      <c r="G882" s="60"/>
      <c r="H882" s="60"/>
      <c r="I882" s="60"/>
      <c r="J882" s="60"/>
      <c r="K882" s="60"/>
      <c r="L882" s="60"/>
      <c r="M882" s="60"/>
    </row>
    <row r="883">
      <c r="A883" s="60"/>
      <c r="B883" s="60"/>
      <c r="C883" s="60"/>
      <c r="D883" s="60"/>
      <c r="E883" s="60"/>
      <c r="F883" s="60"/>
      <c r="G883" s="60"/>
      <c r="H883" s="60"/>
      <c r="I883" s="60"/>
      <c r="J883" s="60"/>
      <c r="K883" s="60"/>
      <c r="L883" s="60"/>
      <c r="M883" s="60"/>
    </row>
    <row r="884">
      <c r="A884" s="60"/>
      <c r="B884" s="60"/>
      <c r="C884" s="60"/>
      <c r="D884" s="60"/>
      <c r="E884" s="60"/>
      <c r="F884" s="60"/>
      <c r="G884" s="60"/>
      <c r="H884" s="60"/>
      <c r="I884" s="60"/>
      <c r="J884" s="60"/>
      <c r="K884" s="60"/>
      <c r="L884" s="60"/>
      <c r="M884" s="60"/>
    </row>
    <row r="885">
      <c r="A885" s="60"/>
      <c r="B885" s="60"/>
      <c r="C885" s="60"/>
      <c r="D885" s="60"/>
      <c r="E885" s="60"/>
      <c r="F885" s="60"/>
      <c r="G885" s="60"/>
      <c r="H885" s="60"/>
      <c r="I885" s="60"/>
      <c r="J885" s="60"/>
      <c r="K885" s="60"/>
      <c r="L885" s="60"/>
      <c r="M885" s="60"/>
    </row>
    <row r="886">
      <c r="A886" s="60"/>
      <c r="B886" s="60"/>
      <c r="C886" s="60"/>
      <c r="D886" s="60"/>
      <c r="E886" s="60"/>
      <c r="F886" s="60"/>
      <c r="G886" s="60"/>
      <c r="H886" s="60"/>
      <c r="I886" s="60"/>
      <c r="J886" s="60"/>
      <c r="K886" s="60"/>
      <c r="L886" s="60"/>
      <c r="M886" s="60"/>
    </row>
    <row r="887">
      <c r="A887" s="60"/>
      <c r="B887" s="60"/>
      <c r="C887" s="60"/>
      <c r="D887" s="60"/>
      <c r="E887" s="60"/>
      <c r="F887" s="60"/>
      <c r="G887" s="60"/>
      <c r="H887" s="60"/>
      <c r="I887" s="60"/>
      <c r="J887" s="60"/>
      <c r="K887" s="60"/>
      <c r="L887" s="60"/>
      <c r="M887" s="60"/>
    </row>
    <row r="888">
      <c r="A888" s="60"/>
      <c r="B888" s="60"/>
      <c r="C888" s="60"/>
      <c r="D888" s="60"/>
      <c r="E888" s="60"/>
      <c r="F888" s="60"/>
      <c r="G888" s="60"/>
      <c r="H888" s="60"/>
      <c r="I888" s="60"/>
      <c r="J888" s="60"/>
      <c r="K888" s="60"/>
      <c r="L888" s="60"/>
      <c r="M888" s="60"/>
    </row>
    <row r="889">
      <c r="A889" s="60"/>
      <c r="B889" s="60"/>
      <c r="C889" s="60"/>
      <c r="D889" s="60"/>
      <c r="E889" s="60"/>
      <c r="F889" s="60"/>
      <c r="G889" s="60"/>
      <c r="H889" s="60"/>
      <c r="I889" s="60"/>
      <c r="J889" s="60"/>
      <c r="K889" s="60"/>
      <c r="L889" s="60"/>
      <c r="M889" s="60"/>
    </row>
    <row r="890">
      <c r="A890" s="60"/>
      <c r="B890" s="60"/>
      <c r="C890" s="60"/>
      <c r="D890" s="60"/>
      <c r="E890" s="60"/>
      <c r="F890" s="60"/>
      <c r="G890" s="60"/>
      <c r="H890" s="60"/>
      <c r="I890" s="60"/>
      <c r="J890" s="60"/>
      <c r="K890" s="60"/>
      <c r="L890" s="60"/>
      <c r="M890" s="60"/>
    </row>
    <row r="891">
      <c r="A891" s="60"/>
      <c r="B891" s="60"/>
      <c r="C891" s="60"/>
      <c r="D891" s="60"/>
      <c r="E891" s="60"/>
      <c r="F891" s="60"/>
      <c r="G891" s="60"/>
      <c r="H891" s="60"/>
      <c r="I891" s="60"/>
      <c r="J891" s="60"/>
      <c r="K891" s="60"/>
      <c r="L891" s="60"/>
      <c r="M891" s="60"/>
    </row>
    <row r="892">
      <c r="A892" s="60"/>
      <c r="B892" s="60"/>
      <c r="C892" s="60"/>
      <c r="D892" s="60"/>
      <c r="E892" s="60"/>
      <c r="F892" s="60"/>
      <c r="G892" s="60"/>
      <c r="H892" s="60"/>
      <c r="I892" s="60"/>
      <c r="J892" s="60"/>
      <c r="K892" s="60"/>
      <c r="L892" s="60"/>
      <c r="M892" s="60"/>
    </row>
    <row r="893">
      <c r="A893" s="60"/>
      <c r="B893" s="60"/>
      <c r="C893" s="60"/>
      <c r="D893" s="60"/>
      <c r="E893" s="60"/>
      <c r="F893" s="60"/>
      <c r="G893" s="60"/>
      <c r="H893" s="60"/>
      <c r="I893" s="60"/>
      <c r="J893" s="60"/>
      <c r="K893" s="60"/>
      <c r="L893" s="60"/>
      <c r="M893" s="60"/>
    </row>
    <row r="894">
      <c r="A894" s="60"/>
      <c r="B894" s="60"/>
      <c r="C894" s="60"/>
      <c r="D894" s="60"/>
      <c r="E894" s="60"/>
      <c r="F894" s="60"/>
      <c r="G894" s="60"/>
      <c r="H894" s="60"/>
      <c r="I894" s="60"/>
      <c r="J894" s="60"/>
      <c r="K894" s="60"/>
      <c r="L894" s="60"/>
      <c r="M894" s="60"/>
    </row>
    <row r="895">
      <c r="A895" s="60"/>
      <c r="B895" s="60"/>
      <c r="C895" s="60"/>
      <c r="D895" s="60"/>
      <c r="E895" s="60"/>
      <c r="F895" s="60"/>
      <c r="G895" s="60"/>
      <c r="H895" s="60"/>
      <c r="I895" s="60"/>
      <c r="J895" s="60"/>
      <c r="K895" s="60"/>
      <c r="L895" s="60"/>
      <c r="M895" s="60"/>
    </row>
    <row r="896">
      <c r="A896" s="60"/>
      <c r="B896" s="60"/>
      <c r="C896" s="60"/>
      <c r="D896" s="60"/>
      <c r="E896" s="60"/>
      <c r="F896" s="60"/>
      <c r="G896" s="60"/>
      <c r="H896" s="60"/>
      <c r="I896" s="60"/>
      <c r="J896" s="60"/>
      <c r="K896" s="60"/>
      <c r="L896" s="60"/>
      <c r="M896" s="60"/>
    </row>
    <row r="897">
      <c r="A897" s="60"/>
      <c r="B897" s="60"/>
      <c r="C897" s="60"/>
      <c r="D897" s="60"/>
      <c r="E897" s="60"/>
      <c r="F897" s="60"/>
      <c r="G897" s="60"/>
      <c r="H897" s="60"/>
      <c r="I897" s="60"/>
      <c r="J897" s="60"/>
      <c r="K897" s="60"/>
      <c r="L897" s="60"/>
      <c r="M897" s="60"/>
    </row>
    <row r="898">
      <c r="A898" s="60"/>
      <c r="B898" s="60"/>
      <c r="C898" s="60"/>
      <c r="D898" s="60"/>
      <c r="E898" s="60"/>
      <c r="F898" s="60"/>
      <c r="G898" s="60"/>
      <c r="H898" s="60"/>
      <c r="I898" s="60"/>
      <c r="J898" s="60"/>
      <c r="K898" s="60"/>
      <c r="L898" s="60"/>
      <c r="M898" s="60"/>
    </row>
    <row r="899">
      <c r="A899" s="60"/>
      <c r="B899" s="60"/>
      <c r="C899" s="60"/>
      <c r="D899" s="60"/>
      <c r="E899" s="60"/>
      <c r="F899" s="60"/>
      <c r="G899" s="60"/>
      <c r="H899" s="60"/>
      <c r="I899" s="60"/>
      <c r="J899" s="60"/>
      <c r="K899" s="60"/>
      <c r="L899" s="60"/>
      <c r="M899" s="60"/>
    </row>
    <row r="900">
      <c r="A900" s="60"/>
      <c r="B900" s="60"/>
      <c r="C900" s="60"/>
      <c r="D900" s="60"/>
      <c r="E900" s="60"/>
      <c r="F900" s="60"/>
      <c r="G900" s="60"/>
      <c r="H900" s="60"/>
      <c r="I900" s="60"/>
      <c r="J900" s="60"/>
      <c r="K900" s="60"/>
      <c r="L900" s="60"/>
      <c r="M900" s="60"/>
    </row>
    <row r="901">
      <c r="A901" s="60"/>
      <c r="B901" s="60"/>
      <c r="C901" s="60"/>
      <c r="D901" s="60"/>
      <c r="E901" s="60"/>
      <c r="F901" s="60"/>
      <c r="G901" s="60"/>
      <c r="H901" s="60"/>
      <c r="I901" s="60"/>
      <c r="J901" s="60"/>
      <c r="K901" s="60"/>
      <c r="L901" s="60"/>
      <c r="M901" s="60"/>
    </row>
    <row r="902">
      <c r="A902" s="60"/>
      <c r="B902" s="60"/>
      <c r="C902" s="60"/>
      <c r="D902" s="60"/>
      <c r="E902" s="60"/>
      <c r="F902" s="60"/>
      <c r="G902" s="60"/>
      <c r="H902" s="60"/>
      <c r="I902" s="60"/>
      <c r="J902" s="60"/>
      <c r="K902" s="60"/>
      <c r="L902" s="60"/>
      <c r="M902" s="60"/>
    </row>
    <row r="903">
      <c r="A903" s="60"/>
      <c r="B903" s="60"/>
      <c r="C903" s="60"/>
      <c r="D903" s="60"/>
      <c r="E903" s="60"/>
      <c r="F903" s="60"/>
      <c r="G903" s="60"/>
      <c r="H903" s="60"/>
      <c r="I903" s="60"/>
      <c r="J903" s="60"/>
      <c r="K903" s="60"/>
      <c r="L903" s="60"/>
      <c r="M903" s="60"/>
    </row>
    <row r="904">
      <c r="A904" s="60"/>
      <c r="B904" s="60"/>
      <c r="C904" s="60"/>
      <c r="D904" s="60"/>
      <c r="E904" s="60"/>
      <c r="F904" s="60"/>
      <c r="G904" s="60"/>
      <c r="H904" s="60"/>
      <c r="I904" s="60"/>
      <c r="J904" s="60"/>
      <c r="K904" s="60"/>
      <c r="L904" s="60"/>
      <c r="M904" s="60"/>
    </row>
    <row r="905">
      <c r="A905" s="60"/>
      <c r="B905" s="60"/>
      <c r="C905" s="60"/>
      <c r="D905" s="60"/>
      <c r="E905" s="60"/>
      <c r="F905" s="60"/>
      <c r="G905" s="60"/>
      <c r="H905" s="60"/>
      <c r="I905" s="60"/>
      <c r="J905" s="60"/>
      <c r="K905" s="60"/>
      <c r="L905" s="60"/>
      <c r="M905" s="60"/>
    </row>
    <row r="906">
      <c r="A906" s="60"/>
      <c r="B906" s="60"/>
      <c r="C906" s="60"/>
      <c r="D906" s="60"/>
      <c r="E906" s="60"/>
      <c r="F906" s="60"/>
      <c r="G906" s="60"/>
      <c r="H906" s="60"/>
      <c r="I906" s="60"/>
      <c r="J906" s="60"/>
      <c r="K906" s="60"/>
      <c r="L906" s="60"/>
      <c r="M906" s="60"/>
    </row>
    <row r="907">
      <c r="A907" s="60"/>
      <c r="B907" s="60"/>
      <c r="C907" s="60"/>
      <c r="D907" s="60"/>
      <c r="E907" s="60"/>
      <c r="F907" s="60"/>
      <c r="G907" s="60"/>
      <c r="H907" s="60"/>
      <c r="I907" s="60"/>
      <c r="J907" s="60"/>
      <c r="K907" s="60"/>
      <c r="L907" s="60"/>
      <c r="M907" s="60"/>
    </row>
    <row r="908">
      <c r="A908" s="60"/>
      <c r="B908" s="60"/>
      <c r="C908" s="60"/>
      <c r="D908" s="60"/>
      <c r="E908" s="60"/>
      <c r="F908" s="60"/>
      <c r="G908" s="60"/>
      <c r="H908" s="60"/>
      <c r="I908" s="60"/>
      <c r="J908" s="60"/>
      <c r="K908" s="60"/>
      <c r="L908" s="60"/>
      <c r="M908" s="60"/>
    </row>
    <row r="909">
      <c r="A909" s="60"/>
      <c r="B909" s="60"/>
      <c r="C909" s="60"/>
      <c r="D909" s="60"/>
      <c r="E909" s="60"/>
      <c r="F909" s="60"/>
      <c r="G909" s="60"/>
      <c r="H909" s="60"/>
      <c r="I909" s="60"/>
      <c r="J909" s="60"/>
      <c r="K909" s="60"/>
      <c r="L909" s="60"/>
      <c r="M909" s="60"/>
    </row>
    <row r="910">
      <c r="A910" s="60"/>
      <c r="B910" s="60"/>
      <c r="C910" s="60"/>
      <c r="D910" s="60"/>
      <c r="E910" s="60"/>
      <c r="F910" s="60"/>
      <c r="G910" s="60"/>
      <c r="H910" s="60"/>
      <c r="I910" s="60"/>
      <c r="J910" s="60"/>
      <c r="K910" s="60"/>
      <c r="L910" s="60"/>
      <c r="M910" s="60"/>
    </row>
    <row r="911">
      <c r="A911" s="60"/>
      <c r="B911" s="60"/>
      <c r="C911" s="60"/>
      <c r="D911" s="60"/>
      <c r="E911" s="60"/>
      <c r="F911" s="60"/>
      <c r="G911" s="60"/>
      <c r="H911" s="60"/>
      <c r="I911" s="60"/>
      <c r="J911" s="60"/>
      <c r="K911" s="60"/>
      <c r="L911" s="60"/>
      <c r="M911" s="60"/>
    </row>
    <row r="912">
      <c r="A912" s="60"/>
      <c r="B912" s="60"/>
      <c r="C912" s="60"/>
      <c r="D912" s="60"/>
      <c r="E912" s="60"/>
      <c r="F912" s="60"/>
      <c r="G912" s="60"/>
      <c r="H912" s="60"/>
      <c r="I912" s="60"/>
      <c r="J912" s="60"/>
      <c r="K912" s="60"/>
      <c r="L912" s="60"/>
      <c r="M912" s="60"/>
    </row>
    <row r="913">
      <c r="A913" s="60"/>
      <c r="B913" s="60"/>
      <c r="C913" s="60"/>
      <c r="D913" s="60"/>
      <c r="E913" s="60"/>
      <c r="F913" s="60"/>
      <c r="G913" s="60"/>
      <c r="H913" s="60"/>
      <c r="I913" s="60"/>
      <c r="J913" s="60"/>
      <c r="K913" s="60"/>
      <c r="L913" s="60"/>
      <c r="M913" s="60"/>
    </row>
    <row r="914">
      <c r="A914" s="60"/>
      <c r="B914" s="60"/>
      <c r="C914" s="60"/>
      <c r="D914" s="60"/>
      <c r="E914" s="60"/>
      <c r="F914" s="60"/>
      <c r="G914" s="60"/>
      <c r="H914" s="60"/>
      <c r="I914" s="60"/>
      <c r="J914" s="60"/>
      <c r="K914" s="60"/>
      <c r="L914" s="60"/>
      <c r="M914" s="60"/>
    </row>
    <row r="915">
      <c r="A915" s="60"/>
      <c r="B915" s="60"/>
      <c r="C915" s="60"/>
      <c r="D915" s="60"/>
      <c r="E915" s="60"/>
      <c r="F915" s="60"/>
      <c r="G915" s="60"/>
      <c r="H915" s="60"/>
      <c r="I915" s="60"/>
      <c r="J915" s="60"/>
      <c r="K915" s="60"/>
      <c r="L915" s="60"/>
      <c r="M915" s="60"/>
    </row>
    <row r="916">
      <c r="A916" s="60"/>
      <c r="B916" s="60"/>
      <c r="C916" s="60"/>
      <c r="D916" s="60"/>
      <c r="E916" s="60"/>
      <c r="F916" s="60"/>
      <c r="G916" s="60"/>
      <c r="H916" s="60"/>
      <c r="I916" s="60"/>
      <c r="J916" s="60"/>
      <c r="K916" s="60"/>
      <c r="L916" s="60"/>
      <c r="M916" s="60"/>
    </row>
    <row r="917">
      <c r="A917" s="60"/>
      <c r="B917" s="60"/>
      <c r="C917" s="60"/>
      <c r="D917" s="60"/>
      <c r="E917" s="60"/>
      <c r="F917" s="60"/>
      <c r="G917" s="60"/>
      <c r="H917" s="60"/>
      <c r="I917" s="60"/>
      <c r="J917" s="60"/>
      <c r="K917" s="60"/>
      <c r="L917" s="60"/>
      <c r="M917" s="60"/>
    </row>
    <row r="918">
      <c r="A918" s="60"/>
      <c r="B918" s="60"/>
      <c r="C918" s="60"/>
      <c r="D918" s="60"/>
      <c r="E918" s="60"/>
      <c r="F918" s="60"/>
      <c r="G918" s="60"/>
      <c r="H918" s="60"/>
      <c r="I918" s="60"/>
      <c r="J918" s="60"/>
      <c r="K918" s="60"/>
      <c r="L918" s="60"/>
      <c r="M918" s="60"/>
    </row>
    <row r="919">
      <c r="A919" s="60"/>
      <c r="B919" s="60"/>
      <c r="C919" s="60"/>
      <c r="D919" s="60"/>
      <c r="E919" s="60"/>
      <c r="F919" s="60"/>
      <c r="G919" s="60"/>
      <c r="H919" s="60"/>
      <c r="I919" s="60"/>
      <c r="J919" s="60"/>
      <c r="K919" s="60"/>
      <c r="L919" s="60"/>
      <c r="M919" s="60"/>
    </row>
    <row r="920">
      <c r="A920" s="60"/>
      <c r="B920" s="60"/>
      <c r="C920" s="60"/>
      <c r="D920" s="60"/>
      <c r="E920" s="60"/>
      <c r="F920" s="60"/>
      <c r="G920" s="60"/>
      <c r="H920" s="60"/>
      <c r="I920" s="60"/>
      <c r="J920" s="60"/>
      <c r="K920" s="60"/>
      <c r="L920" s="60"/>
      <c r="M920" s="60"/>
    </row>
    <row r="921">
      <c r="A921" s="60"/>
      <c r="B921" s="60"/>
      <c r="C921" s="60"/>
      <c r="D921" s="60"/>
      <c r="E921" s="60"/>
      <c r="F921" s="60"/>
      <c r="G921" s="60"/>
      <c r="H921" s="60"/>
      <c r="I921" s="60"/>
      <c r="J921" s="60"/>
      <c r="K921" s="60"/>
      <c r="L921" s="60"/>
      <c r="M921" s="60"/>
    </row>
    <row r="922">
      <c r="A922" s="60"/>
      <c r="B922" s="60"/>
      <c r="C922" s="60"/>
      <c r="D922" s="60"/>
      <c r="E922" s="60"/>
      <c r="F922" s="60"/>
      <c r="G922" s="60"/>
      <c r="H922" s="60"/>
      <c r="I922" s="60"/>
      <c r="J922" s="60"/>
      <c r="K922" s="60"/>
      <c r="L922" s="60"/>
      <c r="M922" s="60"/>
    </row>
    <row r="923">
      <c r="A923" s="60"/>
      <c r="B923" s="60"/>
      <c r="C923" s="60"/>
      <c r="D923" s="60"/>
      <c r="E923" s="60"/>
      <c r="F923" s="60"/>
      <c r="G923" s="60"/>
      <c r="H923" s="60"/>
      <c r="I923" s="60"/>
      <c r="J923" s="60"/>
      <c r="K923" s="60"/>
      <c r="L923" s="60"/>
      <c r="M923" s="60"/>
    </row>
    <row r="924">
      <c r="A924" s="60"/>
      <c r="B924" s="60"/>
      <c r="C924" s="60"/>
      <c r="D924" s="60"/>
      <c r="E924" s="60"/>
      <c r="F924" s="60"/>
      <c r="G924" s="60"/>
      <c r="H924" s="60"/>
      <c r="I924" s="60"/>
      <c r="J924" s="60"/>
      <c r="K924" s="60"/>
      <c r="L924" s="60"/>
      <c r="M924" s="60"/>
    </row>
    <row r="925">
      <c r="A925" s="60"/>
      <c r="B925" s="60"/>
      <c r="C925" s="60"/>
      <c r="D925" s="60"/>
      <c r="E925" s="60"/>
      <c r="F925" s="60"/>
      <c r="G925" s="60"/>
      <c r="H925" s="60"/>
      <c r="I925" s="60"/>
      <c r="J925" s="60"/>
      <c r="K925" s="60"/>
      <c r="L925" s="60"/>
      <c r="M925" s="60"/>
    </row>
    <row r="926">
      <c r="A926" s="60"/>
      <c r="B926" s="60"/>
      <c r="C926" s="60"/>
      <c r="D926" s="60"/>
      <c r="E926" s="60"/>
      <c r="F926" s="60"/>
      <c r="G926" s="60"/>
      <c r="H926" s="60"/>
      <c r="I926" s="60"/>
      <c r="J926" s="60"/>
      <c r="K926" s="60"/>
      <c r="L926" s="60"/>
      <c r="M926" s="60"/>
    </row>
    <row r="927">
      <c r="A927" s="60"/>
      <c r="B927" s="60"/>
      <c r="C927" s="60"/>
      <c r="D927" s="60"/>
      <c r="E927" s="60"/>
      <c r="F927" s="60"/>
      <c r="G927" s="60"/>
      <c r="H927" s="60"/>
      <c r="I927" s="60"/>
      <c r="J927" s="60"/>
      <c r="K927" s="60"/>
      <c r="L927" s="60"/>
      <c r="M927" s="60"/>
    </row>
    <row r="928">
      <c r="A928" s="60"/>
      <c r="B928" s="60"/>
      <c r="C928" s="60"/>
      <c r="D928" s="60"/>
      <c r="E928" s="60"/>
      <c r="F928" s="60"/>
      <c r="G928" s="60"/>
      <c r="H928" s="60"/>
      <c r="I928" s="60"/>
      <c r="J928" s="60"/>
      <c r="K928" s="60"/>
      <c r="L928" s="60"/>
      <c r="M928" s="60"/>
    </row>
    <row r="929">
      <c r="A929" s="60"/>
      <c r="B929" s="60"/>
      <c r="C929" s="60"/>
      <c r="D929" s="60"/>
      <c r="E929" s="60"/>
      <c r="F929" s="60"/>
      <c r="G929" s="60"/>
      <c r="H929" s="60"/>
      <c r="I929" s="60"/>
      <c r="J929" s="60"/>
      <c r="K929" s="60"/>
      <c r="L929" s="60"/>
      <c r="M929" s="60"/>
    </row>
    <row r="930">
      <c r="A930" s="60"/>
      <c r="B930" s="60"/>
      <c r="C930" s="60"/>
      <c r="D930" s="60"/>
      <c r="E930" s="60"/>
      <c r="F930" s="60"/>
      <c r="G930" s="60"/>
      <c r="H930" s="60"/>
      <c r="I930" s="60"/>
      <c r="J930" s="60"/>
      <c r="K930" s="60"/>
      <c r="L930" s="60"/>
      <c r="M930" s="60"/>
    </row>
    <row r="931">
      <c r="A931" s="60"/>
      <c r="B931" s="60"/>
      <c r="C931" s="60"/>
      <c r="D931" s="60"/>
      <c r="E931" s="60"/>
      <c r="F931" s="60"/>
      <c r="G931" s="60"/>
      <c r="H931" s="60"/>
      <c r="I931" s="60"/>
      <c r="J931" s="60"/>
      <c r="K931" s="60"/>
      <c r="L931" s="60"/>
      <c r="M931" s="60"/>
    </row>
    <row r="932">
      <c r="A932" s="60"/>
      <c r="B932" s="60"/>
      <c r="C932" s="60"/>
      <c r="D932" s="60"/>
      <c r="E932" s="60"/>
      <c r="F932" s="60"/>
      <c r="G932" s="60"/>
      <c r="H932" s="60"/>
      <c r="I932" s="60"/>
      <c r="J932" s="60"/>
      <c r="K932" s="60"/>
      <c r="L932" s="60"/>
      <c r="M932" s="60"/>
    </row>
    <row r="933">
      <c r="A933" s="60"/>
      <c r="B933" s="60"/>
      <c r="C933" s="60"/>
      <c r="D933" s="60"/>
      <c r="E933" s="60"/>
      <c r="F933" s="60"/>
      <c r="G933" s="60"/>
      <c r="H933" s="60"/>
      <c r="I933" s="60"/>
      <c r="J933" s="60"/>
      <c r="K933" s="60"/>
      <c r="L933" s="60"/>
      <c r="M933" s="60"/>
    </row>
    <row r="934">
      <c r="A934" s="60"/>
      <c r="B934" s="60"/>
      <c r="C934" s="60"/>
      <c r="D934" s="60"/>
      <c r="E934" s="60"/>
      <c r="F934" s="60"/>
      <c r="G934" s="60"/>
      <c r="H934" s="60"/>
      <c r="I934" s="60"/>
      <c r="J934" s="60"/>
      <c r="K934" s="60"/>
      <c r="L934" s="60"/>
      <c r="M934" s="60"/>
    </row>
    <row r="935">
      <c r="A935" s="60"/>
      <c r="B935" s="60"/>
      <c r="C935" s="60"/>
      <c r="D935" s="60"/>
      <c r="E935" s="60"/>
      <c r="F935" s="60"/>
      <c r="G935" s="60"/>
      <c r="H935" s="60"/>
      <c r="I935" s="60"/>
      <c r="J935" s="60"/>
      <c r="K935" s="60"/>
      <c r="L935" s="60"/>
      <c r="M935" s="60"/>
    </row>
    <row r="936">
      <c r="A936" s="60"/>
      <c r="B936" s="60"/>
      <c r="C936" s="60"/>
      <c r="D936" s="60"/>
      <c r="E936" s="60"/>
      <c r="F936" s="60"/>
      <c r="G936" s="60"/>
      <c r="H936" s="60"/>
      <c r="I936" s="60"/>
      <c r="J936" s="60"/>
      <c r="K936" s="60"/>
      <c r="L936" s="60"/>
      <c r="M936" s="60"/>
    </row>
    <row r="937">
      <c r="A937" s="60"/>
      <c r="B937" s="60"/>
      <c r="C937" s="60"/>
      <c r="D937" s="60"/>
      <c r="E937" s="60"/>
      <c r="F937" s="60"/>
      <c r="G937" s="60"/>
      <c r="H937" s="60"/>
      <c r="I937" s="60"/>
      <c r="J937" s="60"/>
      <c r="K937" s="60"/>
      <c r="L937" s="60"/>
      <c r="M937" s="60"/>
    </row>
    <row r="938">
      <c r="A938" s="60"/>
      <c r="B938" s="60"/>
      <c r="C938" s="60"/>
      <c r="D938" s="60"/>
      <c r="E938" s="60"/>
      <c r="F938" s="60"/>
      <c r="G938" s="60"/>
      <c r="H938" s="60"/>
      <c r="I938" s="60"/>
      <c r="J938" s="60"/>
      <c r="K938" s="60"/>
      <c r="L938" s="60"/>
      <c r="M938" s="60"/>
    </row>
    <row r="939">
      <c r="A939" s="60"/>
      <c r="B939" s="60"/>
      <c r="C939" s="60"/>
      <c r="D939" s="60"/>
      <c r="E939" s="60"/>
      <c r="F939" s="60"/>
      <c r="G939" s="60"/>
      <c r="H939" s="60"/>
      <c r="I939" s="60"/>
      <c r="J939" s="60"/>
      <c r="K939" s="60"/>
      <c r="L939" s="60"/>
      <c r="M939" s="60"/>
    </row>
    <row r="940">
      <c r="A940" s="60"/>
      <c r="B940" s="60"/>
      <c r="C940" s="60"/>
      <c r="D940" s="60"/>
      <c r="E940" s="60"/>
      <c r="F940" s="60"/>
      <c r="G940" s="60"/>
      <c r="H940" s="60"/>
      <c r="I940" s="60"/>
      <c r="J940" s="60"/>
      <c r="K940" s="60"/>
      <c r="L940" s="60"/>
      <c r="M940" s="60"/>
    </row>
    <row r="941">
      <c r="A941" s="60"/>
      <c r="B941" s="60"/>
      <c r="C941" s="60"/>
      <c r="D941" s="60"/>
      <c r="E941" s="60"/>
      <c r="F941" s="60"/>
      <c r="G941" s="60"/>
      <c r="H941" s="60"/>
      <c r="I941" s="60"/>
      <c r="J941" s="60"/>
      <c r="K941" s="60"/>
      <c r="L941" s="60"/>
      <c r="M941" s="60"/>
    </row>
    <row r="942">
      <c r="A942" s="60"/>
      <c r="B942" s="60"/>
      <c r="C942" s="60"/>
      <c r="D942" s="60"/>
      <c r="E942" s="60"/>
      <c r="F942" s="60"/>
      <c r="G942" s="60"/>
      <c r="H942" s="60"/>
      <c r="I942" s="60"/>
      <c r="J942" s="60"/>
      <c r="K942" s="60"/>
      <c r="L942" s="60"/>
      <c r="M942" s="60"/>
    </row>
    <row r="943">
      <c r="A943" s="60"/>
      <c r="B943" s="60"/>
      <c r="C943" s="60"/>
      <c r="D943" s="60"/>
      <c r="E943" s="60"/>
      <c r="F943" s="60"/>
      <c r="G943" s="60"/>
      <c r="H943" s="60"/>
      <c r="I943" s="60"/>
      <c r="J943" s="60"/>
      <c r="K943" s="60"/>
      <c r="L943" s="60"/>
      <c r="M943" s="60"/>
    </row>
    <row r="944">
      <c r="A944" s="60"/>
      <c r="B944" s="60"/>
      <c r="C944" s="60"/>
      <c r="D944" s="60"/>
      <c r="E944" s="60"/>
      <c r="F944" s="60"/>
      <c r="G944" s="60"/>
      <c r="H944" s="60"/>
      <c r="I944" s="60"/>
      <c r="J944" s="60"/>
      <c r="K944" s="60"/>
      <c r="L944" s="60"/>
      <c r="M944" s="60"/>
    </row>
    <row r="945">
      <c r="A945" s="60"/>
      <c r="B945" s="60"/>
      <c r="C945" s="60"/>
      <c r="D945" s="60"/>
      <c r="E945" s="60"/>
      <c r="F945" s="60"/>
      <c r="G945" s="60"/>
      <c r="H945" s="60"/>
      <c r="I945" s="60"/>
      <c r="J945" s="60"/>
      <c r="K945" s="60"/>
      <c r="L945" s="60"/>
      <c r="M945" s="60"/>
    </row>
    <row r="946">
      <c r="A946" s="60"/>
      <c r="B946" s="60"/>
      <c r="C946" s="60"/>
      <c r="D946" s="60"/>
      <c r="E946" s="60"/>
      <c r="F946" s="60"/>
      <c r="G946" s="60"/>
      <c r="H946" s="60"/>
      <c r="I946" s="60"/>
      <c r="J946" s="60"/>
      <c r="K946" s="60"/>
      <c r="L946" s="60"/>
      <c r="M946" s="60"/>
    </row>
    <row r="947">
      <c r="A947" s="60"/>
      <c r="B947" s="60"/>
      <c r="C947" s="60"/>
      <c r="D947" s="60"/>
      <c r="E947" s="60"/>
      <c r="F947" s="60"/>
      <c r="G947" s="60"/>
      <c r="H947" s="60"/>
      <c r="I947" s="60"/>
      <c r="J947" s="60"/>
      <c r="K947" s="60"/>
      <c r="L947" s="60"/>
      <c r="M947" s="60"/>
    </row>
    <row r="948">
      <c r="A948" s="60"/>
      <c r="B948" s="60"/>
      <c r="C948" s="60"/>
      <c r="D948" s="60"/>
      <c r="E948" s="60"/>
      <c r="F948" s="60"/>
      <c r="G948" s="60"/>
      <c r="H948" s="60"/>
      <c r="I948" s="60"/>
      <c r="J948" s="60"/>
      <c r="K948" s="60"/>
      <c r="L948" s="60"/>
      <c r="M948" s="60"/>
    </row>
    <row r="949">
      <c r="A949" s="60"/>
      <c r="B949" s="60"/>
      <c r="C949" s="60"/>
      <c r="D949" s="60"/>
      <c r="E949" s="60"/>
      <c r="F949" s="60"/>
      <c r="G949" s="60"/>
      <c r="H949" s="60"/>
      <c r="I949" s="60"/>
      <c r="J949" s="60"/>
      <c r="K949" s="60"/>
      <c r="L949" s="60"/>
      <c r="M949" s="60"/>
    </row>
    <row r="950">
      <c r="A950" s="60"/>
      <c r="B950" s="60"/>
      <c r="C950" s="60"/>
      <c r="D950" s="60"/>
      <c r="E950" s="60"/>
      <c r="F950" s="60"/>
      <c r="G950" s="60"/>
      <c r="H950" s="60"/>
      <c r="I950" s="60"/>
      <c r="J950" s="60"/>
      <c r="K950" s="60"/>
      <c r="L950" s="60"/>
      <c r="M950" s="60"/>
    </row>
    <row r="951">
      <c r="A951" s="60"/>
      <c r="B951" s="60"/>
      <c r="C951" s="60"/>
      <c r="D951" s="60"/>
      <c r="E951" s="60"/>
      <c r="F951" s="60"/>
      <c r="G951" s="60"/>
      <c r="H951" s="60"/>
      <c r="I951" s="60"/>
      <c r="J951" s="60"/>
      <c r="K951" s="60"/>
      <c r="L951" s="60"/>
      <c r="M951" s="60"/>
    </row>
    <row r="952">
      <c r="A952" s="60"/>
      <c r="B952" s="60"/>
      <c r="C952" s="60"/>
      <c r="D952" s="60"/>
      <c r="E952" s="60"/>
      <c r="F952" s="60"/>
      <c r="G952" s="60"/>
      <c r="H952" s="60"/>
      <c r="I952" s="60"/>
      <c r="J952" s="60"/>
      <c r="K952" s="60"/>
      <c r="L952" s="60"/>
      <c r="M952" s="60"/>
    </row>
    <row r="953">
      <c r="A953" s="60"/>
      <c r="B953" s="60"/>
      <c r="C953" s="60"/>
      <c r="D953" s="60"/>
      <c r="E953" s="60"/>
      <c r="F953" s="60"/>
      <c r="G953" s="60"/>
      <c r="H953" s="60"/>
      <c r="I953" s="60"/>
      <c r="J953" s="60"/>
      <c r="K953" s="60"/>
      <c r="L953" s="60"/>
      <c r="M953" s="60"/>
    </row>
    <row r="954">
      <c r="A954" s="60"/>
      <c r="B954" s="60"/>
      <c r="C954" s="60"/>
      <c r="D954" s="60"/>
      <c r="E954" s="60"/>
      <c r="F954" s="60"/>
      <c r="G954" s="60"/>
      <c r="H954" s="60"/>
      <c r="I954" s="60"/>
      <c r="J954" s="60"/>
      <c r="K954" s="60"/>
      <c r="L954" s="60"/>
      <c r="M954" s="60"/>
    </row>
    <row r="955">
      <c r="A955" s="60"/>
      <c r="B955" s="60"/>
      <c r="C955" s="60"/>
      <c r="D955" s="60"/>
      <c r="E955" s="60"/>
      <c r="F955" s="60"/>
      <c r="G955" s="60"/>
      <c r="H955" s="60"/>
      <c r="I955" s="60"/>
      <c r="J955" s="60"/>
      <c r="K955" s="60"/>
      <c r="L955" s="60"/>
      <c r="M955" s="60"/>
    </row>
    <row r="956">
      <c r="A956" s="60"/>
      <c r="B956" s="60"/>
      <c r="C956" s="60"/>
      <c r="D956" s="60"/>
      <c r="E956" s="60"/>
      <c r="F956" s="60"/>
      <c r="G956" s="60"/>
      <c r="H956" s="60"/>
      <c r="I956" s="60"/>
      <c r="J956" s="60"/>
      <c r="K956" s="60"/>
      <c r="L956" s="60"/>
      <c r="M956" s="60"/>
    </row>
    <row r="957">
      <c r="A957" s="60"/>
      <c r="B957" s="60"/>
      <c r="C957" s="60"/>
      <c r="D957" s="60"/>
      <c r="E957" s="60"/>
      <c r="F957" s="60"/>
      <c r="G957" s="60"/>
      <c r="H957" s="60"/>
      <c r="I957" s="60"/>
      <c r="J957" s="60"/>
      <c r="K957" s="60"/>
      <c r="L957" s="60"/>
      <c r="M957" s="60"/>
    </row>
    <row r="958">
      <c r="A958" s="60"/>
      <c r="B958" s="60"/>
      <c r="C958" s="60"/>
      <c r="D958" s="60"/>
      <c r="E958" s="60"/>
      <c r="F958" s="60"/>
      <c r="G958" s="60"/>
      <c r="H958" s="60"/>
      <c r="I958" s="60"/>
      <c r="J958" s="60"/>
      <c r="K958" s="60"/>
      <c r="L958" s="60"/>
      <c r="M958" s="60"/>
    </row>
    <row r="959">
      <c r="A959" s="60"/>
      <c r="B959" s="60"/>
      <c r="C959" s="60"/>
      <c r="D959" s="60"/>
      <c r="E959" s="60"/>
      <c r="F959" s="60"/>
      <c r="G959" s="60"/>
      <c r="H959" s="60"/>
      <c r="I959" s="60"/>
      <c r="J959" s="60"/>
      <c r="K959" s="60"/>
      <c r="L959" s="60"/>
      <c r="M959" s="60"/>
    </row>
    <row r="960">
      <c r="A960" s="60"/>
      <c r="B960" s="60"/>
      <c r="C960" s="60"/>
      <c r="D960" s="60"/>
      <c r="E960" s="60"/>
      <c r="F960" s="60"/>
      <c r="G960" s="60"/>
      <c r="H960" s="60"/>
      <c r="I960" s="60"/>
      <c r="J960" s="60"/>
      <c r="K960" s="60"/>
      <c r="L960" s="60"/>
      <c r="M960" s="60"/>
    </row>
    <row r="961">
      <c r="A961" s="60"/>
      <c r="B961" s="60"/>
      <c r="C961" s="60"/>
      <c r="D961" s="60"/>
      <c r="E961" s="60"/>
      <c r="F961" s="60"/>
      <c r="G961" s="60"/>
      <c r="H961" s="60"/>
      <c r="I961" s="60"/>
      <c r="J961" s="60"/>
      <c r="K961" s="60"/>
      <c r="L961" s="60"/>
      <c r="M961" s="60"/>
    </row>
    <row r="962">
      <c r="A962" s="60"/>
      <c r="B962" s="60"/>
      <c r="C962" s="60"/>
      <c r="D962" s="60"/>
      <c r="E962" s="60"/>
      <c r="F962" s="60"/>
      <c r="G962" s="60"/>
      <c r="H962" s="60"/>
      <c r="I962" s="60"/>
      <c r="J962" s="60"/>
      <c r="K962" s="60"/>
      <c r="L962" s="60"/>
      <c r="M962" s="60"/>
    </row>
    <row r="963">
      <c r="A963" s="60"/>
      <c r="B963" s="60"/>
      <c r="C963" s="60"/>
      <c r="D963" s="60"/>
      <c r="E963" s="60"/>
      <c r="F963" s="60"/>
      <c r="G963" s="60"/>
      <c r="H963" s="60"/>
      <c r="I963" s="60"/>
      <c r="J963" s="60"/>
      <c r="K963" s="60"/>
      <c r="L963" s="60"/>
      <c r="M963" s="60"/>
    </row>
    <row r="964">
      <c r="A964" s="60"/>
      <c r="B964" s="60"/>
      <c r="C964" s="60"/>
      <c r="D964" s="60"/>
      <c r="E964" s="60"/>
      <c r="F964" s="60"/>
      <c r="G964" s="60"/>
      <c r="H964" s="60"/>
      <c r="I964" s="60"/>
      <c r="J964" s="60"/>
      <c r="K964" s="60"/>
      <c r="L964" s="60"/>
      <c r="M964" s="60"/>
    </row>
    <row r="965">
      <c r="A965" s="60"/>
      <c r="B965" s="60"/>
      <c r="C965" s="60"/>
      <c r="D965" s="60"/>
      <c r="E965" s="60"/>
      <c r="F965" s="60"/>
      <c r="G965" s="60"/>
      <c r="H965" s="60"/>
      <c r="I965" s="60"/>
      <c r="J965" s="60"/>
      <c r="K965" s="60"/>
      <c r="L965" s="60"/>
      <c r="M965" s="60"/>
    </row>
    <row r="966">
      <c r="A966" s="60"/>
      <c r="B966" s="60"/>
      <c r="C966" s="60"/>
      <c r="D966" s="60"/>
      <c r="E966" s="60"/>
      <c r="F966" s="60"/>
      <c r="G966" s="60"/>
      <c r="H966" s="60"/>
      <c r="I966" s="60"/>
      <c r="J966" s="60"/>
      <c r="K966" s="60"/>
      <c r="L966" s="60"/>
      <c r="M966" s="60"/>
    </row>
    <row r="967">
      <c r="A967" s="60"/>
      <c r="B967" s="60"/>
      <c r="C967" s="60"/>
      <c r="D967" s="60"/>
      <c r="E967" s="60"/>
      <c r="F967" s="60"/>
      <c r="G967" s="60"/>
      <c r="H967" s="60"/>
      <c r="I967" s="60"/>
      <c r="J967" s="60"/>
      <c r="K967" s="60"/>
      <c r="L967" s="60"/>
      <c r="M967" s="60"/>
    </row>
    <row r="968">
      <c r="A968" s="60"/>
      <c r="B968" s="60"/>
      <c r="C968" s="60"/>
      <c r="D968" s="60"/>
      <c r="E968" s="60"/>
      <c r="F968" s="60"/>
      <c r="G968" s="60"/>
      <c r="H968" s="60"/>
      <c r="I968" s="60"/>
      <c r="J968" s="60"/>
      <c r="K968" s="60"/>
      <c r="L968" s="60"/>
      <c r="M968" s="60"/>
    </row>
    <row r="969">
      <c r="A969" s="60"/>
      <c r="B969" s="60"/>
      <c r="C969" s="60"/>
      <c r="D969" s="60"/>
      <c r="E969" s="60"/>
      <c r="F969" s="60"/>
      <c r="G969" s="60"/>
      <c r="H969" s="60"/>
      <c r="I969" s="60"/>
      <c r="J969" s="60"/>
      <c r="K969" s="60"/>
      <c r="L969" s="60"/>
      <c r="M969" s="60"/>
    </row>
    <row r="970">
      <c r="A970" s="60"/>
      <c r="B970" s="60"/>
      <c r="C970" s="60"/>
      <c r="D970" s="60"/>
      <c r="E970" s="60"/>
      <c r="F970" s="60"/>
      <c r="G970" s="60"/>
      <c r="H970" s="60"/>
      <c r="I970" s="60"/>
      <c r="J970" s="60"/>
      <c r="K970" s="60"/>
      <c r="L970" s="60"/>
      <c r="M970" s="60"/>
    </row>
    <row r="971">
      <c r="A971" s="60"/>
      <c r="B971" s="60"/>
      <c r="C971" s="60"/>
      <c r="D971" s="60"/>
      <c r="E971" s="60"/>
      <c r="F971" s="60"/>
      <c r="G971" s="60"/>
      <c r="H971" s="60"/>
      <c r="I971" s="60"/>
      <c r="J971" s="60"/>
      <c r="K971" s="60"/>
      <c r="L971" s="60"/>
      <c r="M971" s="60"/>
    </row>
    <row r="972">
      <c r="A972" s="60"/>
      <c r="B972" s="60"/>
      <c r="C972" s="60"/>
      <c r="D972" s="60"/>
      <c r="E972" s="60"/>
      <c r="F972" s="60"/>
      <c r="G972" s="60"/>
      <c r="H972" s="60"/>
      <c r="I972" s="60"/>
      <c r="J972" s="60"/>
      <c r="K972" s="60"/>
      <c r="L972" s="60"/>
      <c r="M972" s="60"/>
    </row>
    <row r="973">
      <c r="A973" s="60"/>
      <c r="B973" s="60"/>
      <c r="C973" s="60"/>
      <c r="D973" s="60"/>
      <c r="E973" s="60"/>
      <c r="F973" s="60"/>
      <c r="G973" s="60"/>
      <c r="H973" s="60"/>
      <c r="I973" s="60"/>
      <c r="J973" s="60"/>
      <c r="K973" s="60"/>
      <c r="L973" s="60"/>
      <c r="M973" s="60"/>
    </row>
    <row r="974">
      <c r="A974" s="60"/>
      <c r="B974" s="60"/>
      <c r="C974" s="60"/>
      <c r="D974" s="60"/>
      <c r="E974" s="60"/>
      <c r="F974" s="60"/>
      <c r="G974" s="60"/>
      <c r="H974" s="60"/>
      <c r="I974" s="60"/>
      <c r="J974" s="60"/>
      <c r="K974" s="60"/>
      <c r="L974" s="60"/>
      <c r="M974" s="60"/>
    </row>
    <row r="975">
      <c r="A975" s="60"/>
      <c r="B975" s="60"/>
      <c r="C975" s="60"/>
      <c r="D975" s="60"/>
      <c r="E975" s="60"/>
      <c r="F975" s="60"/>
      <c r="G975" s="60"/>
      <c r="H975" s="60"/>
      <c r="I975" s="60"/>
      <c r="J975" s="60"/>
      <c r="K975" s="60"/>
      <c r="L975" s="60"/>
      <c r="M975" s="60"/>
    </row>
    <row r="976">
      <c r="A976" s="60"/>
      <c r="B976" s="60"/>
      <c r="C976" s="60"/>
      <c r="D976" s="60"/>
      <c r="E976" s="60"/>
      <c r="F976" s="60"/>
      <c r="G976" s="60"/>
      <c r="H976" s="60"/>
      <c r="I976" s="60"/>
      <c r="J976" s="60"/>
      <c r="K976" s="60"/>
      <c r="L976" s="60"/>
      <c r="M976" s="60"/>
    </row>
    <row r="977">
      <c r="A977" s="60"/>
      <c r="B977" s="60"/>
      <c r="C977" s="60"/>
      <c r="D977" s="60"/>
      <c r="E977" s="60"/>
      <c r="F977" s="60"/>
      <c r="G977" s="60"/>
      <c r="H977" s="60"/>
      <c r="I977" s="60"/>
      <c r="J977" s="60"/>
      <c r="K977" s="60"/>
      <c r="L977" s="60"/>
      <c r="M977" s="60"/>
    </row>
    <row r="978">
      <c r="A978" s="60"/>
      <c r="B978" s="60"/>
      <c r="C978" s="60"/>
      <c r="D978" s="60"/>
      <c r="E978" s="60"/>
      <c r="F978" s="60"/>
      <c r="G978" s="60"/>
      <c r="H978" s="60"/>
      <c r="I978" s="60"/>
      <c r="J978" s="60"/>
      <c r="K978" s="60"/>
      <c r="L978" s="60"/>
      <c r="M978" s="60"/>
    </row>
    <row r="979">
      <c r="A979" s="60"/>
      <c r="B979" s="60"/>
      <c r="C979" s="60"/>
      <c r="D979" s="60"/>
      <c r="E979" s="60"/>
      <c r="F979" s="60"/>
      <c r="G979" s="60"/>
      <c r="H979" s="60"/>
      <c r="I979" s="60"/>
      <c r="J979" s="60"/>
      <c r="K979" s="60"/>
      <c r="L979" s="60"/>
      <c r="M979" s="60"/>
    </row>
    <row r="980">
      <c r="A980" s="60"/>
      <c r="B980" s="60"/>
      <c r="C980" s="60"/>
      <c r="D980" s="60"/>
      <c r="E980" s="60"/>
      <c r="F980" s="60"/>
      <c r="G980" s="60"/>
      <c r="H980" s="60"/>
      <c r="I980" s="60"/>
      <c r="J980" s="60"/>
      <c r="K980" s="60"/>
      <c r="L980" s="60"/>
      <c r="M980" s="60"/>
    </row>
    <row r="981">
      <c r="A981" s="60"/>
      <c r="B981" s="60"/>
      <c r="C981" s="60"/>
      <c r="D981" s="60"/>
      <c r="E981" s="60"/>
      <c r="F981" s="60"/>
      <c r="G981" s="60"/>
      <c r="H981" s="60"/>
      <c r="I981" s="60"/>
      <c r="J981" s="60"/>
      <c r="K981" s="60"/>
      <c r="L981" s="60"/>
      <c r="M981" s="60"/>
    </row>
    <row r="982">
      <c r="A982" s="60"/>
      <c r="B982" s="60"/>
      <c r="C982" s="60"/>
      <c r="D982" s="60"/>
      <c r="E982" s="60"/>
      <c r="F982" s="60"/>
      <c r="G982" s="60"/>
      <c r="H982" s="60"/>
      <c r="I982" s="60"/>
      <c r="J982" s="60"/>
      <c r="K982" s="60"/>
      <c r="L982" s="60"/>
      <c r="M982" s="60"/>
    </row>
    <row r="983">
      <c r="A983" s="60"/>
      <c r="B983" s="60"/>
      <c r="C983" s="60"/>
      <c r="D983" s="60"/>
      <c r="E983" s="60"/>
      <c r="F983" s="60"/>
      <c r="G983" s="60"/>
      <c r="H983" s="60"/>
      <c r="I983" s="60"/>
      <c r="J983" s="60"/>
      <c r="K983" s="60"/>
      <c r="L983" s="60"/>
      <c r="M983" s="60"/>
    </row>
    <row r="984">
      <c r="A984" s="60"/>
      <c r="B984" s="60"/>
      <c r="C984" s="60"/>
      <c r="D984" s="60"/>
      <c r="E984" s="60"/>
      <c r="F984" s="60"/>
      <c r="G984" s="60"/>
      <c r="H984" s="60"/>
      <c r="I984" s="60"/>
      <c r="J984" s="60"/>
      <c r="K984" s="60"/>
      <c r="L984" s="60"/>
      <c r="M984" s="60"/>
    </row>
    <row r="985">
      <c r="A985" s="60"/>
      <c r="B985" s="60"/>
      <c r="C985" s="60"/>
      <c r="D985" s="60"/>
      <c r="E985" s="60"/>
      <c r="F985" s="60"/>
      <c r="G985" s="60"/>
      <c r="H985" s="60"/>
      <c r="I985" s="60"/>
      <c r="J985" s="60"/>
      <c r="K985" s="60"/>
      <c r="L985" s="60"/>
      <c r="M985" s="60"/>
    </row>
    <row r="986">
      <c r="A986" s="60"/>
      <c r="B986" s="60"/>
      <c r="C986" s="60"/>
      <c r="D986" s="60"/>
      <c r="E986" s="60"/>
      <c r="F986" s="60"/>
      <c r="G986" s="60"/>
      <c r="H986" s="60"/>
      <c r="I986" s="60"/>
      <c r="J986" s="60"/>
      <c r="K986" s="60"/>
      <c r="L986" s="60"/>
      <c r="M986" s="60"/>
    </row>
    <row r="987">
      <c r="A987" s="60"/>
      <c r="B987" s="60"/>
      <c r="C987" s="60"/>
      <c r="D987" s="60"/>
      <c r="E987" s="60"/>
      <c r="F987" s="60"/>
      <c r="G987" s="60"/>
      <c r="H987" s="60"/>
      <c r="I987" s="60"/>
      <c r="J987" s="60"/>
      <c r="K987" s="60"/>
      <c r="L987" s="60"/>
      <c r="M987" s="60"/>
    </row>
    <row r="988">
      <c r="A988" s="60"/>
      <c r="B988" s="60"/>
      <c r="C988" s="60"/>
      <c r="D988" s="60"/>
      <c r="E988" s="60"/>
      <c r="F988" s="60"/>
      <c r="G988" s="60"/>
      <c r="H988" s="60"/>
      <c r="I988" s="60"/>
      <c r="J988" s="60"/>
      <c r="K988" s="60"/>
      <c r="L988" s="60"/>
      <c r="M988" s="60"/>
    </row>
    <row r="989">
      <c r="A989" s="60"/>
      <c r="B989" s="60"/>
      <c r="C989" s="60"/>
      <c r="D989" s="60"/>
      <c r="E989" s="60"/>
      <c r="F989" s="60"/>
      <c r="G989" s="60"/>
      <c r="H989" s="60"/>
      <c r="I989" s="60"/>
      <c r="J989" s="60"/>
      <c r="K989" s="60"/>
      <c r="L989" s="60"/>
      <c r="M989" s="60"/>
    </row>
    <row r="990">
      <c r="A990" s="60"/>
      <c r="B990" s="60"/>
      <c r="C990" s="60"/>
      <c r="D990" s="60"/>
      <c r="E990" s="60"/>
      <c r="F990" s="60"/>
      <c r="G990" s="60"/>
      <c r="H990" s="60"/>
      <c r="I990" s="60"/>
      <c r="J990" s="60"/>
      <c r="K990" s="60"/>
      <c r="L990" s="60"/>
      <c r="M990" s="60"/>
    </row>
    <row r="991">
      <c r="A991" s="60"/>
      <c r="B991" s="60"/>
      <c r="C991" s="60"/>
      <c r="D991" s="60"/>
      <c r="E991" s="60"/>
      <c r="F991" s="60"/>
      <c r="G991" s="60"/>
      <c r="H991" s="60"/>
      <c r="I991" s="60"/>
      <c r="J991" s="60"/>
      <c r="K991" s="60"/>
      <c r="L991" s="60"/>
      <c r="M991" s="60"/>
    </row>
    <row r="992">
      <c r="A992" s="60"/>
      <c r="B992" s="60"/>
      <c r="C992" s="60"/>
      <c r="D992" s="60"/>
      <c r="E992" s="60"/>
      <c r="F992" s="60"/>
      <c r="G992" s="60"/>
      <c r="H992" s="60"/>
      <c r="I992" s="60"/>
      <c r="J992" s="60"/>
      <c r="K992" s="60"/>
      <c r="L992" s="60"/>
      <c r="M992" s="60"/>
    </row>
    <row r="993">
      <c r="A993" s="60"/>
      <c r="B993" s="60"/>
      <c r="C993" s="60"/>
      <c r="D993" s="60"/>
      <c r="E993" s="60"/>
      <c r="F993" s="60"/>
      <c r="G993" s="60"/>
      <c r="H993" s="60"/>
      <c r="I993" s="60"/>
      <c r="J993" s="60"/>
      <c r="K993" s="60"/>
      <c r="L993" s="60"/>
      <c r="M993" s="60"/>
    </row>
    <row r="994">
      <c r="A994" s="60"/>
      <c r="B994" s="60"/>
      <c r="C994" s="60"/>
      <c r="D994" s="60"/>
      <c r="E994" s="60"/>
      <c r="F994" s="60"/>
      <c r="G994" s="60"/>
      <c r="H994" s="60"/>
      <c r="I994" s="60"/>
      <c r="J994" s="60"/>
      <c r="K994" s="60"/>
      <c r="L994" s="60"/>
      <c r="M994" s="60"/>
    </row>
    <row r="995">
      <c r="A995" s="60"/>
      <c r="B995" s="60"/>
      <c r="C995" s="60"/>
      <c r="D995" s="60"/>
      <c r="E995" s="60"/>
      <c r="F995" s="60"/>
      <c r="G995" s="60"/>
      <c r="H995" s="60"/>
      <c r="I995" s="60"/>
      <c r="J995" s="60"/>
      <c r="K995" s="60"/>
      <c r="L995" s="60"/>
      <c r="M995" s="60"/>
    </row>
    <row r="996">
      <c r="A996" s="60"/>
      <c r="B996" s="60"/>
      <c r="C996" s="60"/>
      <c r="D996" s="60"/>
      <c r="E996" s="60"/>
      <c r="F996" s="60"/>
      <c r="G996" s="60"/>
      <c r="H996" s="60"/>
      <c r="I996" s="60"/>
      <c r="J996" s="60"/>
      <c r="K996" s="60"/>
      <c r="L996" s="60"/>
      <c r="M996" s="60"/>
    </row>
    <row r="997">
      <c r="A997" s="60"/>
      <c r="B997" s="60"/>
      <c r="C997" s="60"/>
      <c r="D997" s="60"/>
      <c r="E997" s="60"/>
      <c r="F997" s="60"/>
      <c r="G997" s="60"/>
      <c r="H997" s="60"/>
      <c r="I997" s="60"/>
      <c r="J997" s="60"/>
      <c r="K997" s="60"/>
      <c r="L997" s="60"/>
      <c r="M997" s="60"/>
    </row>
    <row r="998">
      <c r="A998" s="60"/>
      <c r="B998" s="60"/>
      <c r="C998" s="60"/>
      <c r="D998" s="60"/>
      <c r="E998" s="60"/>
      <c r="F998" s="60"/>
      <c r="G998" s="60"/>
      <c r="H998" s="60"/>
      <c r="I998" s="60"/>
      <c r="J998" s="60"/>
      <c r="K998" s="60"/>
      <c r="L998" s="60"/>
      <c r="M998" s="60"/>
    </row>
    <row r="999">
      <c r="A999" s="60"/>
      <c r="B999" s="60"/>
      <c r="C999" s="60"/>
      <c r="D999" s="60"/>
      <c r="E999" s="60"/>
      <c r="F999" s="60"/>
      <c r="G999" s="60"/>
      <c r="H999" s="60"/>
      <c r="I999" s="60"/>
      <c r="J999" s="60"/>
      <c r="K999" s="60"/>
      <c r="L999" s="60"/>
      <c r="M999" s="60"/>
    </row>
    <row r="1000">
      <c r="A1000" s="60"/>
      <c r="B1000" s="60"/>
      <c r="C1000" s="60"/>
      <c r="D1000" s="60"/>
      <c r="E1000" s="60"/>
      <c r="F1000" s="60"/>
      <c r="G1000" s="60"/>
      <c r="H1000" s="60"/>
      <c r="I1000" s="60"/>
      <c r="J1000" s="60"/>
      <c r="K1000" s="60"/>
      <c r="L1000" s="60"/>
      <c r="M1000" s="60"/>
    </row>
  </sheetData>
  <hyperlinks>
    <hyperlink display="RETURN TO DASHBOARD" location="Dashboard!A1" ref="A1"/>
    <hyperlink r:id="rId1" ref="M2"/>
    <hyperlink r:id="rId2" ref="M3"/>
    <hyperlink r:id="rId3" ref="M4"/>
    <hyperlink r:id="rId4" ref="M5"/>
    <hyperlink r:id="rId5" ref="I6"/>
    <hyperlink r:id="rId6" ref="M6"/>
    <hyperlink r:id="rId7" ref="M7"/>
    <hyperlink r:id="rId8" ref="M8"/>
    <hyperlink r:id="rId9" ref="M9"/>
    <hyperlink r:id="rId10" ref="M10"/>
    <hyperlink r:id="rId11" ref="M11"/>
    <hyperlink r:id="rId12" ref="M12"/>
    <hyperlink r:id="rId13" ref="M13"/>
    <hyperlink r:id="rId14" ref="M14"/>
    <hyperlink r:id="rId15" ref="M15"/>
    <hyperlink r:id="rId16" ref="M16"/>
    <hyperlink r:id="rId17" ref="M17"/>
    <hyperlink r:id="rId18" ref="M18"/>
    <hyperlink r:id="rId19" ref="M19"/>
    <hyperlink r:id="rId20" ref="M20"/>
    <hyperlink r:id="rId21" ref="M21"/>
    <hyperlink r:id="rId22" ref="M22"/>
    <hyperlink r:id="rId23" ref="M23"/>
    <hyperlink r:id="rId24" ref="M24"/>
    <hyperlink r:id="rId25" ref="M25"/>
    <hyperlink r:id="rId26" ref="M26"/>
    <hyperlink r:id="rId27" ref="M27"/>
    <hyperlink r:id="rId28" ref="M28"/>
    <hyperlink r:id="rId29" ref="M29"/>
    <hyperlink r:id="rId30" ref="M30"/>
    <hyperlink r:id="rId31" ref="M31"/>
    <hyperlink r:id="rId32" ref="M32"/>
    <hyperlink r:id="rId33" ref="M33"/>
    <hyperlink r:id="rId34" ref="M34"/>
    <hyperlink r:id="rId35" ref="M35"/>
    <hyperlink r:id="rId36" ref="M36"/>
    <hyperlink r:id="rId37" ref="M37"/>
    <hyperlink r:id="rId38" ref="M38"/>
    <hyperlink r:id="rId39" ref="M39"/>
    <hyperlink r:id="rId40" ref="M40"/>
    <hyperlink r:id="rId41" ref="M41"/>
    <hyperlink r:id="rId42" ref="M42"/>
    <hyperlink r:id="rId43" ref="M43"/>
    <hyperlink r:id="rId44" ref="M44"/>
    <hyperlink r:id="rId45" ref="M45"/>
    <hyperlink r:id="rId46" ref="M46"/>
    <hyperlink r:id="rId47" ref="M47"/>
    <hyperlink r:id="rId48" ref="M48"/>
    <hyperlink r:id="rId49" ref="M49"/>
    <hyperlink r:id="rId50" ref="M50"/>
    <hyperlink r:id="rId51" ref="M51"/>
    <hyperlink r:id="rId52" ref="M52"/>
    <hyperlink r:id="rId53" ref="M53"/>
    <hyperlink r:id="rId54" ref="M54"/>
    <hyperlink r:id="rId55" ref="M55"/>
    <hyperlink r:id="rId56" ref="M56"/>
    <hyperlink r:id="rId57" ref="M57"/>
    <hyperlink r:id="rId58" ref="M58"/>
    <hyperlink r:id="rId59" ref="M59"/>
    <hyperlink r:id="rId60" ref="M60"/>
    <hyperlink r:id="rId61" ref="M61"/>
    <hyperlink r:id="rId62" ref="M62"/>
    <hyperlink r:id="rId63" ref="M63"/>
    <hyperlink r:id="rId64" ref="M64"/>
    <hyperlink r:id="rId65" ref="M65"/>
    <hyperlink r:id="rId66" ref="M66"/>
    <hyperlink r:id="rId67" ref="M67"/>
    <hyperlink r:id="rId68" ref="M68"/>
    <hyperlink r:id="rId69" ref="M69"/>
    <hyperlink r:id="rId70" ref="M70"/>
    <hyperlink r:id="rId71" ref="M71"/>
  </hyperlinks>
  <drawing r:id="rId7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5"/>
    <col customWidth="1" min="2" max="2" width="10.13"/>
    <col customWidth="1" min="3" max="3" width="18.75"/>
    <col customWidth="1" min="4" max="4" width="10.25"/>
    <col customWidth="1" min="5" max="5" width="11.38"/>
    <col customWidth="1" min="6" max="6" width="10.63"/>
    <col customWidth="1" min="7" max="7" width="54.0"/>
    <col customWidth="1" min="8" max="8" width="12.0"/>
    <col customWidth="1" min="9" max="9" width="15.25"/>
    <col customWidth="1" min="10" max="10" width="10.75"/>
    <col customWidth="1" min="12" max="12" width="15.5"/>
  </cols>
  <sheetData>
    <row r="1">
      <c r="A1" s="43" t="s">
        <v>1258</v>
      </c>
      <c r="B1" s="45" t="str">
        <f>IFERROR(__xludf.DUMMYFUNCTION("QUERY('Form Responses 1'!A:AAC, ""SELECT AO, AP, AQ, AR, AS, AT, AU, AV, AW, AX, AY WHERE C = 'Immersion program'"", 1)"),"Status")</f>
        <v>Status</v>
      </c>
      <c r="C1" s="45" t="str">
        <f>IFERROR(__xludf.DUMMYFUNCTION("""COMPUTED_VALUE"""),"Incoming/Outgoing")</f>
        <v>Incoming/Outgoing</v>
      </c>
      <c r="D1" s="45" t="str">
        <f>IFERROR(__xludf.DUMMYFUNCTION("""COMPUTED_VALUE"""),"Country ")</f>
        <v>Country </v>
      </c>
      <c r="E1" s="45" t="str">
        <f>IFERROR(__xludf.DUMMYFUNCTION("""COMPUTED_VALUE"""),"University ")</f>
        <v>University </v>
      </c>
      <c r="F1" s="45" t="str">
        <f>IFERROR(__xludf.DUMMYFUNCTION("""COMPUTED_VALUE"""),"No of Pax")</f>
        <v>No of Pax</v>
      </c>
      <c r="G1" s="45" t="str">
        <f>IFERROR(__xludf.DUMMYFUNCTION("""COMPUTED_VALUE"""),"Summary")</f>
        <v>Summary</v>
      </c>
      <c r="H1" s="45" t="str">
        <f>IFERROR(__xludf.DUMMYFUNCTION("""COMPUTED_VALUE"""),"Arrival Date")</f>
        <v>Arrival Date</v>
      </c>
      <c r="I1" s="45" t="str">
        <f>IFERROR(__xludf.DUMMYFUNCTION("""COMPUTED_VALUE"""),"Departure Date")</f>
        <v>Departure Date</v>
      </c>
      <c r="J1" s="45" t="str">
        <f>IFERROR(__xludf.DUMMYFUNCTION("""COMPUTED_VALUE"""),"Fees Per Pax")</f>
        <v>Fees Per Pax</v>
      </c>
      <c r="K1" s="45" t="str">
        <f>IFERROR(__xludf.DUMMYFUNCTION("""COMPUTED_VALUE"""),"Department ")</f>
        <v>Department </v>
      </c>
      <c r="L1" s="45" t="str">
        <f>IFERROR(__xludf.DUMMYFUNCTION("""COMPUTED_VALUE"""),"Immersion Program -  Upload Zip FIle")</f>
        <v>Immersion Program -  Upload Zip FIle</v>
      </c>
      <c r="M1" s="46"/>
      <c r="N1" s="46"/>
      <c r="O1" s="46"/>
      <c r="P1" s="46"/>
      <c r="Q1" s="46"/>
      <c r="R1" s="46"/>
      <c r="S1" s="46"/>
      <c r="T1" s="46"/>
      <c r="U1" s="46"/>
      <c r="V1" s="46"/>
      <c r="W1" s="46"/>
      <c r="X1" s="46"/>
      <c r="Y1" s="46"/>
      <c r="Z1" s="46"/>
      <c r="AA1" s="46"/>
    </row>
    <row r="2">
      <c r="A2" s="63"/>
      <c r="B2" s="49" t="str">
        <f>IFERROR(__xludf.DUMMYFUNCTION("""COMPUTED_VALUE"""),"Completed")</f>
        <v>Completed</v>
      </c>
      <c r="C2" s="49" t="str">
        <f>IFERROR(__xludf.DUMMYFUNCTION("""COMPUTED_VALUE"""),"Outgoing")</f>
        <v>Outgoing</v>
      </c>
      <c r="D2" s="49" t="str">
        <f>IFERROR(__xludf.DUMMYFUNCTION("""COMPUTED_VALUE"""),"Malaysia ")</f>
        <v>Malaysia </v>
      </c>
      <c r="E2" s="49" t="str">
        <f>IFERROR(__xludf.DUMMYFUNCTION("""COMPUTED_VALUE"""),"Limkokwing University")</f>
        <v>Limkokwing University</v>
      </c>
      <c r="F2" s="49">
        <f>IFERROR(__xludf.DUMMYFUNCTION("""COMPUTED_VALUE"""),14.0)</f>
        <v>14</v>
      </c>
      <c r="G2" s="49" t="str">
        <f>IFERROR(__xludf.DUMMYFUNCTION("""COMPUTED_VALUE"""),"Introduction to Limkokwing University of Creative Technology(LUCT): Limkokwing University of Creative Technology, located in Cyberjaya, Malaysia, is a global leader in innovative education, fostering creativity, entrepreneurship, and cultural diversity. T"&amp;"hrough dynamic programs and state-of-the-art facilities, we empower students to thrive in today's interconnected world. Our collaborations with esteemed institutions like Partner Institute provide unique opportunities for students to engage in cross-cultu"&amp;"ral exchanges and immersive learning experiences, enhancing their global perspective and academic journey.")</f>
        <v>Introduction to Limkokwing University of Creative Technology(LUCT): Limkokwing University of Creative Technology, located in Cyberjaya, Malaysia, is a global leader in innovative education, fostering creativity, entrepreneurship, and cultural diversity. Through dynamic programs and state-of-the-art facilities, we empower students to thrive in today's interconnected world. Our collaborations with esteemed institutions like Partner Institute provide unique opportunities for students to engage in cross-cultural exchanges and immersive learning experiences, enhancing their global perspective and academic journey.</v>
      </c>
      <c r="H2" s="53">
        <f>IFERROR(__xludf.DUMMYFUNCTION("""COMPUTED_VALUE"""),45488.0)</f>
        <v>45488</v>
      </c>
      <c r="I2" s="53">
        <f>IFERROR(__xludf.DUMMYFUNCTION("""COMPUTED_VALUE"""),45494.0)</f>
        <v>45494</v>
      </c>
      <c r="J2" s="49">
        <f>IFERROR(__xludf.DUMMYFUNCTION("""COMPUTED_VALUE"""),520.0)</f>
        <v>520</v>
      </c>
      <c r="K2" s="49" t="str">
        <f>IFERROR(__xludf.DUMMYFUNCTION("""COMPUTED_VALUE"""),"SCMS-UG")</f>
        <v>SCMS-UG</v>
      </c>
      <c r="L2" s="50" t="str">
        <f>IFERROR(__xludf.DUMMYFUNCTION("""COMPUTED_VALUE"""),"https://drive.google.com/open?id=1mnW-DP6jHacAuptkkVU6y7vzZ-qVP9xF")</f>
        <v>https://drive.google.com/open?id=1mnW-DP6jHacAuptkkVU6y7vzZ-qVP9xF</v>
      </c>
    </row>
    <row r="3">
      <c r="A3" s="63"/>
      <c r="B3" s="49" t="str">
        <f>IFERROR(__xludf.DUMMYFUNCTION("""COMPUTED_VALUE"""),"Completed")</f>
        <v>Completed</v>
      </c>
      <c r="C3" s="49" t="str">
        <f>IFERROR(__xludf.DUMMYFUNCTION("""COMPUTED_VALUE"""),"Outgoing")</f>
        <v>Outgoing</v>
      </c>
      <c r="D3" s="49" t="str">
        <f>IFERROR(__xludf.DUMMYFUNCTION("""COMPUTED_VALUE"""),"Malaysia ")</f>
        <v>Malaysia </v>
      </c>
      <c r="E3" s="49" t="str">
        <f>IFERROR(__xludf.DUMMYFUNCTION("""COMPUTED_VALUE"""),"University of Wollongong, Malaysia")</f>
        <v>University of Wollongong, Malaysia</v>
      </c>
      <c r="F3" s="49">
        <f>IFERROR(__xludf.DUMMYFUNCTION("""COMPUTED_VALUE"""),2.0)</f>
        <v>2</v>
      </c>
      <c r="G3" s="49" t="str">
        <f>IFERROR(__xludf.DUMMYFUNCTION("""COMPUTED_VALUE"""),"Dear Ms. Supriya,  Greetings from UnTechEd!  I am pleased to inform you that we have received the enrollments of two students from Dayananda Sagar University for the Law Immersion Student Mobility Program at the University of Wollongong, Malaysia, schedul"&amp;"ed from November 10–19, 2024.  Below are the details of the enrolled students:  Dhanush K Program: BBA LLB Hon’s Email: silverdhanush800@gmail.com Contact: +91 9513871084  Keerthik L Program: BBA LLB Hon’s Email: keerthik1601@gmail.com Contact: +91 959782"&amp;"5149  Thank you for your invaluable support in promoting this program within the Law department. We look forward to this being the start of a meaningful collaboration between UnTechEd and Dayananda Sagar University.")</f>
        <v>Dear Ms. Supriya,  Greetings from UnTechEd!  I am pleased to inform you that we have received the enrollments of two students from Dayananda Sagar University for the Law Immersion Student Mobility Program at the University of Wollongong, Malaysia, scheduled from November 10–19, 2024.  Below are the details of the enrolled students:  Dhanush K Program: BBA LLB Hon’s Email: silverdhanush800@gmail.com Contact: +91 9513871084  Keerthik L Program: BBA LLB Hon’s Email: keerthik1601@gmail.com Contact: +91 9597825149  Thank you for your invaluable support in promoting this program within the Law department. We look forward to this being the start of a meaningful collaboration between UnTechEd and Dayananda Sagar University.</v>
      </c>
      <c r="H3" s="53">
        <f>IFERROR(__xludf.DUMMYFUNCTION("""COMPUTED_VALUE"""),45606.0)</f>
        <v>45606</v>
      </c>
      <c r="I3" s="53">
        <f>IFERROR(__xludf.DUMMYFUNCTION("""COMPUTED_VALUE"""),45615.0)</f>
        <v>45615</v>
      </c>
      <c r="J3" s="49">
        <f>IFERROR(__xludf.DUMMYFUNCTION("""COMPUTED_VALUE"""),1000.0)</f>
        <v>1000</v>
      </c>
      <c r="K3" s="49" t="str">
        <f>IFERROR(__xludf.DUMMYFUNCTION("""COMPUTED_VALUE"""),"School of Law")</f>
        <v>School of Law</v>
      </c>
      <c r="L3" s="50" t="str">
        <f>IFERROR(__xludf.DUMMYFUNCTION("""COMPUTED_VALUE"""),"https://drive.google.com/open?id=1FnxH9AXY9zsGu883xGIAsBrfj-tYd_SB")</f>
        <v>https://drive.google.com/open?id=1FnxH9AXY9zsGu883xGIAsBrfj-tYd_SB</v>
      </c>
    </row>
    <row r="4">
      <c r="A4" s="63"/>
      <c r="B4" s="49" t="str">
        <f>IFERROR(__xludf.DUMMYFUNCTION("""COMPUTED_VALUE"""),"Completed")</f>
        <v>Completed</v>
      </c>
      <c r="C4" s="49" t="str">
        <f>IFERROR(__xludf.DUMMYFUNCTION("""COMPUTED_VALUE"""),"Incoming")</f>
        <v>Incoming</v>
      </c>
      <c r="D4" s="49" t="str">
        <f>IFERROR(__xludf.DUMMYFUNCTION("""COMPUTED_VALUE"""),"Australia ")</f>
        <v>Australia </v>
      </c>
      <c r="E4" s="49" t="str">
        <f>IFERROR(__xludf.DUMMYFUNCTION("""COMPUTED_VALUE"""),"Curtin Immersion")</f>
        <v>Curtin Immersion</v>
      </c>
      <c r="F4" s="49">
        <f>IFERROR(__xludf.DUMMYFUNCTION("""COMPUTED_VALUE"""),14.0)</f>
        <v>14</v>
      </c>
      <c r="G4" s="49"/>
      <c r="H4" s="53">
        <f>IFERROR(__xludf.DUMMYFUNCTION("""COMPUTED_VALUE"""),45613.0)</f>
        <v>45613</v>
      </c>
      <c r="I4" s="53">
        <f>IFERROR(__xludf.DUMMYFUNCTION("""COMPUTED_VALUE"""),45633.0)</f>
        <v>45633</v>
      </c>
      <c r="J4" s="49">
        <f>IFERROR(__xludf.DUMMYFUNCTION("""COMPUTED_VALUE"""),2800.0)</f>
        <v>2800</v>
      </c>
      <c r="K4" s="49" t="str">
        <f>IFERROR(__xludf.DUMMYFUNCTION("""COMPUTED_VALUE"""),"SCMS UG")</f>
        <v>SCMS UG</v>
      </c>
      <c r="L4" s="50" t="str">
        <f>IFERROR(__xludf.DUMMYFUNCTION("""COMPUTED_VALUE"""),"https://drive.google.com/open?id=1pSqcL3GNUop6omX7UeEcnqrQk1pWkNU8")</f>
        <v>https://drive.google.com/open?id=1pSqcL3GNUop6omX7UeEcnqrQk1pWkNU8</v>
      </c>
    </row>
    <row r="5">
      <c r="A5" s="63"/>
      <c r="B5" s="49" t="str">
        <f>IFERROR(__xludf.DUMMYFUNCTION("""COMPUTED_VALUE"""),"Completed")</f>
        <v>Completed</v>
      </c>
      <c r="C5" s="49" t="str">
        <f>IFERROR(__xludf.DUMMYFUNCTION("""COMPUTED_VALUE"""),"Incoming")</f>
        <v>Incoming</v>
      </c>
      <c r="D5" s="49" t="str">
        <f>IFERROR(__xludf.DUMMYFUNCTION("""COMPUTED_VALUE"""),"UK")</f>
        <v>UK</v>
      </c>
      <c r="E5" s="49" t="str">
        <f>IFERROR(__xludf.DUMMYFUNCTION("""COMPUTED_VALUE"""),"Staffordshire University")</f>
        <v>Staffordshire University</v>
      </c>
      <c r="F5" s="49">
        <f>IFERROR(__xludf.DUMMYFUNCTION("""COMPUTED_VALUE"""),12.0)</f>
        <v>12</v>
      </c>
      <c r="G5" s="49"/>
      <c r="H5" s="53">
        <f>IFERROR(__xludf.DUMMYFUNCTION("""COMPUTED_VALUE"""),45710.0)</f>
        <v>45710</v>
      </c>
      <c r="I5" s="53">
        <f>IFERROR(__xludf.DUMMYFUNCTION("""COMPUTED_VALUE"""),45717.0)</f>
        <v>45717</v>
      </c>
      <c r="J5" s="49"/>
      <c r="K5" s="49" t="str">
        <f>IFERROR(__xludf.DUMMYFUNCTION("""COMPUTED_VALUE"""),"SCMS UG")</f>
        <v>SCMS UG</v>
      </c>
      <c r="L5" s="50" t="str">
        <f>IFERROR(__xludf.DUMMYFUNCTION("""COMPUTED_VALUE"""),"https://drive.google.com/open?id=1Ns_aCNB4kecnrN60mZlGjScSamrzoZOD")</f>
        <v>https://drive.google.com/open?id=1Ns_aCNB4kecnrN60mZlGjScSamrzoZOD</v>
      </c>
    </row>
    <row r="6">
      <c r="A6" s="63"/>
      <c r="B6" s="49" t="str">
        <f>IFERROR(__xludf.DUMMYFUNCTION("""COMPUTED_VALUE"""),"Completed")</f>
        <v>Completed</v>
      </c>
      <c r="C6" s="49" t="str">
        <f>IFERROR(__xludf.DUMMYFUNCTION("""COMPUTED_VALUE"""),"Incoming")</f>
        <v>Incoming</v>
      </c>
      <c r="D6" s="49" t="str">
        <f>IFERROR(__xludf.DUMMYFUNCTION("""COMPUTED_VALUE"""),"USA")</f>
        <v>USA</v>
      </c>
      <c r="E6" s="49" t="str">
        <f>IFERROR(__xludf.DUMMYFUNCTION("""COMPUTED_VALUE"""),"University of North Carolina Charlotte, Providence Day School, Charlotte High School , C.G. Woodson High Schoo")</f>
        <v>University of North Carolina Charlotte, Providence Day School, Charlotte High School , C.G. Woodson High Schoo</v>
      </c>
      <c r="F6" s="49">
        <f>IFERROR(__xludf.DUMMYFUNCTION("""COMPUTED_VALUE"""),5.0)</f>
        <v>5</v>
      </c>
      <c r="G6" s="49" t="str">
        <f>IFERROR(__xludf.DUMMYFUNCTION("""COMPUTED_VALUE"""),"Dear Sir,  We hosted a group of students for a 3-week observership program at CDSIMER from 7th July to 25th July 2025. The participants included both Indian and international students, each at different stages of their academic journey:  • Sapna – 2nd-yea"&amp;"r undergraduate student at the University of North Carolina, pursuing Pre-Med. • Karishma – Incoming 1st-year undergraduate student at Harvard University, planning to major in Economics &amp; Health. • Chaitanya – US-based student, currently in 2nd year of PU"&amp;"C, following the STEM path. • Rohan – Indian student who has completed 2nd PUC and taken the NEET exam, interested in pursuing Medical School. • Bhavana – Indian student who has completed 2nd PUC and is inclined towards a career in Ayurvedic Medicine.  Th"&amp;"e students were placed across various departments at CDSIMER to gain exposure to the clinical environment and medical practices. The program concluded successfully on 25th July with a feedback and reflection session.")</f>
        <v>Dear Sir,  We hosted a group of students for a 3-week observership program at CDSIMER from 7th July to 25th July 2025. The participants included both Indian and international students, each at different stages of their academic journey:  • Sapna – 2nd-year undergraduate student at the University of North Carolina, pursuing Pre-Med. • Karishma – Incoming 1st-year undergraduate student at Harvard University, planning to major in Economics &amp; Health. • Chaitanya – US-based student, currently in 2nd year of PUC, following the STEM path. • Rohan – Indian student who has completed 2nd PUC and taken the NEET exam, interested in pursuing Medical School. • Bhavana – Indian student who has completed 2nd PUC and is inclined towards a career in Ayurvedic Medicine.  The students were placed across various departments at CDSIMER to gain exposure to the clinical environment and medical practices. The program concluded successfully on 25th July with a feedback and reflection session.</v>
      </c>
      <c r="H6" s="53">
        <f>IFERROR(__xludf.DUMMYFUNCTION("""COMPUTED_VALUE"""),45845.0)</f>
        <v>45845</v>
      </c>
      <c r="I6" s="53">
        <f>IFERROR(__xludf.DUMMYFUNCTION("""COMPUTED_VALUE"""),45865.0)</f>
        <v>45865</v>
      </c>
      <c r="J6" s="49">
        <f>IFERROR(__xludf.DUMMYFUNCTION("""COMPUTED_VALUE"""),300.0)</f>
        <v>300</v>
      </c>
      <c r="K6" s="49" t="str">
        <f>IFERROR(__xludf.DUMMYFUNCTION("""COMPUTED_VALUE"""),"CDSIMER")</f>
        <v>CDSIMER</v>
      </c>
      <c r="L6" s="50" t="str">
        <f>IFERROR(__xludf.DUMMYFUNCTION("""COMPUTED_VALUE"""),"https://drive.google.com/open?id=1KEtrmpuPO5JJUVtUzZqpc12lF4MEWh0X")</f>
        <v>https://drive.google.com/open?id=1KEtrmpuPO5JJUVtUzZqpc12lF4MEWh0X</v>
      </c>
    </row>
    <row r="7">
      <c r="A7" s="63"/>
      <c r="B7" s="49"/>
      <c r="C7" s="49"/>
      <c r="D7" s="49"/>
      <c r="E7" s="49"/>
      <c r="F7" s="49"/>
      <c r="G7" s="49"/>
      <c r="H7" s="49"/>
      <c r="I7" s="49"/>
      <c r="J7" s="49"/>
      <c r="K7" s="49"/>
      <c r="L7" s="49"/>
    </row>
    <row r="8">
      <c r="A8" s="63"/>
      <c r="B8" s="49"/>
      <c r="C8" s="49"/>
      <c r="D8" s="49"/>
      <c r="E8" s="49"/>
      <c r="F8" s="49"/>
      <c r="G8" s="49"/>
      <c r="H8" s="49"/>
      <c r="I8" s="49"/>
      <c r="J8" s="49"/>
      <c r="K8" s="49"/>
      <c r="L8" s="49"/>
    </row>
    <row r="9">
      <c r="A9" s="63"/>
      <c r="B9" s="49"/>
      <c r="C9" s="49"/>
      <c r="D9" s="49"/>
      <c r="E9" s="49"/>
      <c r="F9" s="49"/>
      <c r="G9" s="49"/>
      <c r="H9" s="49"/>
      <c r="I9" s="49"/>
      <c r="J9" s="49"/>
      <c r="K9" s="49"/>
      <c r="L9" s="49"/>
    </row>
    <row r="10">
      <c r="A10" s="63"/>
      <c r="B10" s="49"/>
      <c r="C10" s="49"/>
      <c r="D10" s="49"/>
      <c r="E10" s="49"/>
      <c r="F10" s="49"/>
      <c r="G10" s="49"/>
      <c r="H10" s="49"/>
      <c r="I10" s="49"/>
      <c r="J10" s="49"/>
      <c r="K10" s="49"/>
      <c r="L10" s="49"/>
    </row>
    <row r="11">
      <c r="A11" s="63"/>
      <c r="B11" s="49"/>
      <c r="C11" s="49"/>
      <c r="D11" s="49"/>
      <c r="E11" s="49"/>
      <c r="F11" s="49"/>
      <c r="G11" s="49"/>
      <c r="H11" s="49"/>
      <c r="I11" s="49"/>
      <c r="J11" s="49"/>
      <c r="K11" s="49"/>
      <c r="L11" s="49"/>
    </row>
    <row r="12">
      <c r="A12" s="63"/>
      <c r="B12" s="49"/>
      <c r="C12" s="49"/>
      <c r="D12" s="49"/>
      <c r="E12" s="49"/>
      <c r="F12" s="49"/>
      <c r="G12" s="49"/>
      <c r="H12" s="49"/>
      <c r="I12" s="49"/>
      <c r="J12" s="49"/>
      <c r="K12" s="49"/>
      <c r="L12" s="49"/>
    </row>
    <row r="13">
      <c r="A13" s="63"/>
      <c r="B13" s="49"/>
      <c r="C13" s="49"/>
      <c r="D13" s="49"/>
      <c r="E13" s="49"/>
      <c r="F13" s="49"/>
      <c r="G13" s="49"/>
      <c r="H13" s="49"/>
      <c r="I13" s="49"/>
      <c r="J13" s="49"/>
      <c r="K13" s="49"/>
      <c r="L13" s="49"/>
    </row>
    <row r="14">
      <c r="A14" s="63"/>
      <c r="B14" s="49"/>
      <c r="C14" s="49"/>
      <c r="D14" s="49"/>
      <c r="E14" s="49"/>
      <c r="F14" s="49"/>
      <c r="G14" s="49"/>
      <c r="H14" s="49"/>
      <c r="I14" s="49"/>
      <c r="J14" s="49"/>
      <c r="K14" s="49"/>
      <c r="L14" s="49"/>
    </row>
    <row r="15">
      <c r="A15" s="63"/>
      <c r="B15" s="49"/>
      <c r="C15" s="49"/>
      <c r="D15" s="49"/>
      <c r="E15" s="49"/>
      <c r="F15" s="49"/>
      <c r="G15" s="49"/>
      <c r="H15" s="49"/>
      <c r="I15" s="49"/>
      <c r="J15" s="49"/>
      <c r="K15" s="49"/>
      <c r="L15" s="49"/>
    </row>
    <row r="16">
      <c r="A16" s="63"/>
      <c r="B16" s="49"/>
      <c r="C16" s="49"/>
      <c r="D16" s="49"/>
      <c r="E16" s="49"/>
      <c r="F16" s="49"/>
      <c r="G16" s="49"/>
      <c r="H16" s="49"/>
      <c r="I16" s="49"/>
      <c r="J16" s="49"/>
      <c r="K16" s="49"/>
      <c r="L16" s="49"/>
    </row>
    <row r="17">
      <c r="A17" s="63"/>
      <c r="B17" s="49"/>
      <c r="C17" s="49"/>
      <c r="D17" s="49"/>
      <c r="E17" s="49"/>
      <c r="F17" s="49"/>
      <c r="G17" s="49"/>
      <c r="H17" s="49"/>
      <c r="I17" s="49"/>
      <c r="J17" s="49"/>
      <c r="K17" s="49"/>
      <c r="L17" s="49"/>
    </row>
    <row r="18">
      <c r="A18" s="63"/>
      <c r="B18" s="49"/>
      <c r="C18" s="49"/>
      <c r="D18" s="49"/>
      <c r="E18" s="49"/>
      <c r="F18" s="49"/>
      <c r="G18" s="49"/>
      <c r="H18" s="49"/>
      <c r="I18" s="49"/>
      <c r="J18" s="49"/>
      <c r="K18" s="49"/>
      <c r="L18" s="49"/>
    </row>
    <row r="19">
      <c r="A19" s="63"/>
      <c r="B19" s="49"/>
      <c r="C19" s="49"/>
      <c r="D19" s="49"/>
      <c r="E19" s="49"/>
      <c r="F19" s="49"/>
      <c r="G19" s="49"/>
      <c r="H19" s="49"/>
      <c r="I19" s="49"/>
      <c r="J19" s="49"/>
      <c r="K19" s="49"/>
      <c r="L19" s="49"/>
    </row>
    <row r="20">
      <c r="A20" s="63"/>
      <c r="B20" s="49"/>
      <c r="C20" s="49"/>
      <c r="D20" s="49"/>
      <c r="E20" s="49"/>
      <c r="F20" s="49"/>
      <c r="G20" s="49"/>
      <c r="H20" s="49"/>
      <c r="I20" s="49"/>
      <c r="J20" s="49"/>
      <c r="K20" s="49"/>
      <c r="L20" s="49"/>
    </row>
    <row r="21">
      <c r="A21" s="63"/>
      <c r="B21" s="49"/>
      <c r="C21" s="49"/>
      <c r="D21" s="49"/>
      <c r="E21" s="49"/>
      <c r="F21" s="49"/>
      <c r="G21" s="49"/>
      <c r="H21" s="49"/>
      <c r="I21" s="49"/>
      <c r="J21" s="49"/>
      <c r="K21" s="49"/>
      <c r="L21" s="49"/>
    </row>
    <row r="22">
      <c r="A22" s="63"/>
      <c r="B22" s="49"/>
      <c r="C22" s="49"/>
      <c r="D22" s="49"/>
      <c r="E22" s="49"/>
      <c r="F22" s="49"/>
      <c r="G22" s="49"/>
      <c r="H22" s="49"/>
      <c r="I22" s="49"/>
      <c r="J22" s="49"/>
      <c r="K22" s="49"/>
      <c r="L22" s="49"/>
    </row>
    <row r="23">
      <c r="A23" s="63"/>
      <c r="B23" s="49"/>
      <c r="C23" s="49"/>
      <c r="D23" s="49"/>
      <c r="E23" s="49"/>
      <c r="F23" s="49"/>
      <c r="G23" s="49"/>
      <c r="H23" s="49"/>
      <c r="I23" s="49"/>
      <c r="J23" s="49"/>
      <c r="K23" s="49"/>
      <c r="L23" s="49"/>
    </row>
    <row r="24">
      <c r="A24" s="63"/>
      <c r="B24" s="49"/>
      <c r="C24" s="49"/>
      <c r="D24" s="49"/>
      <c r="E24" s="49"/>
      <c r="F24" s="49"/>
      <c r="G24" s="49"/>
      <c r="H24" s="49"/>
      <c r="I24" s="49"/>
      <c r="J24" s="49"/>
      <c r="K24" s="49"/>
      <c r="L24" s="49"/>
    </row>
    <row r="25">
      <c r="A25" s="63"/>
      <c r="B25" s="49"/>
      <c r="C25" s="49"/>
      <c r="D25" s="49"/>
      <c r="E25" s="49"/>
      <c r="F25" s="49"/>
      <c r="G25" s="49"/>
      <c r="H25" s="49"/>
      <c r="I25" s="49"/>
      <c r="J25" s="49"/>
      <c r="K25" s="49"/>
      <c r="L25" s="49"/>
    </row>
    <row r="26">
      <c r="A26" s="63"/>
      <c r="B26" s="49"/>
      <c r="C26" s="49"/>
      <c r="D26" s="49"/>
      <c r="E26" s="49"/>
      <c r="F26" s="49"/>
      <c r="G26" s="49"/>
      <c r="H26" s="49"/>
      <c r="I26" s="49"/>
      <c r="J26" s="49"/>
      <c r="K26" s="49"/>
      <c r="L26" s="49"/>
    </row>
    <row r="27">
      <c r="A27" s="63"/>
      <c r="B27" s="49"/>
      <c r="C27" s="49"/>
      <c r="D27" s="49"/>
      <c r="E27" s="49"/>
      <c r="F27" s="49"/>
      <c r="G27" s="49"/>
      <c r="H27" s="49"/>
      <c r="I27" s="49"/>
      <c r="J27" s="49"/>
      <c r="K27" s="49"/>
      <c r="L27" s="49"/>
    </row>
    <row r="28">
      <c r="A28" s="63"/>
      <c r="B28" s="49"/>
      <c r="C28" s="49"/>
      <c r="D28" s="49"/>
      <c r="E28" s="49"/>
      <c r="F28" s="49"/>
      <c r="G28" s="49"/>
      <c r="H28" s="49"/>
      <c r="I28" s="49"/>
      <c r="J28" s="49"/>
      <c r="K28" s="49"/>
      <c r="L28" s="49"/>
    </row>
    <row r="29">
      <c r="A29" s="63"/>
      <c r="B29" s="49"/>
      <c r="C29" s="49"/>
      <c r="D29" s="49"/>
      <c r="E29" s="49"/>
      <c r="F29" s="49"/>
      <c r="G29" s="49"/>
      <c r="H29" s="49"/>
      <c r="I29" s="49"/>
      <c r="J29" s="49"/>
      <c r="K29" s="49"/>
      <c r="L29" s="49"/>
    </row>
    <row r="30">
      <c r="A30" s="63"/>
      <c r="B30" s="49"/>
      <c r="C30" s="49"/>
      <c r="D30" s="49"/>
      <c r="E30" s="49"/>
      <c r="F30" s="49"/>
      <c r="G30" s="49"/>
      <c r="H30" s="49"/>
      <c r="I30" s="49"/>
      <c r="J30" s="49"/>
      <c r="K30" s="49"/>
      <c r="L30" s="49"/>
    </row>
    <row r="31">
      <c r="A31" s="63"/>
      <c r="B31" s="49"/>
      <c r="C31" s="49"/>
      <c r="D31" s="49"/>
      <c r="E31" s="49"/>
      <c r="F31" s="49"/>
      <c r="G31" s="49"/>
      <c r="H31" s="49"/>
      <c r="I31" s="49"/>
      <c r="J31" s="49"/>
      <c r="K31" s="49"/>
      <c r="L31" s="49"/>
    </row>
    <row r="32">
      <c r="A32" s="63"/>
      <c r="B32" s="49"/>
      <c r="C32" s="49"/>
      <c r="D32" s="49"/>
      <c r="E32" s="49"/>
      <c r="F32" s="49"/>
      <c r="G32" s="49"/>
      <c r="H32" s="49"/>
      <c r="I32" s="49"/>
      <c r="J32" s="49"/>
      <c r="K32" s="49"/>
      <c r="L32" s="49"/>
    </row>
    <row r="33">
      <c r="A33" s="63"/>
      <c r="B33" s="49"/>
      <c r="C33" s="49"/>
      <c r="D33" s="49"/>
      <c r="E33" s="49"/>
      <c r="F33" s="49"/>
      <c r="G33" s="49"/>
      <c r="H33" s="49"/>
      <c r="I33" s="49"/>
      <c r="J33" s="49"/>
      <c r="K33" s="49"/>
      <c r="L33" s="49"/>
    </row>
    <row r="34">
      <c r="A34" s="63"/>
      <c r="B34" s="49"/>
      <c r="C34" s="49"/>
      <c r="D34" s="49"/>
      <c r="E34" s="49"/>
      <c r="F34" s="49"/>
      <c r="G34" s="49"/>
      <c r="H34" s="49"/>
      <c r="I34" s="49"/>
      <c r="J34" s="49"/>
      <c r="K34" s="49"/>
      <c r="L34" s="49"/>
    </row>
    <row r="35">
      <c r="A35" s="63"/>
      <c r="B35" s="49"/>
      <c r="C35" s="49"/>
      <c r="D35" s="49"/>
      <c r="E35" s="49"/>
      <c r="F35" s="49"/>
      <c r="G35" s="49"/>
      <c r="H35" s="49"/>
      <c r="I35" s="49"/>
      <c r="J35" s="49"/>
      <c r="K35" s="49"/>
      <c r="L35" s="49"/>
    </row>
    <row r="36">
      <c r="A36" s="63"/>
      <c r="B36" s="49"/>
      <c r="C36" s="49"/>
      <c r="D36" s="49"/>
      <c r="E36" s="49"/>
      <c r="F36" s="49"/>
      <c r="G36" s="49"/>
      <c r="H36" s="49"/>
      <c r="I36" s="49"/>
      <c r="J36" s="49"/>
      <c r="K36" s="49"/>
      <c r="L36" s="49"/>
    </row>
    <row r="37">
      <c r="A37" s="63"/>
      <c r="B37" s="49"/>
      <c r="C37" s="49"/>
      <c r="D37" s="49"/>
      <c r="E37" s="49"/>
      <c r="F37" s="49"/>
      <c r="G37" s="49"/>
      <c r="H37" s="49"/>
      <c r="I37" s="49"/>
      <c r="J37" s="49"/>
      <c r="K37" s="49"/>
      <c r="L37" s="49"/>
    </row>
    <row r="38">
      <c r="A38" s="63"/>
      <c r="B38" s="49"/>
      <c r="C38" s="49"/>
      <c r="D38" s="49"/>
      <c r="E38" s="49"/>
      <c r="F38" s="49"/>
      <c r="G38" s="49"/>
      <c r="H38" s="49"/>
      <c r="I38" s="49"/>
      <c r="J38" s="49"/>
      <c r="K38" s="49"/>
      <c r="L38" s="49"/>
    </row>
    <row r="39">
      <c r="A39" s="63"/>
      <c r="B39" s="49"/>
      <c r="C39" s="49"/>
      <c r="D39" s="49"/>
      <c r="E39" s="49"/>
      <c r="F39" s="49"/>
      <c r="G39" s="49"/>
      <c r="H39" s="49"/>
      <c r="I39" s="49"/>
      <c r="J39" s="49"/>
      <c r="K39" s="49"/>
      <c r="L39" s="49"/>
    </row>
    <row r="40">
      <c r="A40" s="63"/>
      <c r="B40" s="49"/>
      <c r="C40" s="49"/>
      <c r="D40" s="49"/>
      <c r="E40" s="49"/>
      <c r="F40" s="49"/>
      <c r="G40" s="49"/>
      <c r="H40" s="49"/>
      <c r="I40" s="49"/>
      <c r="J40" s="49"/>
      <c r="K40" s="49"/>
      <c r="L40" s="49"/>
    </row>
    <row r="41">
      <c r="A41" s="63"/>
      <c r="B41" s="49"/>
      <c r="C41" s="49"/>
      <c r="D41" s="49"/>
      <c r="E41" s="49"/>
      <c r="F41" s="49"/>
      <c r="G41" s="49"/>
      <c r="H41" s="49"/>
      <c r="I41" s="49"/>
      <c r="J41" s="49"/>
      <c r="K41" s="49"/>
      <c r="L41" s="49"/>
    </row>
    <row r="42">
      <c r="A42" s="63"/>
      <c r="B42" s="49"/>
      <c r="C42" s="49"/>
      <c r="D42" s="49"/>
      <c r="E42" s="49"/>
      <c r="F42" s="49"/>
      <c r="G42" s="49"/>
      <c r="H42" s="49"/>
      <c r="I42" s="49"/>
      <c r="J42" s="49"/>
      <c r="K42" s="49"/>
      <c r="L42" s="49"/>
    </row>
    <row r="43">
      <c r="A43" s="63"/>
      <c r="B43" s="49"/>
      <c r="C43" s="49"/>
      <c r="D43" s="49"/>
      <c r="E43" s="49"/>
      <c r="F43" s="49"/>
      <c r="G43" s="49"/>
      <c r="H43" s="49"/>
      <c r="I43" s="49"/>
      <c r="J43" s="49"/>
      <c r="K43" s="49"/>
      <c r="L43" s="49"/>
    </row>
    <row r="44">
      <c r="A44" s="63"/>
      <c r="B44" s="49"/>
      <c r="C44" s="49"/>
      <c r="D44" s="49"/>
      <c r="E44" s="49"/>
      <c r="F44" s="49"/>
      <c r="G44" s="49"/>
      <c r="H44" s="49"/>
      <c r="I44" s="49"/>
      <c r="J44" s="49"/>
      <c r="K44" s="49"/>
      <c r="L44" s="49"/>
    </row>
    <row r="45">
      <c r="A45" s="63"/>
      <c r="B45" s="49"/>
      <c r="C45" s="49"/>
      <c r="D45" s="49"/>
      <c r="E45" s="49"/>
      <c r="F45" s="49"/>
      <c r="G45" s="49"/>
      <c r="H45" s="49"/>
      <c r="I45" s="49"/>
      <c r="J45" s="49"/>
      <c r="K45" s="49"/>
      <c r="L45" s="49"/>
    </row>
    <row r="46">
      <c r="A46" s="63"/>
      <c r="B46" s="49"/>
      <c r="C46" s="49"/>
      <c r="D46" s="49"/>
      <c r="E46" s="49"/>
      <c r="F46" s="49"/>
      <c r="G46" s="49"/>
      <c r="H46" s="49"/>
      <c r="I46" s="49"/>
      <c r="J46" s="49"/>
      <c r="K46" s="49"/>
      <c r="L46" s="49"/>
    </row>
    <row r="47">
      <c r="A47" s="63"/>
      <c r="B47" s="49"/>
      <c r="C47" s="49"/>
      <c r="D47" s="49"/>
      <c r="E47" s="49"/>
      <c r="F47" s="49"/>
      <c r="G47" s="49"/>
      <c r="H47" s="49"/>
      <c r="I47" s="49"/>
      <c r="J47" s="49"/>
      <c r="K47" s="49"/>
      <c r="L47" s="49"/>
    </row>
    <row r="48">
      <c r="A48" s="63"/>
      <c r="B48" s="49"/>
      <c r="C48" s="49"/>
      <c r="D48" s="49"/>
      <c r="E48" s="49"/>
      <c r="F48" s="49"/>
      <c r="G48" s="49"/>
      <c r="H48" s="49"/>
      <c r="I48" s="49"/>
      <c r="J48" s="49"/>
      <c r="K48" s="49"/>
      <c r="L48" s="49"/>
    </row>
    <row r="49">
      <c r="A49" s="63"/>
      <c r="B49" s="49"/>
      <c r="C49" s="49"/>
      <c r="D49" s="49"/>
      <c r="E49" s="49"/>
      <c r="F49" s="49"/>
      <c r="G49" s="49"/>
      <c r="H49" s="49"/>
      <c r="I49" s="49"/>
      <c r="J49" s="49"/>
      <c r="K49" s="49"/>
      <c r="L49" s="49"/>
    </row>
    <row r="50">
      <c r="A50" s="63"/>
      <c r="B50" s="49"/>
      <c r="C50" s="49"/>
      <c r="D50" s="49"/>
      <c r="E50" s="49"/>
      <c r="F50" s="49"/>
      <c r="G50" s="49"/>
      <c r="H50" s="49"/>
      <c r="I50" s="49"/>
      <c r="J50" s="49"/>
      <c r="K50" s="49"/>
      <c r="L50" s="49"/>
    </row>
    <row r="51">
      <c r="A51" s="63"/>
      <c r="B51" s="49"/>
      <c r="C51" s="49"/>
      <c r="D51" s="49"/>
      <c r="E51" s="49"/>
      <c r="F51" s="49"/>
      <c r="G51" s="49"/>
      <c r="H51" s="49"/>
      <c r="I51" s="49"/>
      <c r="J51" s="49"/>
      <c r="K51" s="49"/>
      <c r="L51" s="49"/>
    </row>
    <row r="52">
      <c r="A52" s="63"/>
      <c r="B52" s="49"/>
      <c r="C52" s="49"/>
      <c r="D52" s="49"/>
      <c r="E52" s="49"/>
      <c r="F52" s="49"/>
      <c r="G52" s="49"/>
      <c r="H52" s="49"/>
      <c r="I52" s="49"/>
      <c r="J52" s="49"/>
      <c r="K52" s="49"/>
      <c r="L52" s="49"/>
    </row>
    <row r="53">
      <c r="A53" s="63"/>
      <c r="B53" s="49"/>
      <c r="C53" s="49"/>
      <c r="D53" s="49"/>
      <c r="E53" s="49"/>
      <c r="F53" s="49"/>
      <c r="G53" s="49"/>
      <c r="H53" s="49"/>
      <c r="I53" s="49"/>
      <c r="J53" s="49"/>
      <c r="K53" s="49"/>
      <c r="L53" s="49"/>
    </row>
    <row r="54">
      <c r="A54" s="63"/>
      <c r="B54" s="49"/>
      <c r="C54" s="49"/>
      <c r="D54" s="49"/>
      <c r="E54" s="49"/>
      <c r="F54" s="49"/>
      <c r="G54" s="49"/>
      <c r="H54" s="49"/>
      <c r="I54" s="49"/>
      <c r="J54" s="49"/>
      <c r="K54" s="49"/>
      <c r="L54" s="49"/>
    </row>
    <row r="55">
      <c r="A55" s="63"/>
      <c r="B55" s="49"/>
      <c r="C55" s="49"/>
      <c r="D55" s="49"/>
      <c r="E55" s="49"/>
      <c r="F55" s="49"/>
      <c r="G55" s="49"/>
      <c r="H55" s="49"/>
      <c r="I55" s="49"/>
      <c r="J55" s="49"/>
      <c r="K55" s="49"/>
      <c r="L55" s="49"/>
    </row>
    <row r="56">
      <c r="A56" s="63"/>
      <c r="B56" s="49"/>
      <c r="C56" s="49"/>
      <c r="D56" s="49"/>
      <c r="E56" s="49"/>
      <c r="F56" s="49"/>
      <c r="G56" s="49"/>
      <c r="H56" s="49"/>
      <c r="I56" s="49"/>
      <c r="J56" s="49"/>
      <c r="K56" s="49"/>
      <c r="L56" s="49"/>
    </row>
    <row r="57">
      <c r="A57" s="63"/>
      <c r="B57" s="49"/>
      <c r="C57" s="49"/>
      <c r="D57" s="49"/>
      <c r="E57" s="49"/>
      <c r="F57" s="49"/>
      <c r="G57" s="49"/>
      <c r="H57" s="49"/>
      <c r="I57" s="49"/>
      <c r="J57" s="49"/>
      <c r="K57" s="49"/>
      <c r="L57" s="49"/>
    </row>
    <row r="58">
      <c r="A58" s="63"/>
      <c r="B58" s="49"/>
      <c r="C58" s="49"/>
      <c r="D58" s="49"/>
      <c r="E58" s="49"/>
      <c r="F58" s="49"/>
      <c r="G58" s="49"/>
      <c r="H58" s="49"/>
      <c r="I58" s="49"/>
      <c r="J58" s="49"/>
      <c r="K58" s="49"/>
      <c r="L58" s="49"/>
    </row>
    <row r="59">
      <c r="A59" s="63"/>
      <c r="B59" s="49"/>
      <c r="C59" s="49"/>
      <c r="D59" s="49"/>
      <c r="E59" s="49"/>
      <c r="F59" s="49"/>
      <c r="G59" s="49"/>
      <c r="H59" s="49"/>
      <c r="I59" s="49"/>
      <c r="J59" s="49"/>
      <c r="K59" s="49"/>
      <c r="L59" s="49"/>
    </row>
    <row r="60">
      <c r="A60" s="63"/>
      <c r="B60" s="49"/>
      <c r="C60" s="49"/>
      <c r="D60" s="49"/>
      <c r="E60" s="49"/>
      <c r="F60" s="49"/>
      <c r="G60" s="49"/>
      <c r="H60" s="49"/>
      <c r="I60" s="49"/>
      <c r="J60" s="49"/>
      <c r="K60" s="49"/>
      <c r="L60" s="49"/>
    </row>
    <row r="61">
      <c r="A61" s="63"/>
      <c r="B61" s="49"/>
      <c r="C61" s="49"/>
      <c r="D61" s="49"/>
      <c r="E61" s="49"/>
      <c r="F61" s="49"/>
      <c r="G61" s="49"/>
      <c r="H61" s="49"/>
      <c r="I61" s="49"/>
      <c r="J61" s="49"/>
      <c r="K61" s="49"/>
      <c r="L61" s="49"/>
    </row>
    <row r="62">
      <c r="A62" s="63"/>
      <c r="B62" s="49"/>
      <c r="C62" s="49"/>
      <c r="D62" s="49"/>
      <c r="E62" s="49"/>
      <c r="F62" s="49"/>
      <c r="G62" s="49"/>
      <c r="H62" s="49"/>
      <c r="I62" s="49"/>
      <c r="J62" s="49"/>
      <c r="K62" s="49"/>
      <c r="L62" s="49"/>
    </row>
    <row r="63">
      <c r="A63" s="63"/>
      <c r="B63" s="49"/>
      <c r="C63" s="49"/>
      <c r="D63" s="49"/>
      <c r="E63" s="49"/>
      <c r="F63" s="49"/>
      <c r="G63" s="49"/>
      <c r="H63" s="49"/>
      <c r="I63" s="49"/>
      <c r="J63" s="49"/>
      <c r="K63" s="49"/>
      <c r="L63" s="49"/>
    </row>
    <row r="64">
      <c r="A64" s="63"/>
      <c r="B64" s="49"/>
      <c r="C64" s="49"/>
      <c r="D64" s="49"/>
      <c r="E64" s="49"/>
      <c r="F64" s="49"/>
      <c r="G64" s="49"/>
      <c r="H64" s="49"/>
      <c r="I64" s="49"/>
      <c r="J64" s="49"/>
      <c r="K64" s="49"/>
      <c r="L64" s="49"/>
    </row>
    <row r="65">
      <c r="A65" s="63"/>
      <c r="B65" s="49"/>
      <c r="C65" s="49"/>
      <c r="D65" s="49"/>
      <c r="E65" s="49"/>
      <c r="F65" s="49"/>
      <c r="G65" s="49"/>
      <c r="H65" s="49"/>
      <c r="I65" s="49"/>
      <c r="J65" s="49"/>
      <c r="K65" s="49"/>
      <c r="L65" s="49"/>
    </row>
    <row r="66">
      <c r="A66" s="63"/>
      <c r="B66" s="49"/>
      <c r="C66" s="49"/>
      <c r="D66" s="49"/>
      <c r="E66" s="49"/>
      <c r="F66" s="49"/>
      <c r="G66" s="49"/>
      <c r="H66" s="49"/>
      <c r="I66" s="49"/>
      <c r="J66" s="49"/>
      <c r="K66" s="49"/>
      <c r="L66" s="49"/>
    </row>
    <row r="67">
      <c r="A67" s="63"/>
      <c r="B67" s="49"/>
      <c r="C67" s="49"/>
      <c r="D67" s="49"/>
      <c r="E67" s="49"/>
      <c r="F67" s="49"/>
      <c r="G67" s="49"/>
      <c r="H67" s="49"/>
      <c r="I67" s="49"/>
      <c r="J67" s="49"/>
      <c r="K67" s="49"/>
      <c r="L67" s="49"/>
    </row>
    <row r="68">
      <c r="A68" s="63"/>
      <c r="B68" s="49"/>
      <c r="C68" s="49"/>
      <c r="D68" s="49"/>
      <c r="E68" s="49"/>
      <c r="F68" s="49"/>
      <c r="G68" s="49"/>
      <c r="H68" s="49"/>
      <c r="I68" s="49"/>
      <c r="J68" s="49"/>
      <c r="K68" s="49"/>
      <c r="L68" s="49"/>
    </row>
    <row r="69">
      <c r="A69" s="63"/>
      <c r="B69" s="49"/>
      <c r="C69" s="49"/>
      <c r="D69" s="49"/>
      <c r="E69" s="49"/>
      <c r="F69" s="49"/>
      <c r="G69" s="49"/>
      <c r="H69" s="49"/>
      <c r="I69" s="49"/>
      <c r="J69" s="49"/>
      <c r="K69" s="49"/>
      <c r="L69" s="49"/>
    </row>
    <row r="70">
      <c r="A70" s="63"/>
      <c r="B70" s="49"/>
      <c r="C70" s="49"/>
      <c r="D70" s="49"/>
      <c r="E70" s="49"/>
      <c r="F70" s="49"/>
      <c r="G70" s="49"/>
      <c r="H70" s="49"/>
      <c r="I70" s="49"/>
      <c r="J70" s="49"/>
      <c r="K70" s="49"/>
      <c r="L70" s="49"/>
    </row>
    <row r="71">
      <c r="A71" s="63"/>
      <c r="B71" s="49"/>
      <c r="C71" s="49"/>
      <c r="D71" s="49"/>
      <c r="E71" s="49"/>
      <c r="F71" s="49"/>
      <c r="G71" s="49"/>
      <c r="H71" s="49"/>
      <c r="I71" s="49"/>
      <c r="J71" s="49"/>
      <c r="K71" s="49"/>
      <c r="L71" s="49"/>
    </row>
    <row r="72">
      <c r="A72" s="63"/>
      <c r="B72" s="49"/>
      <c r="C72" s="49"/>
      <c r="D72" s="49"/>
      <c r="E72" s="49"/>
      <c r="F72" s="49"/>
      <c r="G72" s="49"/>
      <c r="H72" s="49"/>
      <c r="I72" s="49"/>
      <c r="J72" s="49"/>
      <c r="K72" s="49"/>
      <c r="L72" s="49"/>
    </row>
    <row r="73">
      <c r="A73" s="63"/>
      <c r="B73" s="49"/>
      <c r="C73" s="49"/>
      <c r="D73" s="49"/>
      <c r="E73" s="49"/>
      <c r="F73" s="49"/>
      <c r="G73" s="49"/>
      <c r="H73" s="49"/>
      <c r="I73" s="49"/>
      <c r="J73" s="49"/>
      <c r="K73" s="49"/>
      <c r="L73" s="49"/>
    </row>
    <row r="74">
      <c r="A74" s="63"/>
      <c r="B74" s="49"/>
      <c r="C74" s="49"/>
      <c r="D74" s="49"/>
      <c r="E74" s="49"/>
      <c r="F74" s="49"/>
      <c r="G74" s="49"/>
      <c r="H74" s="49"/>
      <c r="I74" s="49"/>
      <c r="J74" s="49"/>
      <c r="K74" s="49"/>
      <c r="L74" s="49"/>
    </row>
    <row r="75">
      <c r="A75" s="63"/>
      <c r="B75" s="49"/>
      <c r="C75" s="49"/>
      <c r="D75" s="49"/>
      <c r="E75" s="49"/>
      <c r="F75" s="49"/>
      <c r="G75" s="49"/>
      <c r="H75" s="49"/>
      <c r="I75" s="49"/>
      <c r="J75" s="49"/>
      <c r="K75" s="49"/>
      <c r="L75" s="49"/>
    </row>
    <row r="76">
      <c r="A76" s="63"/>
      <c r="B76" s="49"/>
      <c r="C76" s="49"/>
      <c r="D76" s="49"/>
      <c r="E76" s="49"/>
      <c r="F76" s="49"/>
      <c r="G76" s="49"/>
      <c r="H76" s="49"/>
      <c r="I76" s="49"/>
      <c r="J76" s="49"/>
      <c r="K76" s="49"/>
      <c r="L76" s="49"/>
    </row>
    <row r="77">
      <c r="A77" s="63"/>
      <c r="B77" s="49"/>
      <c r="C77" s="49"/>
      <c r="D77" s="49"/>
      <c r="E77" s="49"/>
      <c r="F77" s="49"/>
      <c r="G77" s="49"/>
      <c r="H77" s="49"/>
      <c r="I77" s="49"/>
      <c r="J77" s="49"/>
      <c r="K77" s="49"/>
      <c r="L77" s="49"/>
    </row>
    <row r="78">
      <c r="A78" s="63"/>
      <c r="B78" s="49"/>
      <c r="C78" s="49"/>
      <c r="D78" s="49"/>
      <c r="E78" s="49"/>
      <c r="F78" s="49"/>
      <c r="G78" s="49"/>
      <c r="H78" s="49"/>
      <c r="I78" s="49"/>
      <c r="J78" s="49"/>
      <c r="K78" s="49"/>
      <c r="L78" s="49"/>
    </row>
    <row r="79">
      <c r="A79" s="63"/>
      <c r="B79" s="49"/>
      <c r="C79" s="49"/>
      <c r="D79" s="49"/>
      <c r="E79" s="49"/>
      <c r="F79" s="49"/>
      <c r="G79" s="49"/>
      <c r="H79" s="49"/>
      <c r="I79" s="49"/>
      <c r="J79" s="49"/>
      <c r="K79" s="49"/>
      <c r="L79" s="49"/>
    </row>
    <row r="80">
      <c r="A80" s="63"/>
      <c r="B80" s="49"/>
      <c r="C80" s="49"/>
      <c r="D80" s="49"/>
      <c r="E80" s="49"/>
      <c r="F80" s="49"/>
      <c r="G80" s="49"/>
      <c r="H80" s="49"/>
      <c r="I80" s="49"/>
      <c r="J80" s="49"/>
      <c r="K80" s="49"/>
      <c r="L80" s="49"/>
    </row>
    <row r="81">
      <c r="A81" s="63"/>
      <c r="B81" s="49"/>
      <c r="C81" s="49"/>
      <c r="D81" s="49"/>
      <c r="E81" s="49"/>
      <c r="F81" s="49"/>
      <c r="G81" s="49"/>
      <c r="H81" s="49"/>
      <c r="I81" s="49"/>
      <c r="J81" s="49"/>
      <c r="K81" s="49"/>
      <c r="L81" s="49"/>
    </row>
    <row r="82">
      <c r="A82" s="63"/>
      <c r="B82" s="49"/>
      <c r="C82" s="49"/>
      <c r="D82" s="49"/>
      <c r="E82" s="49"/>
      <c r="F82" s="49"/>
      <c r="G82" s="49"/>
      <c r="H82" s="49"/>
      <c r="I82" s="49"/>
      <c r="J82" s="49"/>
      <c r="K82" s="49"/>
      <c r="L82" s="49"/>
    </row>
    <row r="83">
      <c r="A83" s="63"/>
      <c r="B83" s="49"/>
      <c r="C83" s="49"/>
      <c r="D83" s="49"/>
      <c r="E83" s="49"/>
      <c r="F83" s="49"/>
      <c r="G83" s="49"/>
      <c r="H83" s="49"/>
      <c r="I83" s="49"/>
      <c r="J83" s="49"/>
      <c r="K83" s="49"/>
      <c r="L83" s="49"/>
    </row>
    <row r="84">
      <c r="A84" s="63"/>
      <c r="B84" s="49"/>
      <c r="C84" s="49"/>
      <c r="D84" s="49"/>
      <c r="E84" s="49"/>
      <c r="F84" s="49"/>
      <c r="G84" s="49"/>
      <c r="H84" s="49"/>
      <c r="I84" s="49"/>
      <c r="J84" s="49"/>
      <c r="K84" s="49"/>
      <c r="L84" s="49"/>
    </row>
    <row r="85">
      <c r="A85" s="63"/>
      <c r="B85" s="49"/>
      <c r="C85" s="49"/>
      <c r="D85" s="49"/>
      <c r="E85" s="49"/>
      <c r="F85" s="49"/>
      <c r="G85" s="49"/>
      <c r="H85" s="49"/>
      <c r="I85" s="49"/>
      <c r="J85" s="49"/>
      <c r="K85" s="49"/>
      <c r="L85" s="49"/>
    </row>
    <row r="86">
      <c r="A86" s="63"/>
      <c r="B86" s="49"/>
      <c r="C86" s="49"/>
      <c r="D86" s="49"/>
      <c r="E86" s="49"/>
      <c r="F86" s="49"/>
      <c r="G86" s="49"/>
      <c r="H86" s="49"/>
      <c r="I86" s="49"/>
      <c r="J86" s="49"/>
      <c r="K86" s="49"/>
      <c r="L86" s="49"/>
    </row>
    <row r="87">
      <c r="A87" s="63"/>
      <c r="B87" s="49"/>
      <c r="C87" s="49"/>
      <c r="D87" s="49"/>
      <c r="E87" s="49"/>
      <c r="F87" s="49"/>
      <c r="G87" s="49"/>
      <c r="H87" s="49"/>
      <c r="I87" s="49"/>
      <c r="J87" s="49"/>
      <c r="K87" s="49"/>
      <c r="L87" s="49"/>
    </row>
    <row r="88">
      <c r="A88" s="63"/>
      <c r="B88" s="49"/>
      <c r="C88" s="49"/>
      <c r="D88" s="49"/>
      <c r="E88" s="49"/>
      <c r="F88" s="49"/>
      <c r="G88" s="49"/>
      <c r="H88" s="49"/>
      <c r="I88" s="49"/>
      <c r="J88" s="49"/>
      <c r="K88" s="49"/>
      <c r="L88" s="49"/>
    </row>
    <row r="89">
      <c r="A89" s="63"/>
      <c r="B89" s="49"/>
      <c r="C89" s="49"/>
      <c r="D89" s="49"/>
      <c r="E89" s="49"/>
      <c r="F89" s="49"/>
      <c r="G89" s="49"/>
      <c r="H89" s="49"/>
      <c r="I89" s="49"/>
      <c r="J89" s="49"/>
      <c r="K89" s="49"/>
      <c r="L89" s="49"/>
    </row>
    <row r="90">
      <c r="A90" s="63"/>
      <c r="B90" s="49"/>
      <c r="C90" s="49"/>
      <c r="D90" s="49"/>
      <c r="E90" s="49"/>
      <c r="F90" s="49"/>
      <c r="G90" s="49"/>
      <c r="H90" s="49"/>
      <c r="I90" s="49"/>
      <c r="J90" s="49"/>
      <c r="K90" s="49"/>
      <c r="L90" s="49"/>
    </row>
    <row r="91">
      <c r="A91" s="63"/>
      <c r="B91" s="49"/>
      <c r="C91" s="49"/>
      <c r="D91" s="49"/>
      <c r="E91" s="49"/>
      <c r="F91" s="49"/>
      <c r="G91" s="49"/>
      <c r="H91" s="49"/>
      <c r="I91" s="49"/>
      <c r="J91" s="49"/>
      <c r="K91" s="49"/>
      <c r="L91" s="49"/>
    </row>
    <row r="92">
      <c r="A92" s="63"/>
      <c r="B92" s="49"/>
      <c r="C92" s="49"/>
      <c r="D92" s="49"/>
      <c r="E92" s="49"/>
      <c r="F92" s="49"/>
      <c r="G92" s="49"/>
      <c r="H92" s="49"/>
      <c r="I92" s="49"/>
      <c r="J92" s="49"/>
      <c r="K92" s="49"/>
      <c r="L92" s="49"/>
    </row>
    <row r="93">
      <c r="A93" s="63"/>
      <c r="B93" s="49"/>
      <c r="C93" s="49"/>
      <c r="D93" s="49"/>
      <c r="E93" s="49"/>
      <c r="F93" s="49"/>
      <c r="G93" s="49"/>
      <c r="H93" s="49"/>
      <c r="I93" s="49"/>
      <c r="J93" s="49"/>
      <c r="K93" s="49"/>
      <c r="L93" s="49"/>
    </row>
    <row r="94">
      <c r="A94" s="63"/>
      <c r="B94" s="49"/>
      <c r="C94" s="49"/>
      <c r="D94" s="49"/>
      <c r="E94" s="49"/>
      <c r="F94" s="49"/>
      <c r="G94" s="49"/>
      <c r="H94" s="49"/>
      <c r="I94" s="49"/>
      <c r="J94" s="49"/>
      <c r="K94" s="49"/>
      <c r="L94" s="49"/>
    </row>
    <row r="95">
      <c r="A95" s="63"/>
      <c r="B95" s="49"/>
      <c r="C95" s="49"/>
      <c r="D95" s="49"/>
      <c r="E95" s="49"/>
      <c r="F95" s="49"/>
      <c r="G95" s="49"/>
      <c r="H95" s="49"/>
      <c r="I95" s="49"/>
      <c r="J95" s="49"/>
      <c r="K95" s="49"/>
      <c r="L95" s="49"/>
    </row>
    <row r="96">
      <c r="A96" s="63"/>
      <c r="B96" s="49"/>
      <c r="C96" s="49"/>
      <c r="D96" s="49"/>
      <c r="E96" s="49"/>
      <c r="F96" s="49"/>
      <c r="G96" s="49"/>
      <c r="H96" s="49"/>
      <c r="I96" s="49"/>
      <c r="J96" s="49"/>
      <c r="K96" s="49"/>
      <c r="L96" s="49"/>
    </row>
    <row r="97">
      <c r="A97" s="63"/>
      <c r="B97" s="49"/>
      <c r="C97" s="49"/>
      <c r="D97" s="49"/>
      <c r="E97" s="49"/>
      <c r="F97" s="49"/>
      <c r="G97" s="49"/>
      <c r="H97" s="49"/>
      <c r="I97" s="49"/>
      <c r="J97" s="49"/>
      <c r="K97" s="49"/>
      <c r="L97" s="49"/>
    </row>
    <row r="98">
      <c r="A98" s="63"/>
      <c r="B98" s="49"/>
      <c r="C98" s="49"/>
      <c r="D98" s="49"/>
      <c r="E98" s="49"/>
      <c r="F98" s="49"/>
      <c r="G98" s="49"/>
      <c r="H98" s="49"/>
      <c r="I98" s="49"/>
      <c r="J98" s="49"/>
      <c r="K98" s="49"/>
      <c r="L98" s="49"/>
    </row>
    <row r="99">
      <c r="A99" s="63"/>
      <c r="B99" s="49"/>
      <c r="C99" s="49"/>
      <c r="D99" s="49"/>
      <c r="E99" s="49"/>
      <c r="F99" s="49"/>
      <c r="G99" s="49"/>
      <c r="H99" s="49"/>
      <c r="I99" s="49"/>
      <c r="J99" s="49"/>
      <c r="K99" s="49"/>
      <c r="L99" s="49"/>
    </row>
    <row r="100">
      <c r="A100" s="63"/>
      <c r="B100" s="49"/>
      <c r="C100" s="49"/>
      <c r="D100" s="49"/>
      <c r="E100" s="49"/>
      <c r="F100" s="49"/>
      <c r="G100" s="49"/>
      <c r="H100" s="49"/>
      <c r="I100" s="49"/>
      <c r="J100" s="49"/>
      <c r="K100" s="49"/>
      <c r="L100" s="49"/>
    </row>
    <row r="101">
      <c r="A101" s="63"/>
      <c r="B101" s="49"/>
      <c r="C101" s="49"/>
      <c r="D101" s="49"/>
      <c r="E101" s="49"/>
      <c r="F101" s="49"/>
      <c r="G101" s="49"/>
      <c r="H101" s="49"/>
      <c r="I101" s="49"/>
      <c r="J101" s="49"/>
      <c r="K101" s="49"/>
      <c r="L101" s="49"/>
    </row>
    <row r="102">
      <c r="A102" s="63"/>
      <c r="B102" s="49"/>
      <c r="C102" s="49"/>
      <c r="D102" s="49"/>
      <c r="E102" s="49"/>
      <c r="F102" s="49"/>
      <c r="G102" s="49"/>
      <c r="H102" s="49"/>
      <c r="I102" s="49"/>
      <c r="J102" s="49"/>
      <c r="K102" s="49"/>
      <c r="L102" s="49"/>
    </row>
    <row r="103">
      <c r="A103" s="63"/>
      <c r="B103" s="49"/>
      <c r="C103" s="49"/>
      <c r="D103" s="49"/>
      <c r="E103" s="49"/>
      <c r="F103" s="49"/>
      <c r="G103" s="49"/>
      <c r="H103" s="49"/>
      <c r="I103" s="49"/>
      <c r="J103" s="49"/>
      <c r="K103" s="49"/>
      <c r="L103" s="49"/>
    </row>
    <row r="104">
      <c r="A104" s="63"/>
      <c r="B104" s="49"/>
      <c r="C104" s="49"/>
      <c r="D104" s="49"/>
      <c r="E104" s="49"/>
      <c r="F104" s="49"/>
      <c r="G104" s="49"/>
      <c r="H104" s="49"/>
      <c r="I104" s="49"/>
      <c r="J104" s="49"/>
      <c r="K104" s="49"/>
      <c r="L104" s="49"/>
    </row>
    <row r="105">
      <c r="A105" s="63"/>
      <c r="B105" s="49"/>
      <c r="C105" s="49"/>
      <c r="D105" s="49"/>
      <c r="E105" s="49"/>
      <c r="F105" s="49"/>
      <c r="G105" s="49"/>
      <c r="H105" s="49"/>
      <c r="I105" s="49"/>
      <c r="J105" s="49"/>
      <c r="K105" s="49"/>
      <c r="L105" s="49"/>
    </row>
    <row r="106">
      <c r="A106" s="63"/>
      <c r="B106" s="49"/>
      <c r="C106" s="49"/>
      <c r="D106" s="49"/>
      <c r="E106" s="49"/>
      <c r="F106" s="49"/>
      <c r="G106" s="49"/>
      <c r="H106" s="49"/>
      <c r="I106" s="49"/>
      <c r="J106" s="49"/>
      <c r="K106" s="49"/>
      <c r="L106" s="49"/>
    </row>
    <row r="107">
      <c r="A107" s="63"/>
      <c r="B107" s="49"/>
      <c r="C107" s="49"/>
      <c r="D107" s="49"/>
      <c r="E107" s="49"/>
      <c r="F107" s="49"/>
      <c r="G107" s="49"/>
      <c r="H107" s="49"/>
      <c r="I107" s="49"/>
      <c r="J107" s="49"/>
      <c r="K107" s="49"/>
      <c r="L107" s="49"/>
    </row>
    <row r="108">
      <c r="A108" s="63"/>
      <c r="B108" s="49"/>
      <c r="C108" s="49"/>
      <c r="D108" s="49"/>
      <c r="E108" s="49"/>
      <c r="F108" s="49"/>
      <c r="G108" s="49"/>
      <c r="H108" s="49"/>
      <c r="I108" s="49"/>
      <c r="J108" s="49"/>
      <c r="K108" s="49"/>
      <c r="L108" s="49"/>
    </row>
    <row r="109">
      <c r="A109" s="63"/>
      <c r="B109" s="49"/>
      <c r="C109" s="49"/>
      <c r="D109" s="49"/>
      <c r="E109" s="49"/>
      <c r="F109" s="49"/>
      <c r="G109" s="49"/>
      <c r="H109" s="49"/>
      <c r="I109" s="49"/>
      <c r="J109" s="49"/>
      <c r="K109" s="49"/>
      <c r="L109" s="49"/>
    </row>
    <row r="110">
      <c r="A110" s="63"/>
      <c r="B110" s="49"/>
      <c r="C110" s="49"/>
      <c r="D110" s="49"/>
      <c r="E110" s="49"/>
      <c r="F110" s="49"/>
      <c r="G110" s="49"/>
      <c r="H110" s="49"/>
      <c r="I110" s="49"/>
      <c r="J110" s="49"/>
      <c r="K110" s="49"/>
      <c r="L110" s="49"/>
    </row>
    <row r="111">
      <c r="A111" s="63"/>
      <c r="B111" s="49"/>
      <c r="C111" s="49"/>
      <c r="D111" s="49"/>
      <c r="E111" s="49"/>
      <c r="F111" s="49"/>
      <c r="G111" s="49"/>
      <c r="H111" s="49"/>
      <c r="I111" s="49"/>
      <c r="J111" s="49"/>
      <c r="K111" s="49"/>
      <c r="L111" s="49"/>
    </row>
    <row r="112">
      <c r="A112" s="63"/>
      <c r="B112" s="49"/>
      <c r="C112" s="49"/>
      <c r="D112" s="49"/>
      <c r="E112" s="49"/>
      <c r="F112" s="49"/>
      <c r="G112" s="49"/>
      <c r="H112" s="49"/>
      <c r="I112" s="49"/>
      <c r="J112" s="49"/>
      <c r="K112" s="49"/>
      <c r="L112" s="49"/>
    </row>
    <row r="113">
      <c r="A113" s="63"/>
      <c r="B113" s="49"/>
      <c r="C113" s="49"/>
      <c r="D113" s="49"/>
      <c r="E113" s="49"/>
      <c r="F113" s="49"/>
      <c r="G113" s="49"/>
      <c r="H113" s="49"/>
      <c r="I113" s="49"/>
      <c r="J113" s="49"/>
      <c r="K113" s="49"/>
      <c r="L113" s="49"/>
    </row>
    <row r="114">
      <c r="A114" s="63"/>
      <c r="B114" s="49"/>
      <c r="C114" s="49"/>
      <c r="D114" s="49"/>
      <c r="E114" s="49"/>
      <c r="F114" s="49"/>
      <c r="G114" s="49"/>
      <c r="H114" s="49"/>
      <c r="I114" s="49"/>
      <c r="J114" s="49"/>
      <c r="K114" s="49"/>
      <c r="L114" s="49"/>
    </row>
    <row r="115">
      <c r="A115" s="63"/>
      <c r="B115" s="49"/>
      <c r="C115" s="49"/>
      <c r="D115" s="49"/>
      <c r="E115" s="49"/>
      <c r="F115" s="49"/>
      <c r="G115" s="49"/>
      <c r="H115" s="49"/>
      <c r="I115" s="49"/>
      <c r="J115" s="49"/>
      <c r="K115" s="49"/>
      <c r="L115" s="49"/>
    </row>
    <row r="116">
      <c r="A116" s="63"/>
      <c r="B116" s="49"/>
      <c r="C116" s="49"/>
      <c r="D116" s="49"/>
      <c r="E116" s="49"/>
      <c r="F116" s="49"/>
      <c r="G116" s="49"/>
      <c r="H116" s="49"/>
      <c r="I116" s="49"/>
      <c r="J116" s="49"/>
      <c r="K116" s="49"/>
      <c r="L116" s="49"/>
    </row>
    <row r="117">
      <c r="A117" s="63"/>
      <c r="B117" s="49"/>
      <c r="C117" s="49"/>
      <c r="D117" s="49"/>
      <c r="E117" s="49"/>
      <c r="F117" s="49"/>
      <c r="G117" s="49"/>
      <c r="H117" s="49"/>
      <c r="I117" s="49"/>
      <c r="J117" s="49"/>
      <c r="K117" s="49"/>
      <c r="L117" s="49"/>
    </row>
    <row r="118">
      <c r="A118" s="63"/>
      <c r="B118" s="49"/>
      <c r="C118" s="49"/>
      <c r="D118" s="49"/>
      <c r="E118" s="49"/>
      <c r="F118" s="49"/>
      <c r="G118" s="49"/>
      <c r="H118" s="49"/>
      <c r="I118" s="49"/>
      <c r="J118" s="49"/>
      <c r="K118" s="49"/>
      <c r="L118" s="49"/>
    </row>
    <row r="119">
      <c r="A119" s="63"/>
      <c r="B119" s="49"/>
      <c r="C119" s="49"/>
      <c r="D119" s="49"/>
      <c r="E119" s="49"/>
      <c r="F119" s="49"/>
      <c r="G119" s="49"/>
      <c r="H119" s="49"/>
      <c r="I119" s="49"/>
      <c r="J119" s="49"/>
      <c r="K119" s="49"/>
      <c r="L119" s="49"/>
    </row>
    <row r="120">
      <c r="A120" s="63"/>
      <c r="B120" s="49"/>
      <c r="C120" s="49"/>
      <c r="D120" s="49"/>
      <c r="E120" s="49"/>
      <c r="F120" s="49"/>
      <c r="G120" s="49"/>
      <c r="H120" s="49"/>
      <c r="I120" s="49"/>
      <c r="J120" s="49"/>
      <c r="K120" s="49"/>
      <c r="L120" s="49"/>
    </row>
    <row r="121">
      <c r="A121" s="63"/>
      <c r="B121" s="49"/>
      <c r="C121" s="49"/>
      <c r="D121" s="49"/>
      <c r="E121" s="49"/>
      <c r="F121" s="49"/>
      <c r="G121" s="49"/>
      <c r="H121" s="49"/>
      <c r="I121" s="49"/>
      <c r="J121" s="49"/>
      <c r="K121" s="49"/>
      <c r="L121" s="49"/>
    </row>
    <row r="122">
      <c r="A122" s="63"/>
      <c r="B122" s="49"/>
      <c r="C122" s="49"/>
      <c r="D122" s="49"/>
      <c r="E122" s="49"/>
      <c r="F122" s="49"/>
      <c r="G122" s="49"/>
      <c r="H122" s="49"/>
      <c r="I122" s="49"/>
      <c r="J122" s="49"/>
      <c r="K122" s="49"/>
      <c r="L122" s="49"/>
    </row>
    <row r="123">
      <c r="A123" s="63"/>
      <c r="B123" s="49"/>
      <c r="C123" s="49"/>
      <c r="D123" s="49"/>
      <c r="E123" s="49"/>
      <c r="F123" s="49"/>
      <c r="G123" s="49"/>
      <c r="H123" s="49"/>
      <c r="I123" s="49"/>
      <c r="J123" s="49"/>
      <c r="K123" s="49"/>
      <c r="L123" s="49"/>
    </row>
    <row r="124">
      <c r="A124" s="63"/>
      <c r="B124" s="49"/>
      <c r="C124" s="49"/>
      <c r="D124" s="49"/>
      <c r="E124" s="49"/>
      <c r="F124" s="49"/>
      <c r="G124" s="49"/>
      <c r="H124" s="49"/>
      <c r="I124" s="49"/>
      <c r="J124" s="49"/>
      <c r="K124" s="49"/>
      <c r="L124" s="49"/>
    </row>
    <row r="125">
      <c r="A125" s="63"/>
      <c r="B125" s="49"/>
      <c r="C125" s="49"/>
      <c r="D125" s="49"/>
      <c r="E125" s="49"/>
      <c r="F125" s="49"/>
      <c r="G125" s="49"/>
      <c r="H125" s="49"/>
      <c r="I125" s="49"/>
      <c r="J125" s="49"/>
      <c r="K125" s="49"/>
      <c r="L125" s="49"/>
    </row>
    <row r="126">
      <c r="A126" s="63"/>
      <c r="B126" s="49"/>
      <c r="C126" s="49"/>
      <c r="D126" s="49"/>
      <c r="E126" s="49"/>
      <c r="F126" s="49"/>
      <c r="G126" s="49"/>
      <c r="H126" s="49"/>
      <c r="I126" s="49"/>
      <c r="J126" s="49"/>
      <c r="K126" s="49"/>
      <c r="L126" s="49"/>
    </row>
    <row r="127">
      <c r="A127" s="63"/>
      <c r="B127" s="49"/>
      <c r="C127" s="49"/>
      <c r="D127" s="49"/>
      <c r="E127" s="49"/>
      <c r="F127" s="49"/>
      <c r="G127" s="49"/>
      <c r="H127" s="49"/>
      <c r="I127" s="49"/>
      <c r="J127" s="49"/>
      <c r="K127" s="49"/>
      <c r="L127" s="49"/>
    </row>
    <row r="128">
      <c r="A128" s="63"/>
      <c r="B128" s="49"/>
      <c r="C128" s="49"/>
      <c r="D128" s="49"/>
      <c r="E128" s="49"/>
      <c r="F128" s="49"/>
      <c r="G128" s="49"/>
      <c r="H128" s="49"/>
      <c r="I128" s="49"/>
      <c r="J128" s="49"/>
      <c r="K128" s="49"/>
      <c r="L128" s="49"/>
    </row>
    <row r="129">
      <c r="A129" s="63"/>
      <c r="B129" s="49"/>
      <c r="C129" s="49"/>
      <c r="D129" s="49"/>
      <c r="E129" s="49"/>
      <c r="F129" s="49"/>
      <c r="G129" s="49"/>
      <c r="H129" s="49"/>
      <c r="I129" s="49"/>
      <c r="J129" s="49"/>
      <c r="K129" s="49"/>
      <c r="L129" s="49"/>
    </row>
    <row r="130">
      <c r="A130" s="63"/>
      <c r="B130" s="49"/>
      <c r="C130" s="49"/>
      <c r="D130" s="49"/>
      <c r="E130" s="49"/>
      <c r="F130" s="49"/>
      <c r="G130" s="49"/>
      <c r="H130" s="49"/>
      <c r="I130" s="49"/>
      <c r="J130" s="49"/>
      <c r="K130" s="49"/>
      <c r="L130" s="49"/>
    </row>
    <row r="131">
      <c r="A131" s="63"/>
      <c r="B131" s="49"/>
      <c r="C131" s="49"/>
      <c r="D131" s="49"/>
      <c r="E131" s="49"/>
      <c r="F131" s="49"/>
      <c r="G131" s="49"/>
      <c r="H131" s="49"/>
      <c r="I131" s="49"/>
      <c r="J131" s="49"/>
      <c r="K131" s="49"/>
      <c r="L131" s="49"/>
    </row>
    <row r="132">
      <c r="A132" s="63"/>
      <c r="B132" s="49"/>
      <c r="C132" s="49"/>
      <c r="D132" s="49"/>
      <c r="E132" s="49"/>
      <c r="F132" s="49"/>
      <c r="G132" s="49"/>
      <c r="H132" s="49"/>
      <c r="I132" s="49"/>
      <c r="J132" s="49"/>
      <c r="K132" s="49"/>
      <c r="L132" s="49"/>
    </row>
    <row r="133">
      <c r="A133" s="63"/>
      <c r="B133" s="49"/>
      <c r="C133" s="49"/>
      <c r="D133" s="49"/>
      <c r="E133" s="49"/>
      <c r="F133" s="49"/>
      <c r="G133" s="49"/>
      <c r="H133" s="49"/>
      <c r="I133" s="49"/>
      <c r="J133" s="49"/>
      <c r="K133" s="49"/>
      <c r="L133" s="49"/>
    </row>
    <row r="134">
      <c r="A134" s="63"/>
      <c r="B134" s="49"/>
      <c r="C134" s="49"/>
      <c r="D134" s="49"/>
      <c r="E134" s="49"/>
      <c r="F134" s="49"/>
      <c r="G134" s="49"/>
      <c r="H134" s="49"/>
      <c r="I134" s="49"/>
      <c r="J134" s="49"/>
      <c r="K134" s="49"/>
      <c r="L134" s="49"/>
    </row>
    <row r="135">
      <c r="A135" s="63"/>
      <c r="B135" s="49"/>
      <c r="C135" s="49"/>
      <c r="D135" s="49"/>
      <c r="E135" s="49"/>
      <c r="F135" s="49"/>
      <c r="G135" s="49"/>
      <c r="H135" s="49"/>
      <c r="I135" s="49"/>
      <c r="J135" s="49"/>
      <c r="K135" s="49"/>
      <c r="L135" s="49"/>
    </row>
    <row r="136">
      <c r="A136" s="63"/>
      <c r="B136" s="49"/>
      <c r="C136" s="49"/>
      <c r="D136" s="49"/>
      <c r="E136" s="49"/>
      <c r="F136" s="49"/>
      <c r="G136" s="49"/>
      <c r="H136" s="49"/>
      <c r="I136" s="49"/>
      <c r="J136" s="49"/>
      <c r="K136" s="49"/>
      <c r="L136" s="49"/>
    </row>
    <row r="137">
      <c r="A137" s="63"/>
      <c r="B137" s="49"/>
      <c r="C137" s="49"/>
      <c r="D137" s="49"/>
      <c r="E137" s="49"/>
      <c r="F137" s="49"/>
      <c r="G137" s="49"/>
      <c r="H137" s="49"/>
      <c r="I137" s="49"/>
      <c r="J137" s="49"/>
      <c r="K137" s="49"/>
      <c r="L137" s="49"/>
    </row>
    <row r="138">
      <c r="A138" s="63"/>
      <c r="B138" s="49"/>
      <c r="C138" s="49"/>
      <c r="D138" s="49"/>
      <c r="E138" s="49"/>
      <c r="F138" s="49"/>
      <c r="G138" s="49"/>
      <c r="H138" s="49"/>
      <c r="I138" s="49"/>
      <c r="J138" s="49"/>
      <c r="K138" s="49"/>
      <c r="L138" s="49"/>
    </row>
    <row r="139">
      <c r="A139" s="63"/>
      <c r="B139" s="49"/>
      <c r="C139" s="49"/>
      <c r="D139" s="49"/>
      <c r="E139" s="49"/>
      <c r="F139" s="49"/>
      <c r="G139" s="49"/>
      <c r="H139" s="49"/>
      <c r="I139" s="49"/>
      <c r="J139" s="49"/>
      <c r="K139" s="49"/>
      <c r="L139" s="49"/>
    </row>
    <row r="140">
      <c r="A140" s="63"/>
      <c r="B140" s="49"/>
      <c r="C140" s="49"/>
      <c r="D140" s="49"/>
      <c r="E140" s="49"/>
      <c r="F140" s="49"/>
      <c r="G140" s="49"/>
      <c r="H140" s="49"/>
      <c r="I140" s="49"/>
      <c r="J140" s="49"/>
      <c r="K140" s="49"/>
      <c r="L140" s="49"/>
    </row>
    <row r="141">
      <c r="A141" s="63"/>
      <c r="B141" s="49"/>
      <c r="C141" s="49"/>
      <c r="D141" s="49"/>
      <c r="E141" s="49"/>
      <c r="F141" s="49"/>
      <c r="G141" s="49"/>
      <c r="H141" s="49"/>
      <c r="I141" s="49"/>
      <c r="J141" s="49"/>
      <c r="K141" s="49"/>
      <c r="L141" s="49"/>
    </row>
    <row r="142">
      <c r="A142" s="63"/>
      <c r="B142" s="49"/>
      <c r="C142" s="49"/>
      <c r="D142" s="49"/>
      <c r="E142" s="49"/>
      <c r="F142" s="49"/>
      <c r="G142" s="49"/>
      <c r="H142" s="49"/>
      <c r="I142" s="49"/>
      <c r="J142" s="49"/>
      <c r="K142" s="49"/>
      <c r="L142" s="49"/>
    </row>
    <row r="143">
      <c r="A143" s="63"/>
      <c r="B143" s="49"/>
      <c r="C143" s="49"/>
      <c r="D143" s="49"/>
      <c r="E143" s="49"/>
      <c r="F143" s="49"/>
      <c r="G143" s="49"/>
      <c r="H143" s="49"/>
      <c r="I143" s="49"/>
      <c r="J143" s="49"/>
      <c r="K143" s="49"/>
      <c r="L143" s="49"/>
    </row>
    <row r="144">
      <c r="A144" s="63"/>
      <c r="B144" s="49"/>
      <c r="C144" s="49"/>
      <c r="D144" s="49"/>
      <c r="E144" s="49"/>
      <c r="F144" s="49"/>
      <c r="G144" s="49"/>
      <c r="H144" s="49"/>
      <c r="I144" s="49"/>
      <c r="J144" s="49"/>
      <c r="K144" s="49"/>
      <c r="L144" s="49"/>
    </row>
    <row r="145">
      <c r="A145" s="63"/>
      <c r="B145" s="49"/>
      <c r="C145" s="49"/>
      <c r="D145" s="49"/>
      <c r="E145" s="49"/>
      <c r="F145" s="49"/>
      <c r="G145" s="49"/>
      <c r="H145" s="49"/>
      <c r="I145" s="49"/>
      <c r="J145" s="49"/>
      <c r="K145" s="49"/>
      <c r="L145" s="49"/>
    </row>
    <row r="146">
      <c r="A146" s="63"/>
      <c r="B146" s="49"/>
      <c r="C146" s="49"/>
      <c r="D146" s="49"/>
      <c r="E146" s="49"/>
      <c r="F146" s="49"/>
      <c r="G146" s="49"/>
      <c r="H146" s="49"/>
      <c r="I146" s="49"/>
      <c r="J146" s="49"/>
      <c r="K146" s="49"/>
      <c r="L146" s="49"/>
    </row>
    <row r="147">
      <c r="A147" s="63"/>
      <c r="B147" s="49"/>
      <c r="C147" s="49"/>
      <c r="D147" s="49"/>
      <c r="E147" s="49"/>
      <c r="F147" s="49"/>
      <c r="G147" s="49"/>
      <c r="H147" s="49"/>
      <c r="I147" s="49"/>
      <c r="J147" s="49"/>
      <c r="K147" s="49"/>
      <c r="L147" s="49"/>
    </row>
    <row r="148">
      <c r="A148" s="63"/>
      <c r="B148" s="49"/>
      <c r="C148" s="49"/>
      <c r="D148" s="49"/>
      <c r="E148" s="49"/>
      <c r="F148" s="49"/>
      <c r="G148" s="49"/>
      <c r="H148" s="49"/>
      <c r="I148" s="49"/>
      <c r="J148" s="49"/>
      <c r="K148" s="49"/>
      <c r="L148" s="49"/>
    </row>
    <row r="149">
      <c r="A149" s="63"/>
      <c r="B149" s="49"/>
      <c r="C149" s="49"/>
      <c r="D149" s="49"/>
      <c r="E149" s="49"/>
      <c r="F149" s="49"/>
      <c r="G149" s="49"/>
      <c r="H149" s="49"/>
      <c r="I149" s="49"/>
      <c r="J149" s="49"/>
      <c r="K149" s="49"/>
      <c r="L149" s="49"/>
    </row>
    <row r="150">
      <c r="A150" s="63"/>
      <c r="B150" s="49"/>
      <c r="C150" s="49"/>
      <c r="D150" s="49"/>
      <c r="E150" s="49"/>
      <c r="F150" s="49"/>
      <c r="G150" s="49"/>
      <c r="H150" s="49"/>
      <c r="I150" s="49"/>
      <c r="J150" s="49"/>
      <c r="K150" s="49"/>
      <c r="L150" s="49"/>
    </row>
    <row r="151">
      <c r="A151" s="63"/>
      <c r="B151" s="49"/>
      <c r="C151" s="49"/>
      <c r="D151" s="49"/>
      <c r="E151" s="49"/>
      <c r="F151" s="49"/>
      <c r="G151" s="49"/>
      <c r="H151" s="49"/>
      <c r="I151" s="49"/>
      <c r="J151" s="49"/>
      <c r="K151" s="49"/>
      <c r="L151" s="49"/>
    </row>
    <row r="152">
      <c r="A152" s="63"/>
      <c r="B152" s="49"/>
      <c r="C152" s="49"/>
      <c r="D152" s="49"/>
      <c r="E152" s="49"/>
      <c r="F152" s="49"/>
      <c r="G152" s="49"/>
      <c r="H152" s="49"/>
      <c r="I152" s="49"/>
      <c r="J152" s="49"/>
      <c r="K152" s="49"/>
      <c r="L152" s="49"/>
    </row>
    <row r="153">
      <c r="A153" s="63"/>
      <c r="B153" s="49"/>
      <c r="C153" s="49"/>
      <c r="D153" s="49"/>
      <c r="E153" s="49"/>
      <c r="F153" s="49"/>
      <c r="G153" s="49"/>
      <c r="H153" s="49"/>
      <c r="I153" s="49"/>
      <c r="J153" s="49"/>
      <c r="K153" s="49"/>
      <c r="L153" s="49"/>
    </row>
    <row r="154">
      <c r="A154" s="63"/>
      <c r="B154" s="49"/>
      <c r="C154" s="49"/>
      <c r="D154" s="49"/>
      <c r="E154" s="49"/>
      <c r="F154" s="49"/>
      <c r="G154" s="49"/>
      <c r="H154" s="49"/>
      <c r="I154" s="49"/>
      <c r="J154" s="49"/>
      <c r="K154" s="49"/>
      <c r="L154" s="49"/>
    </row>
    <row r="155">
      <c r="A155" s="63"/>
      <c r="B155" s="49"/>
      <c r="C155" s="49"/>
      <c r="D155" s="49"/>
      <c r="E155" s="49"/>
      <c r="F155" s="49"/>
      <c r="G155" s="49"/>
      <c r="H155" s="49"/>
      <c r="I155" s="49"/>
      <c r="J155" s="49"/>
      <c r="K155" s="49"/>
      <c r="L155" s="49"/>
    </row>
    <row r="156">
      <c r="A156" s="63"/>
      <c r="B156" s="49"/>
      <c r="C156" s="49"/>
      <c r="D156" s="49"/>
      <c r="E156" s="49"/>
      <c r="F156" s="49"/>
      <c r="G156" s="49"/>
      <c r="H156" s="49"/>
      <c r="I156" s="49"/>
      <c r="J156" s="49"/>
      <c r="K156" s="49"/>
      <c r="L156" s="49"/>
    </row>
    <row r="157">
      <c r="A157" s="63"/>
      <c r="B157" s="49"/>
      <c r="C157" s="49"/>
      <c r="D157" s="49"/>
      <c r="E157" s="49"/>
      <c r="F157" s="49"/>
      <c r="G157" s="49"/>
      <c r="H157" s="49"/>
      <c r="I157" s="49"/>
      <c r="J157" s="49"/>
      <c r="K157" s="49"/>
      <c r="L157" s="49"/>
    </row>
    <row r="158">
      <c r="A158" s="63"/>
      <c r="B158" s="49"/>
      <c r="C158" s="49"/>
      <c r="D158" s="49"/>
      <c r="E158" s="49"/>
      <c r="F158" s="49"/>
      <c r="G158" s="49"/>
      <c r="H158" s="49"/>
      <c r="I158" s="49"/>
      <c r="J158" s="49"/>
      <c r="K158" s="49"/>
      <c r="L158" s="49"/>
    </row>
    <row r="159">
      <c r="A159" s="63"/>
      <c r="B159" s="49"/>
      <c r="C159" s="49"/>
      <c r="D159" s="49"/>
      <c r="E159" s="49"/>
      <c r="F159" s="49"/>
      <c r="G159" s="49"/>
      <c r="H159" s="49"/>
      <c r="I159" s="49"/>
      <c r="J159" s="49"/>
      <c r="K159" s="49"/>
      <c r="L159" s="49"/>
    </row>
    <row r="160">
      <c r="A160" s="63"/>
      <c r="B160" s="49"/>
      <c r="C160" s="49"/>
      <c r="D160" s="49"/>
      <c r="E160" s="49"/>
      <c r="F160" s="49"/>
      <c r="G160" s="49"/>
      <c r="H160" s="49"/>
      <c r="I160" s="49"/>
      <c r="J160" s="49"/>
      <c r="K160" s="49"/>
      <c r="L160" s="49"/>
    </row>
    <row r="161">
      <c r="A161" s="63"/>
      <c r="B161" s="49"/>
      <c r="C161" s="49"/>
      <c r="D161" s="49"/>
      <c r="E161" s="49"/>
      <c r="F161" s="49"/>
      <c r="G161" s="49"/>
      <c r="H161" s="49"/>
      <c r="I161" s="49"/>
      <c r="J161" s="49"/>
      <c r="K161" s="49"/>
      <c r="L161" s="49"/>
    </row>
    <row r="162">
      <c r="A162" s="63"/>
      <c r="B162" s="49"/>
      <c r="C162" s="49"/>
      <c r="D162" s="49"/>
      <c r="E162" s="49"/>
      <c r="F162" s="49"/>
      <c r="G162" s="49"/>
      <c r="H162" s="49"/>
      <c r="I162" s="49"/>
      <c r="J162" s="49"/>
      <c r="K162" s="49"/>
      <c r="L162" s="49"/>
    </row>
    <row r="163">
      <c r="A163" s="63"/>
      <c r="B163" s="49"/>
      <c r="C163" s="49"/>
      <c r="D163" s="49"/>
      <c r="E163" s="49"/>
      <c r="F163" s="49"/>
      <c r="G163" s="49"/>
      <c r="H163" s="49"/>
      <c r="I163" s="49"/>
      <c r="J163" s="49"/>
      <c r="K163" s="49"/>
      <c r="L163" s="49"/>
    </row>
    <row r="164">
      <c r="A164" s="63"/>
      <c r="B164" s="49"/>
      <c r="C164" s="49"/>
      <c r="D164" s="49"/>
      <c r="E164" s="49"/>
      <c r="F164" s="49"/>
      <c r="G164" s="49"/>
      <c r="H164" s="49"/>
      <c r="I164" s="49"/>
      <c r="J164" s="49"/>
      <c r="K164" s="49"/>
      <c r="L164" s="49"/>
    </row>
    <row r="165">
      <c r="A165" s="63"/>
      <c r="B165" s="49"/>
      <c r="C165" s="49"/>
      <c r="D165" s="49"/>
      <c r="E165" s="49"/>
      <c r="F165" s="49"/>
      <c r="G165" s="49"/>
      <c r="H165" s="49"/>
      <c r="I165" s="49"/>
      <c r="J165" s="49"/>
      <c r="K165" s="49"/>
      <c r="L165" s="49"/>
    </row>
    <row r="166">
      <c r="A166" s="63"/>
      <c r="B166" s="49"/>
      <c r="C166" s="49"/>
      <c r="D166" s="49"/>
      <c r="E166" s="49"/>
      <c r="F166" s="49"/>
      <c r="G166" s="49"/>
      <c r="H166" s="49"/>
      <c r="I166" s="49"/>
      <c r="J166" s="49"/>
      <c r="K166" s="49"/>
      <c r="L166" s="49"/>
    </row>
    <row r="167">
      <c r="A167" s="63"/>
      <c r="B167" s="49"/>
      <c r="C167" s="49"/>
      <c r="D167" s="49"/>
      <c r="E167" s="49"/>
      <c r="F167" s="49"/>
      <c r="G167" s="49"/>
      <c r="H167" s="49"/>
      <c r="I167" s="49"/>
      <c r="J167" s="49"/>
      <c r="K167" s="49"/>
      <c r="L167" s="49"/>
    </row>
    <row r="168">
      <c r="A168" s="63"/>
      <c r="B168" s="49"/>
      <c r="C168" s="49"/>
      <c r="D168" s="49"/>
      <c r="E168" s="49"/>
      <c r="F168" s="49"/>
      <c r="G168" s="49"/>
      <c r="H168" s="49"/>
      <c r="I168" s="49"/>
      <c r="J168" s="49"/>
      <c r="K168" s="49"/>
      <c r="L168" s="49"/>
    </row>
    <row r="169">
      <c r="A169" s="63"/>
      <c r="B169" s="49"/>
      <c r="C169" s="49"/>
      <c r="D169" s="49"/>
      <c r="E169" s="49"/>
      <c r="F169" s="49"/>
      <c r="G169" s="49"/>
      <c r="H169" s="49"/>
      <c r="I169" s="49"/>
      <c r="J169" s="49"/>
      <c r="K169" s="49"/>
      <c r="L169" s="49"/>
    </row>
    <row r="170">
      <c r="A170" s="63"/>
      <c r="B170" s="49"/>
      <c r="C170" s="49"/>
      <c r="D170" s="49"/>
      <c r="E170" s="49"/>
      <c r="F170" s="49"/>
      <c r="G170" s="49"/>
      <c r="H170" s="49"/>
      <c r="I170" s="49"/>
      <c r="J170" s="49"/>
      <c r="K170" s="49"/>
      <c r="L170" s="49"/>
    </row>
    <row r="171">
      <c r="A171" s="63"/>
      <c r="B171" s="49"/>
      <c r="C171" s="49"/>
      <c r="D171" s="49"/>
      <c r="E171" s="49"/>
      <c r="F171" s="49"/>
      <c r="G171" s="49"/>
      <c r="H171" s="49"/>
      <c r="I171" s="49"/>
      <c r="J171" s="49"/>
      <c r="K171" s="49"/>
      <c r="L171" s="49"/>
    </row>
    <row r="172">
      <c r="A172" s="63"/>
      <c r="B172" s="49"/>
      <c r="C172" s="49"/>
      <c r="D172" s="49"/>
      <c r="E172" s="49"/>
      <c r="F172" s="49"/>
      <c r="G172" s="49"/>
      <c r="H172" s="49"/>
      <c r="I172" s="49"/>
      <c r="J172" s="49"/>
      <c r="K172" s="49"/>
      <c r="L172" s="49"/>
    </row>
    <row r="173">
      <c r="A173" s="63"/>
      <c r="B173" s="49"/>
      <c r="C173" s="49"/>
      <c r="D173" s="49"/>
      <c r="E173" s="49"/>
      <c r="F173" s="49"/>
      <c r="G173" s="49"/>
      <c r="H173" s="49"/>
      <c r="I173" s="49"/>
      <c r="J173" s="49"/>
      <c r="K173" s="49"/>
      <c r="L173" s="49"/>
    </row>
    <row r="174">
      <c r="A174" s="63"/>
      <c r="B174" s="49"/>
      <c r="C174" s="49"/>
      <c r="D174" s="49"/>
      <c r="E174" s="49"/>
      <c r="F174" s="49"/>
      <c r="G174" s="49"/>
      <c r="H174" s="49"/>
      <c r="I174" s="49"/>
      <c r="J174" s="49"/>
      <c r="K174" s="49"/>
      <c r="L174" s="49"/>
    </row>
    <row r="175">
      <c r="A175" s="63"/>
      <c r="B175" s="49"/>
      <c r="C175" s="49"/>
      <c r="D175" s="49"/>
      <c r="E175" s="49"/>
      <c r="F175" s="49"/>
      <c r="G175" s="49"/>
      <c r="H175" s="49"/>
      <c r="I175" s="49"/>
      <c r="J175" s="49"/>
      <c r="K175" s="49"/>
      <c r="L175" s="49"/>
    </row>
    <row r="176">
      <c r="A176" s="63"/>
      <c r="B176" s="49"/>
      <c r="C176" s="49"/>
      <c r="D176" s="49"/>
      <c r="E176" s="49"/>
      <c r="F176" s="49"/>
      <c r="G176" s="49"/>
      <c r="H176" s="49"/>
      <c r="I176" s="49"/>
      <c r="J176" s="49"/>
      <c r="K176" s="49"/>
      <c r="L176" s="49"/>
    </row>
    <row r="177">
      <c r="A177" s="63"/>
      <c r="B177" s="49"/>
      <c r="C177" s="49"/>
      <c r="D177" s="49"/>
      <c r="E177" s="49"/>
      <c r="F177" s="49"/>
      <c r="G177" s="49"/>
      <c r="H177" s="49"/>
      <c r="I177" s="49"/>
      <c r="J177" s="49"/>
      <c r="K177" s="49"/>
      <c r="L177" s="49"/>
    </row>
    <row r="178">
      <c r="A178" s="63"/>
      <c r="B178" s="49"/>
      <c r="C178" s="49"/>
      <c r="D178" s="49"/>
      <c r="E178" s="49"/>
      <c r="F178" s="49"/>
      <c r="G178" s="49"/>
      <c r="H178" s="49"/>
      <c r="I178" s="49"/>
      <c r="J178" s="49"/>
      <c r="K178" s="49"/>
      <c r="L178" s="49"/>
    </row>
    <row r="179">
      <c r="A179" s="63"/>
      <c r="B179" s="49"/>
      <c r="C179" s="49"/>
      <c r="D179" s="49"/>
      <c r="E179" s="49"/>
      <c r="F179" s="49"/>
      <c r="G179" s="49"/>
      <c r="H179" s="49"/>
      <c r="I179" s="49"/>
      <c r="J179" s="49"/>
      <c r="K179" s="49"/>
      <c r="L179" s="49"/>
    </row>
    <row r="180">
      <c r="A180" s="63"/>
      <c r="B180" s="49"/>
      <c r="C180" s="49"/>
      <c r="D180" s="49"/>
      <c r="E180" s="49"/>
      <c r="F180" s="49"/>
      <c r="G180" s="49"/>
      <c r="H180" s="49"/>
      <c r="I180" s="49"/>
      <c r="J180" s="49"/>
      <c r="K180" s="49"/>
      <c r="L180" s="49"/>
    </row>
    <row r="181">
      <c r="A181" s="63"/>
      <c r="B181" s="49"/>
      <c r="C181" s="49"/>
      <c r="D181" s="49"/>
      <c r="E181" s="49"/>
      <c r="F181" s="49"/>
      <c r="G181" s="49"/>
      <c r="H181" s="49"/>
      <c r="I181" s="49"/>
      <c r="J181" s="49"/>
      <c r="K181" s="49"/>
      <c r="L181" s="49"/>
    </row>
    <row r="182">
      <c r="A182" s="63"/>
      <c r="B182" s="49"/>
      <c r="C182" s="49"/>
      <c r="D182" s="49"/>
      <c r="E182" s="49"/>
      <c r="F182" s="49"/>
      <c r="G182" s="49"/>
      <c r="H182" s="49"/>
      <c r="I182" s="49"/>
      <c r="J182" s="49"/>
      <c r="K182" s="49"/>
      <c r="L182" s="49"/>
    </row>
    <row r="183">
      <c r="A183" s="63"/>
      <c r="B183" s="49"/>
      <c r="C183" s="49"/>
      <c r="D183" s="49"/>
      <c r="E183" s="49"/>
      <c r="F183" s="49"/>
      <c r="G183" s="49"/>
      <c r="H183" s="49"/>
      <c r="I183" s="49"/>
      <c r="J183" s="49"/>
      <c r="K183" s="49"/>
      <c r="L183" s="49"/>
    </row>
    <row r="184">
      <c r="A184" s="63"/>
      <c r="B184" s="49"/>
      <c r="C184" s="49"/>
      <c r="D184" s="49"/>
      <c r="E184" s="49"/>
      <c r="F184" s="49"/>
      <c r="G184" s="49"/>
      <c r="H184" s="49"/>
      <c r="I184" s="49"/>
      <c r="J184" s="49"/>
      <c r="K184" s="49"/>
      <c r="L184" s="49"/>
    </row>
    <row r="185">
      <c r="A185" s="63"/>
      <c r="B185" s="49"/>
      <c r="C185" s="49"/>
      <c r="D185" s="49"/>
      <c r="E185" s="49"/>
      <c r="F185" s="49"/>
      <c r="G185" s="49"/>
      <c r="H185" s="49"/>
      <c r="I185" s="49"/>
      <c r="J185" s="49"/>
      <c r="K185" s="49"/>
      <c r="L185" s="49"/>
    </row>
    <row r="186">
      <c r="A186" s="63"/>
      <c r="B186" s="49"/>
      <c r="C186" s="49"/>
      <c r="D186" s="49"/>
      <c r="E186" s="49"/>
      <c r="F186" s="49"/>
      <c r="G186" s="49"/>
      <c r="H186" s="49"/>
      <c r="I186" s="49"/>
      <c r="J186" s="49"/>
      <c r="K186" s="49"/>
      <c r="L186" s="49"/>
    </row>
    <row r="187">
      <c r="A187" s="63"/>
      <c r="B187" s="49"/>
      <c r="C187" s="49"/>
      <c r="D187" s="49"/>
      <c r="E187" s="49"/>
      <c r="F187" s="49"/>
      <c r="G187" s="49"/>
      <c r="H187" s="49"/>
      <c r="I187" s="49"/>
      <c r="J187" s="49"/>
      <c r="K187" s="49"/>
      <c r="L187" s="49"/>
    </row>
    <row r="188">
      <c r="A188" s="63"/>
      <c r="B188" s="49"/>
      <c r="C188" s="49"/>
      <c r="D188" s="49"/>
      <c r="E188" s="49"/>
      <c r="F188" s="49"/>
      <c r="G188" s="49"/>
      <c r="H188" s="49"/>
      <c r="I188" s="49"/>
      <c r="J188" s="49"/>
      <c r="K188" s="49"/>
      <c r="L188" s="49"/>
    </row>
    <row r="189">
      <c r="A189" s="63"/>
      <c r="B189" s="49"/>
      <c r="C189" s="49"/>
      <c r="D189" s="49"/>
      <c r="E189" s="49"/>
      <c r="F189" s="49"/>
      <c r="G189" s="49"/>
      <c r="H189" s="49"/>
      <c r="I189" s="49"/>
      <c r="J189" s="49"/>
      <c r="K189" s="49"/>
      <c r="L189" s="49"/>
    </row>
    <row r="190">
      <c r="A190" s="63"/>
      <c r="B190" s="49"/>
      <c r="C190" s="49"/>
      <c r="D190" s="49"/>
      <c r="E190" s="49"/>
      <c r="F190" s="49"/>
      <c r="G190" s="49"/>
      <c r="H190" s="49"/>
      <c r="I190" s="49"/>
      <c r="J190" s="49"/>
      <c r="K190" s="49"/>
      <c r="L190" s="49"/>
    </row>
    <row r="191">
      <c r="A191" s="63"/>
      <c r="B191" s="49"/>
      <c r="C191" s="49"/>
      <c r="D191" s="49"/>
      <c r="E191" s="49"/>
      <c r="F191" s="49"/>
      <c r="G191" s="49"/>
      <c r="H191" s="49"/>
      <c r="I191" s="49"/>
      <c r="J191" s="49"/>
      <c r="K191" s="49"/>
      <c r="L191" s="49"/>
    </row>
    <row r="192">
      <c r="A192" s="63"/>
      <c r="B192" s="49"/>
      <c r="C192" s="49"/>
      <c r="D192" s="49"/>
      <c r="E192" s="49"/>
      <c r="F192" s="49"/>
      <c r="G192" s="49"/>
      <c r="H192" s="49"/>
      <c r="I192" s="49"/>
      <c r="J192" s="49"/>
      <c r="K192" s="49"/>
      <c r="L192" s="49"/>
    </row>
    <row r="193">
      <c r="A193" s="63"/>
      <c r="B193" s="49"/>
      <c r="C193" s="49"/>
      <c r="D193" s="49"/>
      <c r="E193" s="49"/>
      <c r="F193" s="49"/>
      <c r="G193" s="49"/>
      <c r="H193" s="49"/>
      <c r="I193" s="49"/>
      <c r="J193" s="49"/>
      <c r="K193" s="49"/>
      <c r="L193" s="49"/>
    </row>
    <row r="194">
      <c r="A194" s="63"/>
      <c r="B194" s="49"/>
      <c r="C194" s="49"/>
      <c r="D194" s="49"/>
      <c r="E194" s="49"/>
      <c r="F194" s="49"/>
      <c r="G194" s="49"/>
      <c r="H194" s="49"/>
      <c r="I194" s="49"/>
      <c r="J194" s="49"/>
      <c r="K194" s="49"/>
      <c r="L194" s="49"/>
    </row>
    <row r="195">
      <c r="A195" s="63"/>
      <c r="B195" s="49"/>
      <c r="C195" s="49"/>
      <c r="D195" s="49"/>
      <c r="E195" s="49"/>
      <c r="F195" s="49"/>
      <c r="G195" s="49"/>
      <c r="H195" s="49"/>
      <c r="I195" s="49"/>
      <c r="J195" s="49"/>
      <c r="K195" s="49"/>
      <c r="L195" s="49"/>
    </row>
    <row r="196">
      <c r="A196" s="63"/>
      <c r="B196" s="49"/>
      <c r="C196" s="49"/>
      <c r="D196" s="49"/>
      <c r="E196" s="49"/>
      <c r="F196" s="49"/>
      <c r="G196" s="49"/>
      <c r="H196" s="49"/>
      <c r="I196" s="49"/>
      <c r="J196" s="49"/>
      <c r="K196" s="49"/>
      <c r="L196" s="49"/>
    </row>
    <row r="197">
      <c r="A197" s="63"/>
      <c r="B197" s="49"/>
      <c r="C197" s="49"/>
      <c r="D197" s="49"/>
      <c r="E197" s="49"/>
      <c r="F197" s="49"/>
      <c r="G197" s="49"/>
      <c r="H197" s="49"/>
      <c r="I197" s="49"/>
      <c r="J197" s="49"/>
      <c r="K197" s="49"/>
      <c r="L197" s="49"/>
    </row>
    <row r="198">
      <c r="A198" s="63"/>
      <c r="B198" s="49"/>
      <c r="C198" s="49"/>
      <c r="D198" s="49"/>
      <c r="E198" s="49"/>
      <c r="F198" s="49"/>
      <c r="G198" s="49"/>
      <c r="H198" s="49"/>
      <c r="I198" s="49"/>
      <c r="J198" s="49"/>
      <c r="K198" s="49"/>
      <c r="L198" s="49"/>
    </row>
    <row r="199">
      <c r="A199" s="63"/>
      <c r="B199" s="49"/>
      <c r="C199" s="49"/>
      <c r="D199" s="49"/>
      <c r="E199" s="49"/>
      <c r="F199" s="49"/>
      <c r="G199" s="49"/>
      <c r="H199" s="49"/>
      <c r="I199" s="49"/>
      <c r="J199" s="49"/>
      <c r="K199" s="49"/>
      <c r="L199" s="49"/>
    </row>
    <row r="200">
      <c r="A200" s="63"/>
      <c r="B200" s="49"/>
      <c r="C200" s="49"/>
      <c r="D200" s="49"/>
      <c r="E200" s="49"/>
      <c r="F200" s="49"/>
      <c r="G200" s="49"/>
      <c r="H200" s="49"/>
      <c r="I200" s="49"/>
      <c r="J200" s="49"/>
      <c r="K200" s="49"/>
      <c r="L200" s="49"/>
    </row>
    <row r="201">
      <c r="A201" s="63"/>
      <c r="B201" s="49"/>
      <c r="C201" s="49"/>
      <c r="D201" s="49"/>
      <c r="E201" s="49"/>
      <c r="F201" s="49"/>
      <c r="G201" s="49"/>
      <c r="H201" s="49"/>
      <c r="I201" s="49"/>
      <c r="J201" s="49"/>
      <c r="K201" s="49"/>
      <c r="L201" s="49"/>
    </row>
    <row r="202">
      <c r="A202" s="63"/>
      <c r="B202" s="49"/>
      <c r="C202" s="49"/>
      <c r="D202" s="49"/>
      <c r="E202" s="49"/>
      <c r="F202" s="49"/>
      <c r="G202" s="49"/>
      <c r="H202" s="49"/>
      <c r="I202" s="49"/>
      <c r="J202" s="49"/>
      <c r="K202" s="49"/>
      <c r="L202" s="49"/>
    </row>
    <row r="203">
      <c r="A203" s="63"/>
      <c r="B203" s="49"/>
      <c r="C203" s="49"/>
      <c r="D203" s="49"/>
      <c r="E203" s="49"/>
      <c r="F203" s="49"/>
      <c r="G203" s="49"/>
      <c r="H203" s="49"/>
      <c r="I203" s="49"/>
      <c r="J203" s="49"/>
      <c r="K203" s="49"/>
      <c r="L203" s="49"/>
    </row>
    <row r="204">
      <c r="A204" s="63"/>
      <c r="B204" s="49"/>
      <c r="C204" s="49"/>
      <c r="D204" s="49"/>
      <c r="E204" s="49"/>
      <c r="F204" s="49"/>
      <c r="G204" s="49"/>
      <c r="H204" s="49"/>
      <c r="I204" s="49"/>
      <c r="J204" s="49"/>
      <c r="K204" s="49"/>
      <c r="L204" s="49"/>
    </row>
    <row r="205">
      <c r="A205" s="63"/>
      <c r="B205" s="49"/>
      <c r="C205" s="49"/>
      <c r="D205" s="49"/>
      <c r="E205" s="49"/>
      <c r="F205" s="49"/>
      <c r="G205" s="49"/>
      <c r="H205" s="49"/>
      <c r="I205" s="49"/>
      <c r="J205" s="49"/>
      <c r="K205" s="49"/>
      <c r="L205" s="49"/>
    </row>
    <row r="206">
      <c r="A206" s="63"/>
      <c r="B206" s="49"/>
      <c r="C206" s="49"/>
      <c r="D206" s="49"/>
      <c r="E206" s="49"/>
      <c r="F206" s="49"/>
      <c r="G206" s="49"/>
      <c r="H206" s="49"/>
      <c r="I206" s="49"/>
      <c r="J206" s="49"/>
      <c r="K206" s="49"/>
      <c r="L206" s="49"/>
    </row>
    <row r="207">
      <c r="A207" s="63"/>
      <c r="B207" s="49"/>
      <c r="C207" s="49"/>
      <c r="D207" s="49"/>
      <c r="E207" s="49"/>
      <c r="F207" s="49"/>
      <c r="G207" s="49"/>
      <c r="H207" s="49"/>
      <c r="I207" s="49"/>
      <c r="J207" s="49"/>
      <c r="K207" s="49"/>
      <c r="L207" s="49"/>
    </row>
    <row r="208">
      <c r="A208" s="63"/>
      <c r="B208" s="49"/>
      <c r="C208" s="49"/>
      <c r="D208" s="49"/>
      <c r="E208" s="49"/>
      <c r="F208" s="49"/>
      <c r="G208" s="49"/>
      <c r="H208" s="49"/>
      <c r="I208" s="49"/>
      <c r="J208" s="49"/>
      <c r="K208" s="49"/>
      <c r="L208" s="49"/>
    </row>
    <row r="209">
      <c r="A209" s="63"/>
      <c r="B209" s="49"/>
      <c r="C209" s="49"/>
      <c r="D209" s="49"/>
      <c r="E209" s="49"/>
      <c r="F209" s="49"/>
      <c r="G209" s="49"/>
      <c r="H209" s="49"/>
      <c r="I209" s="49"/>
      <c r="J209" s="49"/>
      <c r="K209" s="49"/>
      <c r="L209" s="49"/>
    </row>
    <row r="210">
      <c r="A210" s="63"/>
      <c r="B210" s="49"/>
      <c r="C210" s="49"/>
      <c r="D210" s="49"/>
      <c r="E210" s="49"/>
      <c r="F210" s="49"/>
      <c r="G210" s="49"/>
      <c r="H210" s="49"/>
      <c r="I210" s="49"/>
      <c r="J210" s="49"/>
      <c r="K210" s="49"/>
      <c r="L210" s="49"/>
    </row>
    <row r="211">
      <c r="A211" s="63"/>
      <c r="B211" s="49"/>
      <c r="C211" s="49"/>
      <c r="D211" s="49"/>
      <c r="E211" s="49"/>
      <c r="F211" s="49"/>
      <c r="G211" s="49"/>
      <c r="H211" s="49"/>
      <c r="I211" s="49"/>
      <c r="J211" s="49"/>
      <c r="K211" s="49"/>
      <c r="L211" s="49"/>
    </row>
    <row r="212">
      <c r="A212" s="63"/>
      <c r="B212" s="49"/>
      <c r="C212" s="49"/>
      <c r="D212" s="49"/>
      <c r="E212" s="49"/>
      <c r="F212" s="49"/>
      <c r="G212" s="49"/>
      <c r="H212" s="49"/>
      <c r="I212" s="49"/>
      <c r="J212" s="49"/>
      <c r="K212" s="49"/>
      <c r="L212" s="49"/>
    </row>
    <row r="213">
      <c r="A213" s="63"/>
      <c r="B213" s="49"/>
      <c r="C213" s="49"/>
      <c r="D213" s="49"/>
      <c r="E213" s="49"/>
      <c r="F213" s="49"/>
      <c r="G213" s="49"/>
      <c r="H213" s="49"/>
      <c r="I213" s="49"/>
      <c r="J213" s="49"/>
      <c r="K213" s="49"/>
      <c r="L213" s="49"/>
    </row>
    <row r="214">
      <c r="A214" s="63"/>
      <c r="B214" s="49"/>
      <c r="C214" s="49"/>
      <c r="D214" s="49"/>
      <c r="E214" s="49"/>
      <c r="F214" s="49"/>
      <c r="G214" s="49"/>
      <c r="H214" s="49"/>
      <c r="I214" s="49"/>
      <c r="J214" s="49"/>
      <c r="K214" s="49"/>
      <c r="L214" s="49"/>
    </row>
    <row r="215">
      <c r="A215" s="63"/>
      <c r="B215" s="49"/>
      <c r="C215" s="49"/>
      <c r="D215" s="49"/>
      <c r="E215" s="49"/>
      <c r="F215" s="49"/>
      <c r="G215" s="49"/>
      <c r="H215" s="49"/>
      <c r="I215" s="49"/>
      <c r="J215" s="49"/>
      <c r="K215" s="49"/>
      <c r="L215" s="49"/>
    </row>
    <row r="216">
      <c r="A216" s="63"/>
      <c r="B216" s="49"/>
      <c r="C216" s="49"/>
      <c r="D216" s="49"/>
      <c r="E216" s="49"/>
      <c r="F216" s="49"/>
      <c r="G216" s="49"/>
      <c r="H216" s="49"/>
      <c r="I216" s="49"/>
      <c r="J216" s="49"/>
      <c r="K216" s="49"/>
      <c r="L216" s="49"/>
    </row>
    <row r="217">
      <c r="A217" s="63"/>
      <c r="B217" s="49"/>
      <c r="C217" s="49"/>
      <c r="D217" s="49"/>
      <c r="E217" s="49"/>
      <c r="F217" s="49"/>
      <c r="G217" s="49"/>
      <c r="H217" s="49"/>
      <c r="I217" s="49"/>
      <c r="J217" s="49"/>
      <c r="K217" s="49"/>
      <c r="L217" s="49"/>
    </row>
    <row r="218">
      <c r="A218" s="63"/>
      <c r="B218" s="49"/>
      <c r="C218" s="49"/>
      <c r="D218" s="49"/>
      <c r="E218" s="49"/>
      <c r="F218" s="49"/>
      <c r="G218" s="49"/>
      <c r="H218" s="49"/>
      <c r="I218" s="49"/>
      <c r="J218" s="49"/>
      <c r="K218" s="49"/>
      <c r="L218" s="49"/>
    </row>
    <row r="219">
      <c r="A219" s="63"/>
      <c r="B219" s="49"/>
      <c r="C219" s="49"/>
      <c r="D219" s="49"/>
      <c r="E219" s="49"/>
      <c r="F219" s="49"/>
      <c r="G219" s="49"/>
      <c r="H219" s="49"/>
      <c r="I219" s="49"/>
      <c r="J219" s="49"/>
      <c r="K219" s="49"/>
      <c r="L219" s="49"/>
    </row>
    <row r="220">
      <c r="A220" s="63"/>
      <c r="B220" s="49"/>
      <c r="C220" s="49"/>
      <c r="D220" s="49"/>
      <c r="E220" s="49"/>
      <c r="F220" s="49"/>
      <c r="G220" s="49"/>
      <c r="H220" s="49"/>
      <c r="I220" s="49"/>
      <c r="J220" s="49"/>
      <c r="K220" s="49"/>
      <c r="L220" s="49"/>
    </row>
    <row r="221">
      <c r="A221" s="63"/>
      <c r="B221" s="49"/>
      <c r="C221" s="49"/>
      <c r="D221" s="49"/>
      <c r="E221" s="49"/>
      <c r="F221" s="49"/>
      <c r="G221" s="49"/>
      <c r="H221" s="49"/>
      <c r="I221" s="49"/>
      <c r="J221" s="49"/>
      <c r="K221" s="49"/>
      <c r="L221" s="49"/>
    </row>
    <row r="222">
      <c r="A222" s="63"/>
      <c r="B222" s="49"/>
      <c r="C222" s="49"/>
      <c r="D222" s="49"/>
      <c r="E222" s="49"/>
      <c r="F222" s="49"/>
      <c r="G222" s="49"/>
      <c r="H222" s="49"/>
      <c r="I222" s="49"/>
      <c r="J222" s="49"/>
      <c r="K222" s="49"/>
      <c r="L222" s="49"/>
    </row>
    <row r="223">
      <c r="A223" s="63"/>
      <c r="B223" s="49"/>
      <c r="C223" s="49"/>
      <c r="D223" s="49"/>
      <c r="E223" s="49"/>
      <c r="F223" s="49"/>
      <c r="G223" s="49"/>
      <c r="H223" s="49"/>
      <c r="I223" s="49"/>
      <c r="J223" s="49"/>
      <c r="K223" s="49"/>
      <c r="L223" s="49"/>
    </row>
    <row r="224">
      <c r="A224" s="63"/>
      <c r="B224" s="49"/>
      <c r="C224" s="49"/>
      <c r="D224" s="49"/>
      <c r="E224" s="49"/>
      <c r="F224" s="49"/>
      <c r="G224" s="49"/>
      <c r="H224" s="49"/>
      <c r="I224" s="49"/>
      <c r="J224" s="49"/>
      <c r="K224" s="49"/>
      <c r="L224" s="49"/>
    </row>
    <row r="225">
      <c r="A225" s="63"/>
      <c r="B225" s="49"/>
      <c r="C225" s="49"/>
      <c r="D225" s="49"/>
      <c r="E225" s="49"/>
      <c r="F225" s="49"/>
      <c r="G225" s="49"/>
      <c r="H225" s="49"/>
      <c r="I225" s="49"/>
      <c r="J225" s="49"/>
      <c r="K225" s="49"/>
      <c r="L225" s="49"/>
    </row>
    <row r="226">
      <c r="A226" s="63"/>
      <c r="B226" s="49"/>
      <c r="C226" s="49"/>
      <c r="D226" s="49"/>
      <c r="E226" s="49"/>
      <c r="F226" s="49"/>
      <c r="G226" s="49"/>
      <c r="H226" s="49"/>
      <c r="I226" s="49"/>
      <c r="J226" s="49"/>
      <c r="K226" s="49"/>
      <c r="L226" s="49"/>
    </row>
    <row r="227">
      <c r="A227" s="63"/>
      <c r="B227" s="49"/>
      <c r="C227" s="49"/>
      <c r="D227" s="49"/>
      <c r="E227" s="49"/>
      <c r="F227" s="49"/>
      <c r="G227" s="49"/>
      <c r="H227" s="49"/>
      <c r="I227" s="49"/>
      <c r="J227" s="49"/>
      <c r="K227" s="49"/>
      <c r="L227" s="49"/>
    </row>
    <row r="228">
      <c r="A228" s="63"/>
      <c r="B228" s="49"/>
      <c r="C228" s="49"/>
      <c r="D228" s="49"/>
      <c r="E228" s="49"/>
      <c r="F228" s="49"/>
      <c r="G228" s="49"/>
      <c r="H228" s="49"/>
      <c r="I228" s="49"/>
      <c r="J228" s="49"/>
      <c r="K228" s="49"/>
      <c r="L228" s="49"/>
    </row>
    <row r="229">
      <c r="A229" s="63"/>
      <c r="B229" s="49"/>
      <c r="C229" s="49"/>
      <c r="D229" s="49"/>
      <c r="E229" s="49"/>
      <c r="F229" s="49"/>
      <c r="G229" s="49"/>
      <c r="H229" s="49"/>
      <c r="I229" s="49"/>
      <c r="J229" s="49"/>
      <c r="K229" s="49"/>
      <c r="L229" s="49"/>
    </row>
    <row r="230">
      <c r="A230" s="63"/>
      <c r="B230" s="49"/>
      <c r="C230" s="49"/>
      <c r="D230" s="49"/>
      <c r="E230" s="49"/>
      <c r="F230" s="49"/>
      <c r="G230" s="49"/>
      <c r="H230" s="49"/>
      <c r="I230" s="49"/>
      <c r="J230" s="49"/>
      <c r="K230" s="49"/>
      <c r="L230" s="49"/>
    </row>
    <row r="231">
      <c r="A231" s="63"/>
      <c r="B231" s="49"/>
      <c r="C231" s="49"/>
      <c r="D231" s="49"/>
      <c r="E231" s="49"/>
      <c r="F231" s="49"/>
      <c r="G231" s="49"/>
      <c r="H231" s="49"/>
      <c r="I231" s="49"/>
      <c r="J231" s="49"/>
      <c r="K231" s="49"/>
      <c r="L231" s="49"/>
    </row>
    <row r="232">
      <c r="A232" s="63"/>
      <c r="B232" s="49"/>
      <c r="C232" s="49"/>
      <c r="D232" s="49"/>
      <c r="E232" s="49"/>
      <c r="F232" s="49"/>
      <c r="G232" s="49"/>
      <c r="H232" s="49"/>
      <c r="I232" s="49"/>
      <c r="J232" s="49"/>
      <c r="K232" s="49"/>
      <c r="L232" s="49"/>
    </row>
    <row r="233">
      <c r="A233" s="63"/>
      <c r="B233" s="49"/>
      <c r="C233" s="49"/>
      <c r="D233" s="49"/>
      <c r="E233" s="49"/>
      <c r="F233" s="49"/>
      <c r="G233" s="49"/>
      <c r="H233" s="49"/>
      <c r="I233" s="49"/>
      <c r="J233" s="49"/>
      <c r="K233" s="49"/>
      <c r="L233" s="49"/>
    </row>
    <row r="234">
      <c r="A234" s="63"/>
      <c r="B234" s="49"/>
      <c r="C234" s="49"/>
      <c r="D234" s="49"/>
      <c r="E234" s="49"/>
      <c r="F234" s="49"/>
      <c r="G234" s="49"/>
      <c r="H234" s="49"/>
      <c r="I234" s="49"/>
      <c r="J234" s="49"/>
      <c r="K234" s="49"/>
      <c r="L234" s="49"/>
    </row>
    <row r="235">
      <c r="A235" s="63"/>
      <c r="B235" s="49"/>
      <c r="C235" s="49"/>
      <c r="D235" s="49"/>
      <c r="E235" s="49"/>
      <c r="F235" s="49"/>
      <c r="G235" s="49"/>
      <c r="H235" s="49"/>
      <c r="I235" s="49"/>
      <c r="J235" s="49"/>
      <c r="K235" s="49"/>
      <c r="L235" s="49"/>
    </row>
    <row r="236">
      <c r="A236" s="63"/>
      <c r="B236" s="49"/>
      <c r="C236" s="49"/>
      <c r="D236" s="49"/>
      <c r="E236" s="49"/>
      <c r="F236" s="49"/>
      <c r="G236" s="49"/>
      <c r="H236" s="49"/>
      <c r="I236" s="49"/>
      <c r="J236" s="49"/>
      <c r="K236" s="49"/>
      <c r="L236" s="49"/>
    </row>
    <row r="237">
      <c r="A237" s="63"/>
      <c r="B237" s="49"/>
      <c r="C237" s="49"/>
      <c r="D237" s="49"/>
      <c r="E237" s="49"/>
      <c r="F237" s="49"/>
      <c r="G237" s="49"/>
      <c r="H237" s="49"/>
      <c r="I237" s="49"/>
      <c r="J237" s="49"/>
      <c r="K237" s="49"/>
      <c r="L237" s="49"/>
    </row>
    <row r="238">
      <c r="A238" s="63"/>
      <c r="B238" s="49"/>
      <c r="C238" s="49"/>
      <c r="D238" s="49"/>
      <c r="E238" s="49"/>
      <c r="F238" s="49"/>
      <c r="G238" s="49"/>
      <c r="H238" s="49"/>
      <c r="I238" s="49"/>
      <c r="J238" s="49"/>
      <c r="K238" s="49"/>
      <c r="L238" s="49"/>
    </row>
    <row r="239">
      <c r="A239" s="63"/>
      <c r="B239" s="49"/>
      <c r="C239" s="49"/>
      <c r="D239" s="49"/>
      <c r="E239" s="49"/>
      <c r="F239" s="49"/>
      <c r="G239" s="49"/>
      <c r="H239" s="49"/>
      <c r="I239" s="49"/>
      <c r="J239" s="49"/>
      <c r="K239" s="49"/>
      <c r="L239" s="49"/>
    </row>
    <row r="240">
      <c r="A240" s="63"/>
      <c r="B240" s="49"/>
      <c r="C240" s="49"/>
      <c r="D240" s="49"/>
      <c r="E240" s="49"/>
      <c r="F240" s="49"/>
      <c r="G240" s="49"/>
      <c r="H240" s="49"/>
      <c r="I240" s="49"/>
      <c r="J240" s="49"/>
      <c r="K240" s="49"/>
      <c r="L240" s="49"/>
    </row>
    <row r="241">
      <c r="A241" s="63"/>
      <c r="B241" s="49"/>
      <c r="C241" s="49"/>
      <c r="D241" s="49"/>
      <c r="E241" s="49"/>
      <c r="F241" s="49"/>
      <c r="G241" s="49"/>
      <c r="H241" s="49"/>
      <c r="I241" s="49"/>
      <c r="J241" s="49"/>
      <c r="K241" s="49"/>
      <c r="L241" s="49"/>
    </row>
    <row r="242">
      <c r="A242" s="63"/>
      <c r="B242" s="49"/>
      <c r="C242" s="49"/>
      <c r="D242" s="49"/>
      <c r="E242" s="49"/>
      <c r="F242" s="49"/>
      <c r="G242" s="49"/>
      <c r="H242" s="49"/>
      <c r="I242" s="49"/>
      <c r="J242" s="49"/>
      <c r="K242" s="49"/>
      <c r="L242" s="49"/>
    </row>
    <row r="243">
      <c r="A243" s="63"/>
      <c r="B243" s="49"/>
      <c r="C243" s="49"/>
      <c r="D243" s="49"/>
      <c r="E243" s="49"/>
      <c r="F243" s="49"/>
      <c r="G243" s="49"/>
      <c r="H243" s="49"/>
      <c r="I243" s="49"/>
      <c r="J243" s="49"/>
      <c r="K243" s="49"/>
      <c r="L243" s="49"/>
    </row>
    <row r="244">
      <c r="A244" s="63"/>
      <c r="B244" s="49"/>
      <c r="C244" s="49"/>
      <c r="D244" s="49"/>
      <c r="E244" s="49"/>
      <c r="F244" s="49"/>
      <c r="G244" s="49"/>
      <c r="H244" s="49"/>
      <c r="I244" s="49"/>
      <c r="J244" s="49"/>
      <c r="K244" s="49"/>
      <c r="L244" s="49"/>
    </row>
    <row r="245">
      <c r="A245" s="63"/>
      <c r="B245" s="49"/>
      <c r="C245" s="49"/>
      <c r="D245" s="49"/>
      <c r="E245" s="49"/>
      <c r="F245" s="49"/>
      <c r="G245" s="49"/>
      <c r="H245" s="49"/>
      <c r="I245" s="49"/>
      <c r="J245" s="49"/>
      <c r="K245" s="49"/>
      <c r="L245" s="49"/>
    </row>
    <row r="246">
      <c r="A246" s="63"/>
      <c r="B246" s="49"/>
      <c r="C246" s="49"/>
      <c r="D246" s="49"/>
      <c r="E246" s="49"/>
      <c r="F246" s="49"/>
      <c r="G246" s="49"/>
      <c r="H246" s="49"/>
      <c r="I246" s="49"/>
      <c r="J246" s="49"/>
      <c r="K246" s="49"/>
      <c r="L246" s="49"/>
    </row>
    <row r="247">
      <c r="A247" s="63"/>
      <c r="B247" s="49"/>
      <c r="C247" s="49"/>
      <c r="D247" s="49"/>
      <c r="E247" s="49"/>
      <c r="F247" s="49"/>
      <c r="G247" s="49"/>
      <c r="H247" s="49"/>
      <c r="I247" s="49"/>
      <c r="J247" s="49"/>
      <c r="K247" s="49"/>
      <c r="L247" s="49"/>
    </row>
    <row r="248">
      <c r="A248" s="63"/>
      <c r="B248" s="49"/>
      <c r="C248" s="49"/>
      <c r="D248" s="49"/>
      <c r="E248" s="49"/>
      <c r="F248" s="49"/>
      <c r="G248" s="49"/>
      <c r="H248" s="49"/>
      <c r="I248" s="49"/>
      <c r="J248" s="49"/>
      <c r="K248" s="49"/>
      <c r="L248" s="49"/>
    </row>
    <row r="249">
      <c r="A249" s="63"/>
      <c r="B249" s="49"/>
      <c r="C249" s="49"/>
      <c r="D249" s="49"/>
      <c r="E249" s="49"/>
      <c r="F249" s="49"/>
      <c r="G249" s="49"/>
      <c r="H249" s="49"/>
      <c r="I249" s="49"/>
      <c r="J249" s="49"/>
      <c r="K249" s="49"/>
      <c r="L249" s="49"/>
    </row>
    <row r="250">
      <c r="A250" s="63"/>
      <c r="B250" s="49"/>
      <c r="C250" s="49"/>
      <c r="D250" s="49"/>
      <c r="E250" s="49"/>
      <c r="F250" s="49"/>
      <c r="G250" s="49"/>
      <c r="H250" s="49"/>
      <c r="I250" s="49"/>
      <c r="J250" s="49"/>
      <c r="K250" s="49"/>
      <c r="L250" s="49"/>
    </row>
    <row r="251">
      <c r="A251" s="63"/>
      <c r="B251" s="49"/>
      <c r="C251" s="49"/>
      <c r="D251" s="49"/>
      <c r="E251" s="49"/>
      <c r="F251" s="49"/>
      <c r="G251" s="49"/>
      <c r="H251" s="49"/>
      <c r="I251" s="49"/>
      <c r="J251" s="49"/>
      <c r="K251" s="49"/>
      <c r="L251" s="49"/>
    </row>
    <row r="252">
      <c r="A252" s="63"/>
      <c r="B252" s="49"/>
      <c r="C252" s="49"/>
      <c r="D252" s="49"/>
      <c r="E252" s="49"/>
      <c r="F252" s="49"/>
      <c r="G252" s="49"/>
      <c r="H252" s="49"/>
      <c r="I252" s="49"/>
      <c r="J252" s="49"/>
      <c r="K252" s="49"/>
      <c r="L252" s="49"/>
    </row>
    <row r="253">
      <c r="A253" s="63"/>
      <c r="B253" s="49"/>
      <c r="C253" s="49"/>
      <c r="D253" s="49"/>
      <c r="E253" s="49"/>
      <c r="F253" s="49"/>
      <c r="G253" s="49"/>
      <c r="H253" s="49"/>
      <c r="I253" s="49"/>
      <c r="J253" s="49"/>
      <c r="K253" s="49"/>
      <c r="L253" s="49"/>
    </row>
    <row r="254">
      <c r="A254" s="63"/>
      <c r="B254" s="49"/>
      <c r="C254" s="49"/>
      <c r="D254" s="49"/>
      <c r="E254" s="49"/>
      <c r="F254" s="49"/>
      <c r="G254" s="49"/>
      <c r="H254" s="49"/>
      <c r="I254" s="49"/>
      <c r="J254" s="49"/>
      <c r="K254" s="49"/>
      <c r="L254" s="49"/>
    </row>
    <row r="255">
      <c r="A255" s="63"/>
      <c r="B255" s="49"/>
      <c r="C255" s="49"/>
      <c r="D255" s="49"/>
      <c r="E255" s="49"/>
      <c r="F255" s="49"/>
      <c r="G255" s="49"/>
      <c r="H255" s="49"/>
      <c r="I255" s="49"/>
      <c r="J255" s="49"/>
      <c r="K255" s="49"/>
      <c r="L255" s="49"/>
    </row>
    <row r="256">
      <c r="A256" s="63"/>
      <c r="B256" s="49"/>
      <c r="C256" s="49"/>
      <c r="D256" s="49"/>
      <c r="E256" s="49"/>
      <c r="F256" s="49"/>
      <c r="G256" s="49"/>
      <c r="H256" s="49"/>
      <c r="I256" s="49"/>
      <c r="J256" s="49"/>
      <c r="K256" s="49"/>
      <c r="L256" s="49"/>
    </row>
    <row r="257">
      <c r="A257" s="63"/>
      <c r="B257" s="49"/>
      <c r="C257" s="49"/>
      <c r="D257" s="49"/>
      <c r="E257" s="49"/>
      <c r="F257" s="49"/>
      <c r="G257" s="49"/>
      <c r="H257" s="49"/>
      <c r="I257" s="49"/>
      <c r="J257" s="49"/>
      <c r="K257" s="49"/>
      <c r="L257" s="49"/>
    </row>
    <row r="258">
      <c r="A258" s="63"/>
      <c r="B258" s="49"/>
      <c r="C258" s="49"/>
      <c r="D258" s="49"/>
      <c r="E258" s="49"/>
      <c r="F258" s="49"/>
      <c r="G258" s="49"/>
      <c r="H258" s="49"/>
      <c r="I258" s="49"/>
      <c r="J258" s="49"/>
      <c r="K258" s="49"/>
      <c r="L258" s="49"/>
    </row>
    <row r="259">
      <c r="A259" s="63"/>
      <c r="B259" s="49"/>
      <c r="C259" s="49"/>
      <c r="D259" s="49"/>
      <c r="E259" s="49"/>
      <c r="F259" s="49"/>
      <c r="G259" s="49"/>
      <c r="H259" s="49"/>
      <c r="I259" s="49"/>
      <c r="J259" s="49"/>
      <c r="K259" s="49"/>
      <c r="L259" s="49"/>
    </row>
    <row r="260">
      <c r="A260" s="63"/>
      <c r="B260" s="49"/>
      <c r="C260" s="49"/>
      <c r="D260" s="49"/>
      <c r="E260" s="49"/>
      <c r="F260" s="49"/>
      <c r="G260" s="49"/>
      <c r="H260" s="49"/>
      <c r="I260" s="49"/>
      <c r="J260" s="49"/>
      <c r="K260" s="49"/>
      <c r="L260" s="49"/>
    </row>
    <row r="261">
      <c r="A261" s="63"/>
      <c r="B261" s="49"/>
      <c r="C261" s="49"/>
      <c r="D261" s="49"/>
      <c r="E261" s="49"/>
      <c r="F261" s="49"/>
      <c r="G261" s="49"/>
      <c r="H261" s="49"/>
      <c r="I261" s="49"/>
      <c r="J261" s="49"/>
      <c r="K261" s="49"/>
      <c r="L261" s="49"/>
    </row>
    <row r="262">
      <c r="A262" s="63"/>
      <c r="B262" s="49"/>
      <c r="C262" s="49"/>
      <c r="D262" s="49"/>
      <c r="E262" s="49"/>
      <c r="F262" s="49"/>
      <c r="G262" s="49"/>
      <c r="H262" s="49"/>
      <c r="I262" s="49"/>
      <c r="J262" s="49"/>
      <c r="K262" s="49"/>
      <c r="L262" s="49"/>
    </row>
    <row r="263">
      <c r="A263" s="63"/>
      <c r="B263" s="49"/>
      <c r="C263" s="49"/>
      <c r="D263" s="49"/>
      <c r="E263" s="49"/>
      <c r="F263" s="49"/>
      <c r="G263" s="49"/>
      <c r="H263" s="49"/>
      <c r="I263" s="49"/>
      <c r="J263" s="49"/>
      <c r="K263" s="49"/>
      <c r="L263" s="49"/>
    </row>
    <row r="264">
      <c r="A264" s="63"/>
      <c r="B264" s="49"/>
      <c r="C264" s="49"/>
      <c r="D264" s="49"/>
      <c r="E264" s="49"/>
      <c r="F264" s="49"/>
      <c r="G264" s="49"/>
      <c r="H264" s="49"/>
      <c r="I264" s="49"/>
      <c r="J264" s="49"/>
      <c r="K264" s="49"/>
      <c r="L264" s="49"/>
    </row>
    <row r="265">
      <c r="A265" s="63"/>
      <c r="B265" s="49"/>
      <c r="C265" s="49"/>
      <c r="D265" s="49"/>
      <c r="E265" s="49"/>
      <c r="F265" s="49"/>
      <c r="G265" s="49"/>
      <c r="H265" s="49"/>
      <c r="I265" s="49"/>
      <c r="J265" s="49"/>
      <c r="K265" s="49"/>
      <c r="L265" s="49"/>
    </row>
    <row r="266">
      <c r="A266" s="63"/>
      <c r="B266" s="49"/>
      <c r="C266" s="49"/>
      <c r="D266" s="49"/>
      <c r="E266" s="49"/>
      <c r="F266" s="49"/>
      <c r="G266" s="49"/>
      <c r="H266" s="49"/>
      <c r="I266" s="49"/>
      <c r="J266" s="49"/>
      <c r="K266" s="49"/>
      <c r="L266" s="49"/>
    </row>
    <row r="267">
      <c r="A267" s="63"/>
      <c r="B267" s="49"/>
      <c r="C267" s="49"/>
      <c r="D267" s="49"/>
      <c r="E267" s="49"/>
      <c r="F267" s="49"/>
      <c r="G267" s="49"/>
      <c r="H267" s="49"/>
      <c r="I267" s="49"/>
      <c r="J267" s="49"/>
      <c r="K267" s="49"/>
      <c r="L267" s="49"/>
    </row>
    <row r="268">
      <c r="A268" s="63"/>
      <c r="B268" s="49"/>
      <c r="C268" s="49"/>
      <c r="D268" s="49"/>
      <c r="E268" s="49"/>
      <c r="F268" s="49"/>
      <c r="G268" s="49"/>
      <c r="H268" s="49"/>
      <c r="I268" s="49"/>
      <c r="J268" s="49"/>
      <c r="K268" s="49"/>
      <c r="L268" s="49"/>
    </row>
    <row r="269">
      <c r="A269" s="63"/>
      <c r="B269" s="49"/>
      <c r="C269" s="49"/>
      <c r="D269" s="49"/>
      <c r="E269" s="49"/>
      <c r="F269" s="49"/>
      <c r="G269" s="49"/>
      <c r="H269" s="49"/>
      <c r="I269" s="49"/>
      <c r="J269" s="49"/>
      <c r="K269" s="49"/>
      <c r="L269" s="49"/>
    </row>
    <row r="270">
      <c r="A270" s="63"/>
      <c r="B270" s="49"/>
      <c r="C270" s="49"/>
      <c r="D270" s="49"/>
      <c r="E270" s="49"/>
      <c r="F270" s="49"/>
      <c r="G270" s="49"/>
      <c r="H270" s="49"/>
      <c r="I270" s="49"/>
      <c r="J270" s="49"/>
      <c r="K270" s="49"/>
      <c r="L270" s="49"/>
    </row>
    <row r="271">
      <c r="A271" s="63"/>
      <c r="B271" s="49"/>
      <c r="C271" s="49"/>
      <c r="D271" s="49"/>
      <c r="E271" s="49"/>
      <c r="F271" s="49"/>
      <c r="G271" s="49"/>
      <c r="H271" s="49"/>
      <c r="I271" s="49"/>
      <c r="J271" s="49"/>
      <c r="K271" s="49"/>
      <c r="L271" s="49"/>
    </row>
    <row r="272">
      <c r="A272" s="63"/>
      <c r="B272" s="49"/>
      <c r="C272" s="49"/>
      <c r="D272" s="49"/>
      <c r="E272" s="49"/>
      <c r="F272" s="49"/>
      <c r="G272" s="49"/>
      <c r="H272" s="49"/>
      <c r="I272" s="49"/>
      <c r="J272" s="49"/>
      <c r="K272" s="49"/>
      <c r="L272" s="49"/>
    </row>
    <row r="273">
      <c r="A273" s="63"/>
      <c r="B273" s="49"/>
      <c r="C273" s="49"/>
      <c r="D273" s="49"/>
      <c r="E273" s="49"/>
      <c r="F273" s="49"/>
      <c r="G273" s="49"/>
      <c r="H273" s="49"/>
      <c r="I273" s="49"/>
      <c r="J273" s="49"/>
      <c r="K273" s="49"/>
      <c r="L273" s="49"/>
    </row>
    <row r="274">
      <c r="A274" s="63"/>
      <c r="B274" s="49"/>
      <c r="C274" s="49"/>
      <c r="D274" s="49"/>
      <c r="E274" s="49"/>
      <c r="F274" s="49"/>
      <c r="G274" s="49"/>
      <c r="H274" s="49"/>
      <c r="I274" s="49"/>
      <c r="J274" s="49"/>
      <c r="K274" s="49"/>
      <c r="L274" s="49"/>
    </row>
    <row r="275">
      <c r="A275" s="63"/>
      <c r="B275" s="49"/>
      <c r="C275" s="49"/>
      <c r="D275" s="49"/>
      <c r="E275" s="49"/>
      <c r="F275" s="49"/>
      <c r="G275" s="49"/>
      <c r="H275" s="49"/>
      <c r="I275" s="49"/>
      <c r="J275" s="49"/>
      <c r="K275" s="49"/>
      <c r="L275" s="49"/>
    </row>
    <row r="276">
      <c r="A276" s="63"/>
      <c r="B276" s="49"/>
      <c r="C276" s="49"/>
      <c r="D276" s="49"/>
      <c r="E276" s="49"/>
      <c r="F276" s="49"/>
      <c r="G276" s="49"/>
      <c r="H276" s="49"/>
      <c r="I276" s="49"/>
      <c r="J276" s="49"/>
      <c r="K276" s="49"/>
      <c r="L276" s="49"/>
    </row>
    <row r="277">
      <c r="A277" s="63"/>
      <c r="B277" s="49"/>
      <c r="C277" s="49"/>
      <c r="D277" s="49"/>
      <c r="E277" s="49"/>
      <c r="F277" s="49"/>
      <c r="G277" s="49"/>
      <c r="H277" s="49"/>
      <c r="I277" s="49"/>
      <c r="J277" s="49"/>
      <c r="K277" s="49"/>
      <c r="L277" s="49"/>
    </row>
    <row r="278">
      <c r="A278" s="63"/>
      <c r="B278" s="49"/>
      <c r="C278" s="49"/>
      <c r="D278" s="49"/>
      <c r="E278" s="49"/>
      <c r="F278" s="49"/>
      <c r="G278" s="49"/>
      <c r="H278" s="49"/>
      <c r="I278" s="49"/>
      <c r="J278" s="49"/>
      <c r="K278" s="49"/>
      <c r="L278" s="49"/>
    </row>
    <row r="279">
      <c r="A279" s="63"/>
      <c r="B279" s="49"/>
      <c r="C279" s="49"/>
      <c r="D279" s="49"/>
      <c r="E279" s="49"/>
      <c r="F279" s="49"/>
      <c r="G279" s="49"/>
      <c r="H279" s="49"/>
      <c r="I279" s="49"/>
      <c r="J279" s="49"/>
      <c r="K279" s="49"/>
      <c r="L279" s="49"/>
    </row>
    <row r="280">
      <c r="A280" s="63"/>
      <c r="B280" s="49"/>
      <c r="C280" s="49"/>
      <c r="D280" s="49"/>
      <c r="E280" s="49"/>
      <c r="F280" s="49"/>
      <c r="G280" s="49"/>
      <c r="H280" s="49"/>
      <c r="I280" s="49"/>
      <c r="J280" s="49"/>
      <c r="K280" s="49"/>
      <c r="L280" s="49"/>
    </row>
    <row r="281">
      <c r="A281" s="63"/>
      <c r="B281" s="49"/>
      <c r="C281" s="49"/>
      <c r="D281" s="49"/>
      <c r="E281" s="49"/>
      <c r="F281" s="49"/>
      <c r="G281" s="49"/>
      <c r="H281" s="49"/>
      <c r="I281" s="49"/>
      <c r="J281" s="49"/>
      <c r="K281" s="49"/>
      <c r="L281" s="49"/>
    </row>
    <row r="282">
      <c r="A282" s="63"/>
      <c r="B282" s="49"/>
      <c r="C282" s="49"/>
      <c r="D282" s="49"/>
      <c r="E282" s="49"/>
      <c r="F282" s="49"/>
      <c r="G282" s="49"/>
      <c r="H282" s="49"/>
      <c r="I282" s="49"/>
      <c r="J282" s="49"/>
      <c r="K282" s="49"/>
      <c r="L282" s="49"/>
    </row>
    <row r="283">
      <c r="A283" s="63"/>
      <c r="B283" s="49"/>
      <c r="C283" s="49"/>
      <c r="D283" s="49"/>
      <c r="E283" s="49"/>
      <c r="F283" s="49"/>
      <c r="G283" s="49"/>
      <c r="H283" s="49"/>
      <c r="I283" s="49"/>
      <c r="J283" s="49"/>
      <c r="K283" s="49"/>
      <c r="L283" s="49"/>
    </row>
    <row r="284">
      <c r="A284" s="63"/>
      <c r="B284" s="49"/>
      <c r="C284" s="49"/>
      <c r="D284" s="49"/>
      <c r="E284" s="49"/>
      <c r="F284" s="49"/>
      <c r="G284" s="49"/>
      <c r="H284" s="49"/>
      <c r="I284" s="49"/>
      <c r="J284" s="49"/>
      <c r="K284" s="49"/>
      <c r="L284" s="49"/>
    </row>
    <row r="285">
      <c r="A285" s="63"/>
      <c r="B285" s="49"/>
      <c r="C285" s="49"/>
      <c r="D285" s="49"/>
      <c r="E285" s="49"/>
      <c r="F285" s="49"/>
      <c r="G285" s="49"/>
      <c r="H285" s="49"/>
      <c r="I285" s="49"/>
      <c r="J285" s="49"/>
      <c r="K285" s="49"/>
      <c r="L285" s="49"/>
    </row>
    <row r="286">
      <c r="A286" s="63"/>
      <c r="B286" s="49"/>
      <c r="C286" s="49"/>
      <c r="D286" s="49"/>
      <c r="E286" s="49"/>
      <c r="F286" s="49"/>
      <c r="G286" s="49"/>
      <c r="H286" s="49"/>
      <c r="I286" s="49"/>
      <c r="J286" s="49"/>
      <c r="K286" s="49"/>
      <c r="L286" s="49"/>
    </row>
    <row r="287">
      <c r="A287" s="63"/>
      <c r="B287" s="49"/>
      <c r="C287" s="49"/>
      <c r="D287" s="49"/>
      <c r="E287" s="49"/>
      <c r="F287" s="49"/>
      <c r="G287" s="49"/>
      <c r="H287" s="49"/>
      <c r="I287" s="49"/>
      <c r="J287" s="49"/>
      <c r="K287" s="49"/>
      <c r="L287" s="49"/>
    </row>
    <row r="288">
      <c r="A288" s="63"/>
      <c r="B288" s="49"/>
      <c r="C288" s="49"/>
      <c r="D288" s="49"/>
      <c r="E288" s="49"/>
      <c r="F288" s="49"/>
      <c r="G288" s="49"/>
      <c r="H288" s="49"/>
      <c r="I288" s="49"/>
      <c r="J288" s="49"/>
      <c r="K288" s="49"/>
      <c r="L288" s="49"/>
    </row>
    <row r="289">
      <c r="A289" s="63"/>
      <c r="B289" s="49"/>
      <c r="C289" s="49"/>
      <c r="D289" s="49"/>
      <c r="E289" s="49"/>
      <c r="F289" s="49"/>
      <c r="G289" s="49"/>
      <c r="H289" s="49"/>
      <c r="I289" s="49"/>
      <c r="J289" s="49"/>
      <c r="K289" s="49"/>
      <c r="L289" s="49"/>
    </row>
    <row r="290">
      <c r="A290" s="63"/>
      <c r="B290" s="49"/>
      <c r="C290" s="49"/>
      <c r="D290" s="49"/>
      <c r="E290" s="49"/>
      <c r="F290" s="49"/>
      <c r="G290" s="49"/>
      <c r="H290" s="49"/>
      <c r="I290" s="49"/>
      <c r="J290" s="49"/>
      <c r="K290" s="49"/>
      <c r="L290" s="49"/>
    </row>
    <row r="291">
      <c r="A291" s="63"/>
      <c r="B291" s="49"/>
      <c r="C291" s="49"/>
      <c r="D291" s="49"/>
      <c r="E291" s="49"/>
      <c r="F291" s="49"/>
      <c r="G291" s="49"/>
      <c r="H291" s="49"/>
      <c r="I291" s="49"/>
      <c r="J291" s="49"/>
      <c r="K291" s="49"/>
      <c r="L291" s="49"/>
    </row>
    <row r="292">
      <c r="A292" s="63"/>
      <c r="B292" s="49"/>
      <c r="C292" s="49"/>
      <c r="D292" s="49"/>
      <c r="E292" s="49"/>
      <c r="F292" s="49"/>
      <c r="G292" s="49"/>
      <c r="H292" s="49"/>
      <c r="I292" s="49"/>
      <c r="J292" s="49"/>
      <c r="K292" s="49"/>
      <c r="L292" s="49"/>
    </row>
    <row r="293">
      <c r="A293" s="63"/>
      <c r="B293" s="49"/>
      <c r="C293" s="49"/>
      <c r="D293" s="49"/>
      <c r="E293" s="49"/>
      <c r="F293" s="49"/>
      <c r="G293" s="49"/>
      <c r="H293" s="49"/>
      <c r="I293" s="49"/>
      <c r="J293" s="49"/>
      <c r="K293" s="49"/>
      <c r="L293" s="49"/>
    </row>
    <row r="294">
      <c r="A294" s="63"/>
      <c r="B294" s="49"/>
      <c r="C294" s="49"/>
      <c r="D294" s="49"/>
      <c r="E294" s="49"/>
      <c r="F294" s="49"/>
      <c r="G294" s="49"/>
      <c r="H294" s="49"/>
      <c r="I294" s="49"/>
      <c r="J294" s="49"/>
      <c r="K294" s="49"/>
      <c r="L294" s="49"/>
    </row>
    <row r="295">
      <c r="A295" s="63"/>
      <c r="B295" s="49"/>
      <c r="C295" s="49"/>
      <c r="D295" s="49"/>
      <c r="E295" s="49"/>
      <c r="F295" s="49"/>
      <c r="G295" s="49"/>
      <c r="H295" s="49"/>
      <c r="I295" s="49"/>
      <c r="J295" s="49"/>
      <c r="K295" s="49"/>
      <c r="L295" s="49"/>
    </row>
    <row r="296">
      <c r="A296" s="63"/>
      <c r="B296" s="49"/>
      <c r="C296" s="49"/>
      <c r="D296" s="49"/>
      <c r="E296" s="49"/>
      <c r="F296" s="49"/>
      <c r="G296" s="49"/>
      <c r="H296" s="49"/>
      <c r="I296" s="49"/>
      <c r="J296" s="49"/>
      <c r="K296" s="49"/>
      <c r="L296" s="49"/>
    </row>
    <row r="297">
      <c r="A297" s="63"/>
      <c r="B297" s="49"/>
      <c r="C297" s="49"/>
      <c r="D297" s="49"/>
      <c r="E297" s="49"/>
      <c r="F297" s="49"/>
      <c r="G297" s="49"/>
      <c r="H297" s="49"/>
      <c r="I297" s="49"/>
      <c r="J297" s="49"/>
      <c r="K297" s="49"/>
      <c r="L297" s="49"/>
    </row>
    <row r="298">
      <c r="A298" s="63"/>
      <c r="B298" s="49"/>
      <c r="C298" s="49"/>
      <c r="D298" s="49"/>
      <c r="E298" s="49"/>
      <c r="F298" s="49"/>
      <c r="G298" s="49"/>
      <c r="H298" s="49"/>
      <c r="I298" s="49"/>
      <c r="J298" s="49"/>
      <c r="K298" s="49"/>
      <c r="L298" s="49"/>
    </row>
    <row r="299">
      <c r="A299" s="63"/>
      <c r="B299" s="49"/>
      <c r="C299" s="49"/>
      <c r="D299" s="49"/>
      <c r="E299" s="49"/>
      <c r="F299" s="49"/>
      <c r="G299" s="49"/>
      <c r="H299" s="49"/>
      <c r="I299" s="49"/>
      <c r="J299" s="49"/>
      <c r="K299" s="49"/>
      <c r="L299" s="49"/>
    </row>
    <row r="300">
      <c r="A300" s="63"/>
      <c r="B300" s="49"/>
      <c r="C300" s="49"/>
      <c r="D300" s="49"/>
      <c r="E300" s="49"/>
      <c r="F300" s="49"/>
      <c r="G300" s="49"/>
      <c r="H300" s="49"/>
      <c r="I300" s="49"/>
      <c r="J300" s="49"/>
      <c r="K300" s="49"/>
      <c r="L300" s="49"/>
    </row>
    <row r="301">
      <c r="A301" s="63"/>
      <c r="B301" s="49"/>
      <c r="C301" s="49"/>
      <c r="D301" s="49"/>
      <c r="E301" s="49"/>
      <c r="F301" s="49"/>
      <c r="G301" s="49"/>
      <c r="H301" s="49"/>
      <c r="I301" s="49"/>
      <c r="J301" s="49"/>
      <c r="K301" s="49"/>
      <c r="L301" s="49"/>
    </row>
    <row r="302">
      <c r="A302" s="63"/>
      <c r="B302" s="49"/>
      <c r="C302" s="49"/>
      <c r="D302" s="49"/>
      <c r="E302" s="49"/>
      <c r="F302" s="49"/>
      <c r="G302" s="49"/>
      <c r="H302" s="49"/>
      <c r="I302" s="49"/>
      <c r="J302" s="49"/>
      <c r="K302" s="49"/>
      <c r="L302" s="49"/>
    </row>
    <row r="303">
      <c r="A303" s="63"/>
      <c r="B303" s="49"/>
      <c r="C303" s="49"/>
      <c r="D303" s="49"/>
      <c r="E303" s="49"/>
      <c r="F303" s="49"/>
      <c r="G303" s="49"/>
      <c r="H303" s="49"/>
      <c r="I303" s="49"/>
      <c r="J303" s="49"/>
      <c r="K303" s="49"/>
      <c r="L303" s="49"/>
    </row>
    <row r="304">
      <c r="A304" s="63"/>
      <c r="B304" s="49"/>
      <c r="C304" s="49"/>
      <c r="D304" s="49"/>
      <c r="E304" s="49"/>
      <c r="F304" s="49"/>
      <c r="G304" s="49"/>
      <c r="H304" s="49"/>
      <c r="I304" s="49"/>
      <c r="J304" s="49"/>
      <c r="K304" s="49"/>
      <c r="L304" s="49"/>
    </row>
    <row r="305">
      <c r="A305" s="63"/>
      <c r="B305" s="49"/>
      <c r="C305" s="49"/>
      <c r="D305" s="49"/>
      <c r="E305" s="49"/>
      <c r="F305" s="49"/>
      <c r="G305" s="49"/>
      <c r="H305" s="49"/>
      <c r="I305" s="49"/>
      <c r="J305" s="49"/>
      <c r="K305" s="49"/>
      <c r="L305" s="49"/>
    </row>
    <row r="306">
      <c r="A306" s="63"/>
      <c r="B306" s="49"/>
      <c r="C306" s="49"/>
      <c r="D306" s="49"/>
      <c r="E306" s="49"/>
      <c r="F306" s="49"/>
      <c r="G306" s="49"/>
      <c r="H306" s="49"/>
      <c r="I306" s="49"/>
      <c r="J306" s="49"/>
      <c r="K306" s="49"/>
      <c r="L306" s="49"/>
    </row>
    <row r="307">
      <c r="A307" s="63"/>
      <c r="B307" s="49"/>
      <c r="C307" s="49"/>
      <c r="D307" s="49"/>
      <c r="E307" s="49"/>
      <c r="F307" s="49"/>
      <c r="G307" s="49"/>
      <c r="H307" s="49"/>
      <c r="I307" s="49"/>
      <c r="J307" s="49"/>
      <c r="K307" s="49"/>
      <c r="L307" s="49"/>
    </row>
    <row r="308">
      <c r="A308" s="63"/>
      <c r="B308" s="49"/>
      <c r="C308" s="49"/>
      <c r="D308" s="49"/>
      <c r="E308" s="49"/>
      <c r="F308" s="49"/>
      <c r="G308" s="49"/>
      <c r="H308" s="49"/>
      <c r="I308" s="49"/>
      <c r="J308" s="49"/>
      <c r="K308" s="49"/>
      <c r="L308" s="49"/>
    </row>
    <row r="309">
      <c r="A309" s="63"/>
      <c r="B309" s="49"/>
      <c r="C309" s="49"/>
      <c r="D309" s="49"/>
      <c r="E309" s="49"/>
      <c r="F309" s="49"/>
      <c r="G309" s="49"/>
      <c r="H309" s="49"/>
      <c r="I309" s="49"/>
      <c r="J309" s="49"/>
      <c r="K309" s="49"/>
      <c r="L309" s="49"/>
    </row>
    <row r="310">
      <c r="A310" s="63"/>
      <c r="B310" s="49"/>
      <c r="C310" s="49"/>
      <c r="D310" s="49"/>
      <c r="E310" s="49"/>
      <c r="F310" s="49"/>
      <c r="G310" s="49"/>
      <c r="H310" s="49"/>
      <c r="I310" s="49"/>
      <c r="J310" s="49"/>
      <c r="K310" s="49"/>
      <c r="L310" s="49"/>
    </row>
    <row r="311">
      <c r="A311" s="63"/>
      <c r="B311" s="49"/>
      <c r="C311" s="49"/>
      <c r="D311" s="49"/>
      <c r="E311" s="49"/>
      <c r="F311" s="49"/>
      <c r="G311" s="49"/>
      <c r="H311" s="49"/>
      <c r="I311" s="49"/>
      <c r="J311" s="49"/>
      <c r="K311" s="49"/>
      <c r="L311" s="49"/>
    </row>
    <row r="312">
      <c r="A312" s="63"/>
      <c r="B312" s="49"/>
      <c r="C312" s="49"/>
      <c r="D312" s="49"/>
      <c r="E312" s="49"/>
      <c r="F312" s="49"/>
      <c r="G312" s="49"/>
      <c r="H312" s="49"/>
      <c r="I312" s="49"/>
      <c r="J312" s="49"/>
      <c r="K312" s="49"/>
      <c r="L312" s="49"/>
    </row>
    <row r="313">
      <c r="A313" s="63"/>
      <c r="B313" s="49"/>
      <c r="C313" s="49"/>
      <c r="D313" s="49"/>
      <c r="E313" s="49"/>
      <c r="F313" s="49"/>
      <c r="G313" s="49"/>
      <c r="H313" s="49"/>
      <c r="I313" s="49"/>
      <c r="J313" s="49"/>
      <c r="K313" s="49"/>
      <c r="L313" s="49"/>
    </row>
    <row r="314">
      <c r="A314" s="63"/>
      <c r="B314" s="49"/>
      <c r="C314" s="49"/>
      <c r="D314" s="49"/>
      <c r="E314" s="49"/>
      <c r="F314" s="49"/>
      <c r="G314" s="49"/>
      <c r="H314" s="49"/>
      <c r="I314" s="49"/>
      <c r="J314" s="49"/>
      <c r="K314" s="49"/>
      <c r="L314" s="49"/>
    </row>
    <row r="315">
      <c r="A315" s="63"/>
      <c r="B315" s="49"/>
      <c r="C315" s="49"/>
      <c r="D315" s="49"/>
      <c r="E315" s="49"/>
      <c r="F315" s="49"/>
      <c r="G315" s="49"/>
      <c r="H315" s="49"/>
      <c r="I315" s="49"/>
      <c r="J315" s="49"/>
      <c r="K315" s="49"/>
      <c r="L315" s="49"/>
    </row>
    <row r="316">
      <c r="A316" s="63"/>
      <c r="B316" s="49"/>
      <c r="C316" s="49"/>
      <c r="D316" s="49"/>
      <c r="E316" s="49"/>
      <c r="F316" s="49"/>
      <c r="G316" s="49"/>
      <c r="H316" s="49"/>
      <c r="I316" s="49"/>
      <c r="J316" s="49"/>
      <c r="K316" s="49"/>
      <c r="L316" s="49"/>
    </row>
    <row r="317">
      <c r="A317" s="63"/>
      <c r="B317" s="49"/>
      <c r="C317" s="49"/>
      <c r="D317" s="49"/>
      <c r="E317" s="49"/>
      <c r="F317" s="49"/>
      <c r="G317" s="49"/>
      <c r="H317" s="49"/>
      <c r="I317" s="49"/>
      <c r="J317" s="49"/>
      <c r="K317" s="49"/>
      <c r="L317" s="49"/>
    </row>
    <row r="318">
      <c r="A318" s="63"/>
      <c r="B318" s="49"/>
      <c r="C318" s="49"/>
      <c r="D318" s="49"/>
      <c r="E318" s="49"/>
      <c r="F318" s="49"/>
      <c r="G318" s="49"/>
      <c r="H318" s="49"/>
      <c r="I318" s="49"/>
      <c r="J318" s="49"/>
      <c r="K318" s="49"/>
      <c r="L318" s="49"/>
    </row>
    <row r="319">
      <c r="A319" s="63"/>
      <c r="B319" s="49"/>
      <c r="C319" s="49"/>
      <c r="D319" s="49"/>
      <c r="E319" s="49"/>
      <c r="F319" s="49"/>
      <c r="G319" s="49"/>
      <c r="H319" s="49"/>
      <c r="I319" s="49"/>
      <c r="J319" s="49"/>
      <c r="K319" s="49"/>
      <c r="L319" s="49"/>
    </row>
    <row r="320">
      <c r="A320" s="63"/>
      <c r="B320" s="49"/>
      <c r="C320" s="49"/>
      <c r="D320" s="49"/>
      <c r="E320" s="49"/>
      <c r="F320" s="49"/>
      <c r="G320" s="49"/>
      <c r="H320" s="49"/>
      <c r="I320" s="49"/>
      <c r="J320" s="49"/>
      <c r="K320" s="49"/>
      <c r="L320" s="49"/>
    </row>
    <row r="321">
      <c r="A321" s="63"/>
      <c r="B321" s="49"/>
      <c r="C321" s="49"/>
      <c r="D321" s="49"/>
      <c r="E321" s="49"/>
      <c r="F321" s="49"/>
      <c r="G321" s="49"/>
      <c r="H321" s="49"/>
      <c r="I321" s="49"/>
      <c r="J321" s="49"/>
      <c r="K321" s="49"/>
      <c r="L321" s="49"/>
    </row>
    <row r="322">
      <c r="A322" s="63"/>
      <c r="B322" s="49"/>
      <c r="C322" s="49"/>
      <c r="D322" s="49"/>
      <c r="E322" s="49"/>
      <c r="F322" s="49"/>
      <c r="G322" s="49"/>
      <c r="H322" s="49"/>
      <c r="I322" s="49"/>
      <c r="J322" s="49"/>
      <c r="K322" s="49"/>
      <c r="L322" s="49"/>
    </row>
    <row r="323">
      <c r="A323" s="63"/>
      <c r="B323" s="49"/>
      <c r="C323" s="49"/>
      <c r="D323" s="49"/>
      <c r="E323" s="49"/>
      <c r="F323" s="49"/>
      <c r="G323" s="49"/>
      <c r="H323" s="49"/>
      <c r="I323" s="49"/>
      <c r="J323" s="49"/>
      <c r="K323" s="49"/>
      <c r="L323" s="49"/>
    </row>
    <row r="324">
      <c r="A324" s="63"/>
      <c r="B324" s="49"/>
      <c r="C324" s="49"/>
      <c r="D324" s="49"/>
      <c r="E324" s="49"/>
      <c r="F324" s="49"/>
      <c r="G324" s="49"/>
      <c r="H324" s="49"/>
      <c r="I324" s="49"/>
      <c r="J324" s="49"/>
      <c r="K324" s="49"/>
      <c r="L324" s="49"/>
    </row>
    <row r="325">
      <c r="A325" s="63"/>
      <c r="B325" s="49"/>
      <c r="C325" s="49"/>
      <c r="D325" s="49"/>
      <c r="E325" s="49"/>
      <c r="F325" s="49"/>
      <c r="G325" s="49"/>
      <c r="H325" s="49"/>
      <c r="I325" s="49"/>
      <c r="J325" s="49"/>
      <c r="K325" s="49"/>
      <c r="L325" s="49"/>
    </row>
    <row r="326">
      <c r="A326" s="63"/>
      <c r="B326" s="49"/>
      <c r="C326" s="49"/>
      <c r="D326" s="49"/>
      <c r="E326" s="49"/>
      <c r="F326" s="49"/>
      <c r="G326" s="49"/>
      <c r="H326" s="49"/>
      <c r="I326" s="49"/>
      <c r="J326" s="49"/>
      <c r="K326" s="49"/>
      <c r="L326" s="49"/>
    </row>
    <row r="327">
      <c r="A327" s="63"/>
      <c r="B327" s="49"/>
      <c r="C327" s="49"/>
      <c r="D327" s="49"/>
      <c r="E327" s="49"/>
      <c r="F327" s="49"/>
      <c r="G327" s="49"/>
      <c r="H327" s="49"/>
      <c r="I327" s="49"/>
      <c r="J327" s="49"/>
      <c r="K327" s="49"/>
      <c r="L327" s="49"/>
    </row>
    <row r="328">
      <c r="A328" s="63"/>
      <c r="B328" s="49"/>
      <c r="C328" s="49"/>
      <c r="D328" s="49"/>
      <c r="E328" s="49"/>
      <c r="F328" s="49"/>
      <c r="G328" s="49"/>
      <c r="H328" s="49"/>
      <c r="I328" s="49"/>
      <c r="J328" s="49"/>
      <c r="K328" s="49"/>
      <c r="L328" s="49"/>
    </row>
    <row r="329">
      <c r="A329" s="63"/>
      <c r="B329" s="49"/>
      <c r="C329" s="49"/>
      <c r="D329" s="49"/>
      <c r="E329" s="49"/>
      <c r="F329" s="49"/>
      <c r="G329" s="49"/>
      <c r="H329" s="49"/>
      <c r="I329" s="49"/>
      <c r="J329" s="49"/>
      <c r="K329" s="49"/>
      <c r="L329" s="49"/>
    </row>
    <row r="330">
      <c r="A330" s="63"/>
      <c r="B330" s="49"/>
      <c r="C330" s="49"/>
      <c r="D330" s="49"/>
      <c r="E330" s="49"/>
      <c r="F330" s="49"/>
      <c r="G330" s="49"/>
      <c r="H330" s="49"/>
      <c r="I330" s="49"/>
      <c r="J330" s="49"/>
      <c r="K330" s="49"/>
      <c r="L330" s="49"/>
    </row>
    <row r="331">
      <c r="A331" s="63"/>
      <c r="B331" s="49"/>
      <c r="C331" s="49"/>
      <c r="D331" s="49"/>
      <c r="E331" s="49"/>
      <c r="F331" s="49"/>
      <c r="G331" s="49"/>
      <c r="H331" s="49"/>
      <c r="I331" s="49"/>
      <c r="J331" s="49"/>
      <c r="K331" s="49"/>
      <c r="L331" s="49"/>
    </row>
    <row r="332">
      <c r="A332" s="63"/>
      <c r="B332" s="49"/>
      <c r="C332" s="49"/>
      <c r="D332" s="49"/>
      <c r="E332" s="49"/>
      <c r="F332" s="49"/>
      <c r="G332" s="49"/>
      <c r="H332" s="49"/>
      <c r="I332" s="49"/>
      <c r="J332" s="49"/>
      <c r="K332" s="49"/>
      <c r="L332" s="49"/>
    </row>
    <row r="333">
      <c r="A333" s="63"/>
      <c r="B333" s="49"/>
      <c r="C333" s="49"/>
      <c r="D333" s="49"/>
      <c r="E333" s="49"/>
      <c r="F333" s="49"/>
      <c r="G333" s="49"/>
      <c r="H333" s="49"/>
      <c r="I333" s="49"/>
      <c r="J333" s="49"/>
      <c r="K333" s="49"/>
      <c r="L333" s="49"/>
    </row>
    <row r="334">
      <c r="A334" s="63"/>
      <c r="B334" s="49"/>
      <c r="C334" s="49"/>
      <c r="D334" s="49"/>
      <c r="E334" s="49"/>
      <c r="F334" s="49"/>
      <c r="G334" s="49"/>
      <c r="H334" s="49"/>
      <c r="I334" s="49"/>
      <c r="J334" s="49"/>
      <c r="K334" s="49"/>
      <c r="L334" s="49"/>
    </row>
    <row r="335">
      <c r="A335" s="63"/>
      <c r="B335" s="49"/>
      <c r="C335" s="49"/>
      <c r="D335" s="49"/>
      <c r="E335" s="49"/>
      <c r="F335" s="49"/>
      <c r="G335" s="49"/>
      <c r="H335" s="49"/>
      <c r="I335" s="49"/>
      <c r="J335" s="49"/>
      <c r="K335" s="49"/>
      <c r="L335" s="49"/>
    </row>
    <row r="336">
      <c r="A336" s="63"/>
      <c r="B336" s="49"/>
      <c r="C336" s="49"/>
      <c r="D336" s="49"/>
      <c r="E336" s="49"/>
      <c r="F336" s="49"/>
      <c r="G336" s="49"/>
      <c r="H336" s="49"/>
      <c r="I336" s="49"/>
      <c r="J336" s="49"/>
      <c r="K336" s="49"/>
      <c r="L336" s="49"/>
    </row>
    <row r="337">
      <c r="A337" s="63"/>
      <c r="B337" s="49"/>
      <c r="C337" s="49"/>
      <c r="D337" s="49"/>
      <c r="E337" s="49"/>
      <c r="F337" s="49"/>
      <c r="G337" s="49"/>
      <c r="H337" s="49"/>
      <c r="I337" s="49"/>
      <c r="J337" s="49"/>
      <c r="K337" s="49"/>
      <c r="L337" s="49"/>
    </row>
    <row r="338">
      <c r="A338" s="63"/>
      <c r="B338" s="49"/>
      <c r="C338" s="49"/>
      <c r="D338" s="49"/>
      <c r="E338" s="49"/>
      <c r="F338" s="49"/>
      <c r="G338" s="49"/>
      <c r="H338" s="49"/>
      <c r="I338" s="49"/>
      <c r="J338" s="49"/>
      <c r="K338" s="49"/>
      <c r="L338" s="49"/>
    </row>
    <row r="339">
      <c r="A339" s="63"/>
      <c r="B339" s="49"/>
      <c r="C339" s="49"/>
      <c r="D339" s="49"/>
      <c r="E339" s="49"/>
      <c r="F339" s="49"/>
      <c r="G339" s="49"/>
      <c r="H339" s="49"/>
      <c r="I339" s="49"/>
      <c r="J339" s="49"/>
      <c r="K339" s="49"/>
      <c r="L339" s="49"/>
    </row>
    <row r="340">
      <c r="A340" s="63"/>
      <c r="B340" s="49"/>
      <c r="C340" s="49"/>
      <c r="D340" s="49"/>
      <c r="E340" s="49"/>
      <c r="F340" s="49"/>
      <c r="G340" s="49"/>
      <c r="H340" s="49"/>
      <c r="I340" s="49"/>
      <c r="J340" s="49"/>
      <c r="K340" s="49"/>
      <c r="L340" s="49"/>
    </row>
    <row r="341">
      <c r="A341" s="63"/>
      <c r="B341" s="49"/>
      <c r="C341" s="49"/>
      <c r="D341" s="49"/>
      <c r="E341" s="49"/>
      <c r="F341" s="49"/>
      <c r="G341" s="49"/>
      <c r="H341" s="49"/>
      <c r="I341" s="49"/>
      <c r="J341" s="49"/>
      <c r="K341" s="49"/>
      <c r="L341" s="49"/>
    </row>
    <row r="342">
      <c r="A342" s="63"/>
      <c r="B342" s="49"/>
      <c r="C342" s="49"/>
      <c r="D342" s="49"/>
      <c r="E342" s="49"/>
      <c r="F342" s="49"/>
      <c r="G342" s="49"/>
      <c r="H342" s="49"/>
      <c r="I342" s="49"/>
      <c r="J342" s="49"/>
      <c r="K342" s="49"/>
      <c r="L342" s="49"/>
    </row>
    <row r="343">
      <c r="A343" s="63"/>
      <c r="B343" s="49"/>
      <c r="C343" s="49"/>
      <c r="D343" s="49"/>
      <c r="E343" s="49"/>
      <c r="F343" s="49"/>
      <c r="G343" s="49"/>
      <c r="H343" s="49"/>
      <c r="I343" s="49"/>
      <c r="J343" s="49"/>
      <c r="K343" s="49"/>
      <c r="L343" s="49"/>
    </row>
    <row r="344">
      <c r="A344" s="63"/>
      <c r="B344" s="49"/>
      <c r="C344" s="49"/>
      <c r="D344" s="49"/>
      <c r="E344" s="49"/>
      <c r="F344" s="49"/>
      <c r="G344" s="49"/>
      <c r="H344" s="49"/>
      <c r="I344" s="49"/>
      <c r="J344" s="49"/>
      <c r="K344" s="49"/>
      <c r="L344" s="49"/>
    </row>
    <row r="345">
      <c r="A345" s="63"/>
      <c r="B345" s="49"/>
      <c r="C345" s="49"/>
      <c r="D345" s="49"/>
      <c r="E345" s="49"/>
      <c r="F345" s="49"/>
      <c r="G345" s="49"/>
      <c r="H345" s="49"/>
      <c r="I345" s="49"/>
      <c r="J345" s="49"/>
      <c r="K345" s="49"/>
      <c r="L345" s="49"/>
    </row>
    <row r="346">
      <c r="A346" s="63"/>
      <c r="B346" s="49"/>
      <c r="C346" s="49"/>
      <c r="D346" s="49"/>
      <c r="E346" s="49"/>
      <c r="F346" s="49"/>
      <c r="G346" s="49"/>
      <c r="H346" s="49"/>
      <c r="I346" s="49"/>
      <c r="J346" s="49"/>
      <c r="K346" s="49"/>
      <c r="L346" s="49"/>
    </row>
    <row r="347">
      <c r="A347" s="63"/>
      <c r="B347" s="49"/>
      <c r="C347" s="49"/>
      <c r="D347" s="49"/>
      <c r="E347" s="49"/>
      <c r="F347" s="49"/>
      <c r="G347" s="49"/>
      <c r="H347" s="49"/>
      <c r="I347" s="49"/>
      <c r="J347" s="49"/>
      <c r="K347" s="49"/>
      <c r="L347" s="49"/>
    </row>
    <row r="348">
      <c r="A348" s="63"/>
      <c r="B348" s="49"/>
      <c r="C348" s="49"/>
      <c r="D348" s="49"/>
      <c r="E348" s="49"/>
      <c r="F348" s="49"/>
      <c r="G348" s="49"/>
      <c r="H348" s="49"/>
      <c r="I348" s="49"/>
      <c r="J348" s="49"/>
      <c r="K348" s="49"/>
      <c r="L348" s="49"/>
    </row>
    <row r="349">
      <c r="A349" s="63"/>
      <c r="B349" s="49"/>
      <c r="C349" s="49"/>
      <c r="D349" s="49"/>
      <c r="E349" s="49"/>
      <c r="F349" s="49"/>
      <c r="G349" s="49"/>
      <c r="H349" s="49"/>
      <c r="I349" s="49"/>
      <c r="J349" s="49"/>
      <c r="K349" s="49"/>
      <c r="L349" s="49"/>
    </row>
    <row r="350">
      <c r="A350" s="63"/>
      <c r="B350" s="49"/>
      <c r="C350" s="49"/>
      <c r="D350" s="49"/>
      <c r="E350" s="49"/>
      <c r="F350" s="49"/>
      <c r="G350" s="49"/>
      <c r="H350" s="49"/>
      <c r="I350" s="49"/>
      <c r="J350" s="49"/>
      <c r="K350" s="49"/>
      <c r="L350" s="49"/>
    </row>
    <row r="351">
      <c r="A351" s="63"/>
      <c r="B351" s="49"/>
      <c r="C351" s="49"/>
      <c r="D351" s="49"/>
      <c r="E351" s="49"/>
      <c r="F351" s="49"/>
      <c r="G351" s="49"/>
      <c r="H351" s="49"/>
      <c r="I351" s="49"/>
      <c r="J351" s="49"/>
      <c r="K351" s="49"/>
      <c r="L351" s="49"/>
    </row>
    <row r="352">
      <c r="A352" s="63"/>
      <c r="B352" s="49"/>
      <c r="C352" s="49"/>
      <c r="D352" s="49"/>
      <c r="E352" s="49"/>
      <c r="F352" s="49"/>
      <c r="G352" s="49"/>
      <c r="H352" s="49"/>
      <c r="I352" s="49"/>
      <c r="J352" s="49"/>
      <c r="K352" s="49"/>
      <c r="L352" s="49"/>
    </row>
    <row r="353">
      <c r="A353" s="63"/>
      <c r="B353" s="49"/>
      <c r="C353" s="49"/>
      <c r="D353" s="49"/>
      <c r="E353" s="49"/>
      <c r="F353" s="49"/>
      <c r="G353" s="49"/>
      <c r="H353" s="49"/>
      <c r="I353" s="49"/>
      <c r="J353" s="49"/>
      <c r="K353" s="49"/>
      <c r="L353" s="49"/>
    </row>
    <row r="354">
      <c r="A354" s="63"/>
      <c r="B354" s="49"/>
      <c r="C354" s="49"/>
      <c r="D354" s="49"/>
      <c r="E354" s="49"/>
      <c r="F354" s="49"/>
      <c r="G354" s="49"/>
      <c r="H354" s="49"/>
      <c r="I354" s="49"/>
      <c r="J354" s="49"/>
      <c r="K354" s="49"/>
      <c r="L354" s="49"/>
    </row>
    <row r="355">
      <c r="A355" s="63"/>
      <c r="B355" s="49"/>
      <c r="C355" s="49"/>
      <c r="D355" s="49"/>
      <c r="E355" s="49"/>
      <c r="F355" s="49"/>
      <c r="G355" s="49"/>
      <c r="H355" s="49"/>
      <c r="I355" s="49"/>
      <c r="J355" s="49"/>
      <c r="K355" s="49"/>
      <c r="L355" s="49"/>
    </row>
    <row r="356">
      <c r="A356" s="63"/>
      <c r="B356" s="49"/>
      <c r="C356" s="49"/>
      <c r="D356" s="49"/>
      <c r="E356" s="49"/>
      <c r="F356" s="49"/>
      <c r="G356" s="49"/>
      <c r="H356" s="49"/>
      <c r="I356" s="49"/>
      <c r="J356" s="49"/>
      <c r="K356" s="49"/>
      <c r="L356" s="49"/>
    </row>
    <row r="357">
      <c r="A357" s="63"/>
      <c r="B357" s="49"/>
      <c r="C357" s="49"/>
      <c r="D357" s="49"/>
      <c r="E357" s="49"/>
      <c r="F357" s="49"/>
      <c r="G357" s="49"/>
      <c r="H357" s="49"/>
      <c r="I357" s="49"/>
      <c r="J357" s="49"/>
      <c r="K357" s="49"/>
      <c r="L357" s="49"/>
    </row>
    <row r="358">
      <c r="A358" s="63"/>
      <c r="B358" s="49"/>
      <c r="C358" s="49"/>
      <c r="D358" s="49"/>
      <c r="E358" s="49"/>
      <c r="F358" s="49"/>
      <c r="G358" s="49"/>
      <c r="H358" s="49"/>
      <c r="I358" s="49"/>
      <c r="J358" s="49"/>
      <c r="K358" s="49"/>
      <c r="L358" s="49"/>
    </row>
    <row r="359">
      <c r="A359" s="63"/>
      <c r="B359" s="49"/>
      <c r="C359" s="49"/>
      <c r="D359" s="49"/>
      <c r="E359" s="49"/>
      <c r="F359" s="49"/>
      <c r="G359" s="49"/>
      <c r="H359" s="49"/>
      <c r="I359" s="49"/>
      <c r="J359" s="49"/>
      <c r="K359" s="49"/>
      <c r="L359" s="49"/>
    </row>
    <row r="360">
      <c r="A360" s="63"/>
      <c r="B360" s="49"/>
      <c r="C360" s="49"/>
      <c r="D360" s="49"/>
      <c r="E360" s="49"/>
      <c r="F360" s="49"/>
      <c r="G360" s="49"/>
      <c r="H360" s="49"/>
      <c r="I360" s="49"/>
      <c r="J360" s="49"/>
      <c r="K360" s="49"/>
      <c r="L360" s="49"/>
    </row>
    <row r="361">
      <c r="A361" s="63"/>
      <c r="B361" s="49"/>
      <c r="C361" s="49"/>
      <c r="D361" s="49"/>
      <c r="E361" s="49"/>
      <c r="F361" s="49"/>
      <c r="G361" s="49"/>
      <c r="H361" s="49"/>
      <c r="I361" s="49"/>
      <c r="J361" s="49"/>
      <c r="K361" s="49"/>
      <c r="L361" s="49"/>
    </row>
    <row r="362">
      <c r="A362" s="63"/>
      <c r="B362" s="49"/>
      <c r="C362" s="49"/>
      <c r="D362" s="49"/>
      <c r="E362" s="49"/>
      <c r="F362" s="49"/>
      <c r="G362" s="49"/>
      <c r="H362" s="49"/>
      <c r="I362" s="49"/>
      <c r="J362" s="49"/>
      <c r="K362" s="49"/>
      <c r="L362" s="49"/>
    </row>
    <row r="363">
      <c r="A363" s="63"/>
      <c r="B363" s="49"/>
      <c r="C363" s="49"/>
      <c r="D363" s="49"/>
      <c r="E363" s="49"/>
      <c r="F363" s="49"/>
      <c r="G363" s="49"/>
      <c r="H363" s="49"/>
      <c r="I363" s="49"/>
      <c r="J363" s="49"/>
      <c r="K363" s="49"/>
      <c r="L363" s="49"/>
    </row>
    <row r="364">
      <c r="A364" s="63"/>
      <c r="B364" s="49"/>
      <c r="C364" s="49"/>
      <c r="D364" s="49"/>
      <c r="E364" s="49"/>
      <c r="F364" s="49"/>
      <c r="G364" s="49"/>
      <c r="H364" s="49"/>
      <c r="I364" s="49"/>
      <c r="J364" s="49"/>
      <c r="K364" s="49"/>
      <c r="L364" s="49"/>
    </row>
    <row r="365">
      <c r="A365" s="63"/>
      <c r="B365" s="49"/>
      <c r="C365" s="49"/>
      <c r="D365" s="49"/>
      <c r="E365" s="49"/>
      <c r="F365" s="49"/>
      <c r="G365" s="49"/>
      <c r="H365" s="49"/>
      <c r="I365" s="49"/>
      <c r="J365" s="49"/>
      <c r="K365" s="49"/>
      <c r="L365" s="49"/>
    </row>
    <row r="366">
      <c r="A366" s="63"/>
      <c r="B366" s="49"/>
      <c r="C366" s="49"/>
      <c r="D366" s="49"/>
      <c r="E366" s="49"/>
      <c r="F366" s="49"/>
      <c r="G366" s="49"/>
      <c r="H366" s="49"/>
      <c r="I366" s="49"/>
      <c r="J366" s="49"/>
      <c r="K366" s="49"/>
      <c r="L366" s="49"/>
    </row>
    <row r="367">
      <c r="A367" s="63"/>
      <c r="B367" s="49"/>
      <c r="C367" s="49"/>
      <c r="D367" s="49"/>
      <c r="E367" s="49"/>
      <c r="F367" s="49"/>
      <c r="G367" s="49"/>
      <c r="H367" s="49"/>
      <c r="I367" s="49"/>
      <c r="J367" s="49"/>
      <c r="K367" s="49"/>
      <c r="L367" s="49"/>
    </row>
    <row r="368">
      <c r="A368" s="63"/>
      <c r="B368" s="49"/>
      <c r="C368" s="49"/>
      <c r="D368" s="49"/>
      <c r="E368" s="49"/>
      <c r="F368" s="49"/>
      <c r="G368" s="49"/>
      <c r="H368" s="49"/>
      <c r="I368" s="49"/>
      <c r="J368" s="49"/>
      <c r="K368" s="49"/>
      <c r="L368" s="49"/>
    </row>
    <row r="369">
      <c r="A369" s="63"/>
      <c r="B369" s="49"/>
      <c r="C369" s="49"/>
      <c r="D369" s="49"/>
      <c r="E369" s="49"/>
      <c r="F369" s="49"/>
      <c r="G369" s="49"/>
      <c r="H369" s="49"/>
      <c r="I369" s="49"/>
      <c r="J369" s="49"/>
      <c r="K369" s="49"/>
      <c r="L369" s="49"/>
    </row>
    <row r="370">
      <c r="A370" s="63"/>
      <c r="B370" s="49"/>
      <c r="C370" s="49"/>
      <c r="D370" s="49"/>
      <c r="E370" s="49"/>
      <c r="F370" s="49"/>
      <c r="G370" s="49"/>
      <c r="H370" s="49"/>
      <c r="I370" s="49"/>
      <c r="J370" s="49"/>
      <c r="K370" s="49"/>
      <c r="L370" s="49"/>
    </row>
    <row r="371">
      <c r="A371" s="63"/>
      <c r="B371" s="49"/>
      <c r="C371" s="49"/>
      <c r="D371" s="49"/>
      <c r="E371" s="49"/>
      <c r="F371" s="49"/>
      <c r="G371" s="49"/>
      <c r="H371" s="49"/>
      <c r="I371" s="49"/>
      <c r="J371" s="49"/>
      <c r="K371" s="49"/>
      <c r="L371" s="49"/>
    </row>
    <row r="372">
      <c r="A372" s="63"/>
      <c r="B372" s="49"/>
      <c r="C372" s="49"/>
      <c r="D372" s="49"/>
      <c r="E372" s="49"/>
      <c r="F372" s="49"/>
      <c r="G372" s="49"/>
      <c r="H372" s="49"/>
      <c r="I372" s="49"/>
      <c r="J372" s="49"/>
      <c r="K372" s="49"/>
      <c r="L372" s="49"/>
    </row>
    <row r="373">
      <c r="A373" s="63"/>
      <c r="B373" s="49"/>
      <c r="C373" s="49"/>
      <c r="D373" s="49"/>
      <c r="E373" s="49"/>
      <c r="F373" s="49"/>
      <c r="G373" s="49"/>
      <c r="H373" s="49"/>
      <c r="I373" s="49"/>
      <c r="J373" s="49"/>
      <c r="K373" s="49"/>
      <c r="L373" s="49"/>
    </row>
    <row r="374">
      <c r="A374" s="63"/>
      <c r="B374" s="49"/>
      <c r="C374" s="49"/>
      <c r="D374" s="49"/>
      <c r="E374" s="49"/>
      <c r="F374" s="49"/>
      <c r="G374" s="49"/>
      <c r="H374" s="49"/>
      <c r="I374" s="49"/>
      <c r="J374" s="49"/>
      <c r="K374" s="49"/>
      <c r="L374" s="49"/>
    </row>
    <row r="375">
      <c r="A375" s="63"/>
      <c r="B375" s="49"/>
      <c r="C375" s="49"/>
      <c r="D375" s="49"/>
      <c r="E375" s="49"/>
      <c r="F375" s="49"/>
      <c r="G375" s="49"/>
      <c r="H375" s="49"/>
      <c r="I375" s="49"/>
      <c r="J375" s="49"/>
      <c r="K375" s="49"/>
      <c r="L375" s="49"/>
    </row>
    <row r="376">
      <c r="A376" s="63"/>
      <c r="B376" s="49"/>
      <c r="C376" s="49"/>
      <c r="D376" s="49"/>
      <c r="E376" s="49"/>
      <c r="F376" s="49"/>
      <c r="G376" s="49"/>
      <c r="H376" s="49"/>
      <c r="I376" s="49"/>
      <c r="J376" s="49"/>
      <c r="K376" s="49"/>
      <c r="L376" s="49"/>
    </row>
    <row r="377">
      <c r="A377" s="63"/>
      <c r="B377" s="49"/>
      <c r="C377" s="49"/>
      <c r="D377" s="49"/>
      <c r="E377" s="49"/>
      <c r="F377" s="49"/>
      <c r="G377" s="49"/>
      <c r="H377" s="49"/>
      <c r="I377" s="49"/>
      <c r="J377" s="49"/>
      <c r="K377" s="49"/>
      <c r="L377" s="49"/>
    </row>
    <row r="378">
      <c r="A378" s="63"/>
      <c r="B378" s="49"/>
      <c r="C378" s="49"/>
      <c r="D378" s="49"/>
      <c r="E378" s="49"/>
      <c r="F378" s="49"/>
      <c r="G378" s="49"/>
      <c r="H378" s="49"/>
      <c r="I378" s="49"/>
      <c r="J378" s="49"/>
      <c r="K378" s="49"/>
      <c r="L378" s="49"/>
    </row>
    <row r="379">
      <c r="A379" s="63"/>
      <c r="B379" s="49"/>
      <c r="C379" s="49"/>
      <c r="D379" s="49"/>
      <c r="E379" s="49"/>
      <c r="F379" s="49"/>
      <c r="G379" s="49"/>
      <c r="H379" s="49"/>
      <c r="I379" s="49"/>
      <c r="J379" s="49"/>
      <c r="K379" s="49"/>
      <c r="L379" s="49"/>
    </row>
    <row r="380">
      <c r="A380" s="63"/>
      <c r="B380" s="49"/>
      <c r="C380" s="49"/>
      <c r="D380" s="49"/>
      <c r="E380" s="49"/>
      <c r="F380" s="49"/>
      <c r="G380" s="49"/>
      <c r="H380" s="49"/>
      <c r="I380" s="49"/>
      <c r="J380" s="49"/>
      <c r="K380" s="49"/>
      <c r="L380" s="49"/>
    </row>
    <row r="381">
      <c r="A381" s="63"/>
      <c r="B381" s="49"/>
      <c r="C381" s="49"/>
      <c r="D381" s="49"/>
      <c r="E381" s="49"/>
      <c r="F381" s="49"/>
      <c r="G381" s="49"/>
      <c r="H381" s="49"/>
      <c r="I381" s="49"/>
      <c r="J381" s="49"/>
      <c r="K381" s="49"/>
      <c r="L381" s="49"/>
    </row>
    <row r="382">
      <c r="A382" s="63"/>
      <c r="B382" s="49"/>
      <c r="C382" s="49"/>
      <c r="D382" s="49"/>
      <c r="E382" s="49"/>
      <c r="F382" s="49"/>
      <c r="G382" s="49"/>
      <c r="H382" s="49"/>
      <c r="I382" s="49"/>
      <c r="J382" s="49"/>
      <c r="K382" s="49"/>
      <c r="L382" s="49"/>
    </row>
    <row r="383">
      <c r="A383" s="63"/>
      <c r="B383" s="49"/>
      <c r="C383" s="49"/>
      <c r="D383" s="49"/>
      <c r="E383" s="49"/>
      <c r="F383" s="49"/>
      <c r="G383" s="49"/>
      <c r="H383" s="49"/>
      <c r="I383" s="49"/>
      <c r="J383" s="49"/>
      <c r="K383" s="49"/>
      <c r="L383" s="49"/>
    </row>
    <row r="384">
      <c r="A384" s="63"/>
      <c r="B384" s="49"/>
      <c r="C384" s="49"/>
      <c r="D384" s="49"/>
      <c r="E384" s="49"/>
      <c r="F384" s="49"/>
      <c r="G384" s="49"/>
      <c r="H384" s="49"/>
      <c r="I384" s="49"/>
      <c r="J384" s="49"/>
      <c r="K384" s="49"/>
      <c r="L384" s="49"/>
    </row>
    <row r="385">
      <c r="A385" s="63"/>
      <c r="B385" s="49"/>
      <c r="C385" s="49"/>
      <c r="D385" s="49"/>
      <c r="E385" s="49"/>
      <c r="F385" s="49"/>
      <c r="G385" s="49"/>
      <c r="H385" s="49"/>
      <c r="I385" s="49"/>
      <c r="J385" s="49"/>
      <c r="K385" s="49"/>
      <c r="L385" s="49"/>
    </row>
    <row r="386">
      <c r="A386" s="63"/>
      <c r="B386" s="49"/>
      <c r="C386" s="49"/>
      <c r="D386" s="49"/>
      <c r="E386" s="49"/>
      <c r="F386" s="49"/>
      <c r="G386" s="49"/>
      <c r="H386" s="49"/>
      <c r="I386" s="49"/>
      <c r="J386" s="49"/>
      <c r="K386" s="49"/>
      <c r="L386" s="49"/>
    </row>
    <row r="387">
      <c r="A387" s="63"/>
      <c r="B387" s="49"/>
      <c r="C387" s="49"/>
      <c r="D387" s="49"/>
      <c r="E387" s="49"/>
      <c r="F387" s="49"/>
      <c r="G387" s="49"/>
      <c r="H387" s="49"/>
      <c r="I387" s="49"/>
      <c r="J387" s="49"/>
      <c r="K387" s="49"/>
      <c r="L387" s="49"/>
    </row>
    <row r="388">
      <c r="A388" s="63"/>
      <c r="B388" s="49"/>
      <c r="C388" s="49"/>
      <c r="D388" s="49"/>
      <c r="E388" s="49"/>
      <c r="F388" s="49"/>
      <c r="G388" s="49"/>
      <c r="H388" s="49"/>
      <c r="I388" s="49"/>
      <c r="J388" s="49"/>
      <c r="K388" s="49"/>
      <c r="L388" s="49"/>
    </row>
    <row r="389">
      <c r="A389" s="63"/>
      <c r="B389" s="49"/>
      <c r="C389" s="49"/>
      <c r="D389" s="49"/>
      <c r="E389" s="49"/>
      <c r="F389" s="49"/>
      <c r="G389" s="49"/>
      <c r="H389" s="49"/>
      <c r="I389" s="49"/>
      <c r="J389" s="49"/>
      <c r="K389" s="49"/>
      <c r="L389" s="49"/>
    </row>
    <row r="390">
      <c r="A390" s="63"/>
      <c r="B390" s="49"/>
      <c r="C390" s="49"/>
      <c r="D390" s="49"/>
      <c r="E390" s="49"/>
      <c r="F390" s="49"/>
      <c r="G390" s="49"/>
      <c r="H390" s="49"/>
      <c r="I390" s="49"/>
      <c r="J390" s="49"/>
      <c r="K390" s="49"/>
      <c r="L390" s="49"/>
    </row>
    <row r="391">
      <c r="A391" s="63"/>
      <c r="B391" s="49"/>
      <c r="C391" s="49"/>
      <c r="D391" s="49"/>
      <c r="E391" s="49"/>
      <c r="F391" s="49"/>
      <c r="G391" s="49"/>
      <c r="H391" s="49"/>
      <c r="I391" s="49"/>
      <c r="J391" s="49"/>
      <c r="K391" s="49"/>
      <c r="L391" s="49"/>
    </row>
    <row r="392">
      <c r="A392" s="63"/>
      <c r="B392" s="49"/>
      <c r="C392" s="49"/>
      <c r="D392" s="49"/>
      <c r="E392" s="49"/>
      <c r="F392" s="49"/>
      <c r="G392" s="49"/>
      <c r="H392" s="49"/>
      <c r="I392" s="49"/>
      <c r="J392" s="49"/>
      <c r="K392" s="49"/>
      <c r="L392" s="49"/>
    </row>
    <row r="393">
      <c r="A393" s="63"/>
      <c r="B393" s="49"/>
      <c r="C393" s="49"/>
      <c r="D393" s="49"/>
      <c r="E393" s="49"/>
      <c r="F393" s="49"/>
      <c r="G393" s="49"/>
      <c r="H393" s="49"/>
      <c r="I393" s="49"/>
      <c r="J393" s="49"/>
      <c r="K393" s="49"/>
      <c r="L393" s="49"/>
    </row>
    <row r="394">
      <c r="A394" s="63"/>
      <c r="B394" s="49"/>
      <c r="C394" s="49"/>
      <c r="D394" s="49"/>
      <c r="E394" s="49"/>
      <c r="F394" s="49"/>
      <c r="G394" s="49"/>
      <c r="H394" s="49"/>
      <c r="I394" s="49"/>
      <c r="J394" s="49"/>
      <c r="K394" s="49"/>
      <c r="L394" s="49"/>
    </row>
    <row r="395">
      <c r="A395" s="63"/>
      <c r="B395" s="49"/>
      <c r="C395" s="49"/>
      <c r="D395" s="49"/>
      <c r="E395" s="49"/>
      <c r="F395" s="49"/>
      <c r="G395" s="49"/>
      <c r="H395" s="49"/>
      <c r="I395" s="49"/>
      <c r="J395" s="49"/>
      <c r="K395" s="49"/>
      <c r="L395" s="49"/>
    </row>
    <row r="396">
      <c r="A396" s="63"/>
      <c r="B396" s="49"/>
      <c r="C396" s="49"/>
      <c r="D396" s="49"/>
      <c r="E396" s="49"/>
      <c r="F396" s="49"/>
      <c r="G396" s="49"/>
      <c r="H396" s="49"/>
      <c r="I396" s="49"/>
      <c r="J396" s="49"/>
      <c r="K396" s="49"/>
      <c r="L396" s="49"/>
    </row>
    <row r="397">
      <c r="A397" s="63"/>
      <c r="B397" s="49"/>
      <c r="C397" s="49"/>
      <c r="D397" s="49"/>
      <c r="E397" s="49"/>
      <c r="F397" s="49"/>
      <c r="G397" s="49"/>
      <c r="H397" s="49"/>
      <c r="I397" s="49"/>
      <c r="J397" s="49"/>
      <c r="K397" s="49"/>
      <c r="L397" s="49"/>
    </row>
    <row r="398">
      <c r="A398" s="63"/>
      <c r="B398" s="49"/>
      <c r="C398" s="49"/>
      <c r="D398" s="49"/>
      <c r="E398" s="49"/>
      <c r="F398" s="49"/>
      <c r="G398" s="49"/>
      <c r="H398" s="49"/>
      <c r="I398" s="49"/>
      <c r="J398" s="49"/>
      <c r="K398" s="49"/>
      <c r="L398" s="49"/>
    </row>
    <row r="399">
      <c r="A399" s="63"/>
      <c r="B399" s="49"/>
      <c r="C399" s="49"/>
      <c r="D399" s="49"/>
      <c r="E399" s="49"/>
      <c r="F399" s="49"/>
      <c r="G399" s="49"/>
      <c r="H399" s="49"/>
      <c r="I399" s="49"/>
      <c r="J399" s="49"/>
      <c r="K399" s="49"/>
      <c r="L399" s="49"/>
    </row>
    <row r="400">
      <c r="A400" s="63"/>
      <c r="B400" s="49"/>
      <c r="C400" s="49"/>
      <c r="D400" s="49"/>
      <c r="E400" s="49"/>
      <c r="F400" s="49"/>
      <c r="G400" s="49"/>
      <c r="H400" s="49"/>
      <c r="I400" s="49"/>
      <c r="J400" s="49"/>
      <c r="K400" s="49"/>
      <c r="L400" s="49"/>
    </row>
    <row r="401">
      <c r="A401" s="63"/>
      <c r="B401" s="49"/>
      <c r="C401" s="49"/>
      <c r="D401" s="49"/>
      <c r="E401" s="49"/>
      <c r="F401" s="49"/>
      <c r="G401" s="49"/>
      <c r="H401" s="49"/>
      <c r="I401" s="49"/>
      <c r="J401" s="49"/>
      <c r="K401" s="49"/>
      <c r="L401" s="49"/>
    </row>
    <row r="402">
      <c r="A402" s="63"/>
      <c r="B402" s="49"/>
      <c r="C402" s="49"/>
      <c r="D402" s="49"/>
      <c r="E402" s="49"/>
      <c r="F402" s="49"/>
      <c r="G402" s="49"/>
      <c r="H402" s="49"/>
      <c r="I402" s="49"/>
      <c r="J402" s="49"/>
      <c r="K402" s="49"/>
      <c r="L402" s="49"/>
    </row>
    <row r="403">
      <c r="A403" s="63"/>
      <c r="B403" s="49"/>
      <c r="C403" s="49"/>
      <c r="D403" s="49"/>
      <c r="E403" s="49"/>
      <c r="F403" s="49"/>
      <c r="G403" s="49"/>
      <c r="H403" s="49"/>
      <c r="I403" s="49"/>
      <c r="J403" s="49"/>
      <c r="K403" s="49"/>
      <c r="L403" s="49"/>
    </row>
    <row r="404">
      <c r="A404" s="63"/>
      <c r="B404" s="49"/>
      <c r="C404" s="49"/>
      <c r="D404" s="49"/>
      <c r="E404" s="49"/>
      <c r="F404" s="49"/>
      <c r="G404" s="49"/>
      <c r="H404" s="49"/>
      <c r="I404" s="49"/>
      <c r="J404" s="49"/>
      <c r="K404" s="49"/>
      <c r="L404" s="49"/>
    </row>
    <row r="405">
      <c r="A405" s="63"/>
      <c r="B405" s="49"/>
      <c r="C405" s="49"/>
      <c r="D405" s="49"/>
      <c r="E405" s="49"/>
      <c r="F405" s="49"/>
      <c r="G405" s="49"/>
      <c r="H405" s="49"/>
      <c r="I405" s="49"/>
      <c r="J405" s="49"/>
      <c r="K405" s="49"/>
      <c r="L405" s="49"/>
    </row>
    <row r="406">
      <c r="A406" s="63"/>
      <c r="B406" s="49"/>
      <c r="C406" s="49"/>
      <c r="D406" s="49"/>
      <c r="E406" s="49"/>
      <c r="F406" s="49"/>
      <c r="G406" s="49"/>
      <c r="H406" s="49"/>
      <c r="I406" s="49"/>
      <c r="J406" s="49"/>
      <c r="K406" s="49"/>
      <c r="L406" s="49"/>
    </row>
    <row r="407">
      <c r="A407" s="63"/>
      <c r="B407" s="49"/>
      <c r="C407" s="49"/>
      <c r="D407" s="49"/>
      <c r="E407" s="49"/>
      <c r="F407" s="49"/>
      <c r="G407" s="49"/>
      <c r="H407" s="49"/>
      <c r="I407" s="49"/>
      <c r="J407" s="49"/>
      <c r="K407" s="49"/>
      <c r="L407" s="49"/>
    </row>
    <row r="408">
      <c r="A408" s="63"/>
      <c r="B408" s="49"/>
      <c r="C408" s="49"/>
      <c r="D408" s="49"/>
      <c r="E408" s="49"/>
      <c r="F408" s="49"/>
      <c r="G408" s="49"/>
      <c r="H408" s="49"/>
      <c r="I408" s="49"/>
      <c r="J408" s="49"/>
      <c r="K408" s="49"/>
      <c r="L408" s="49"/>
    </row>
    <row r="409">
      <c r="A409" s="63"/>
      <c r="B409" s="49"/>
      <c r="C409" s="49"/>
      <c r="D409" s="49"/>
      <c r="E409" s="49"/>
      <c r="F409" s="49"/>
      <c r="G409" s="49"/>
      <c r="H409" s="49"/>
      <c r="I409" s="49"/>
      <c r="J409" s="49"/>
      <c r="K409" s="49"/>
      <c r="L409" s="49"/>
    </row>
    <row r="410">
      <c r="A410" s="63"/>
      <c r="B410" s="49"/>
      <c r="C410" s="49"/>
      <c r="D410" s="49"/>
      <c r="E410" s="49"/>
      <c r="F410" s="49"/>
      <c r="G410" s="49"/>
      <c r="H410" s="49"/>
      <c r="I410" s="49"/>
      <c r="J410" s="49"/>
      <c r="K410" s="49"/>
      <c r="L410" s="49"/>
    </row>
    <row r="411">
      <c r="A411" s="63"/>
      <c r="B411" s="49"/>
      <c r="C411" s="49"/>
      <c r="D411" s="49"/>
      <c r="E411" s="49"/>
      <c r="F411" s="49"/>
      <c r="G411" s="49"/>
      <c r="H411" s="49"/>
      <c r="I411" s="49"/>
      <c r="J411" s="49"/>
      <c r="K411" s="49"/>
      <c r="L411" s="49"/>
    </row>
    <row r="412">
      <c r="A412" s="63"/>
      <c r="B412" s="49"/>
      <c r="C412" s="49"/>
      <c r="D412" s="49"/>
      <c r="E412" s="49"/>
      <c r="F412" s="49"/>
      <c r="G412" s="49"/>
      <c r="H412" s="49"/>
      <c r="I412" s="49"/>
      <c r="J412" s="49"/>
      <c r="K412" s="49"/>
      <c r="L412" s="49"/>
    </row>
    <row r="413">
      <c r="A413" s="63"/>
      <c r="B413" s="49"/>
      <c r="C413" s="49"/>
      <c r="D413" s="49"/>
      <c r="E413" s="49"/>
      <c r="F413" s="49"/>
      <c r="G413" s="49"/>
      <c r="H413" s="49"/>
      <c r="I413" s="49"/>
      <c r="J413" s="49"/>
      <c r="K413" s="49"/>
      <c r="L413" s="49"/>
    </row>
    <row r="414">
      <c r="A414" s="63"/>
      <c r="B414" s="49"/>
      <c r="C414" s="49"/>
      <c r="D414" s="49"/>
      <c r="E414" s="49"/>
      <c r="F414" s="49"/>
      <c r="G414" s="49"/>
      <c r="H414" s="49"/>
      <c r="I414" s="49"/>
      <c r="J414" s="49"/>
      <c r="K414" s="49"/>
      <c r="L414" s="49"/>
    </row>
    <row r="415">
      <c r="A415" s="63"/>
      <c r="B415" s="49"/>
      <c r="C415" s="49"/>
      <c r="D415" s="49"/>
      <c r="E415" s="49"/>
      <c r="F415" s="49"/>
      <c r="G415" s="49"/>
      <c r="H415" s="49"/>
      <c r="I415" s="49"/>
      <c r="J415" s="49"/>
      <c r="K415" s="49"/>
      <c r="L415" s="49"/>
    </row>
    <row r="416">
      <c r="A416" s="63"/>
      <c r="B416" s="49"/>
      <c r="C416" s="49"/>
      <c r="D416" s="49"/>
      <c r="E416" s="49"/>
      <c r="F416" s="49"/>
      <c r="G416" s="49"/>
      <c r="H416" s="49"/>
      <c r="I416" s="49"/>
      <c r="J416" s="49"/>
      <c r="K416" s="49"/>
      <c r="L416" s="49"/>
    </row>
    <row r="417">
      <c r="A417" s="63"/>
      <c r="B417" s="49"/>
      <c r="C417" s="49"/>
      <c r="D417" s="49"/>
      <c r="E417" s="49"/>
      <c r="F417" s="49"/>
      <c r="G417" s="49"/>
      <c r="H417" s="49"/>
      <c r="I417" s="49"/>
      <c r="J417" s="49"/>
      <c r="K417" s="49"/>
      <c r="L417" s="49"/>
    </row>
    <row r="418">
      <c r="A418" s="63"/>
      <c r="B418" s="49"/>
      <c r="C418" s="49"/>
      <c r="D418" s="49"/>
      <c r="E418" s="49"/>
      <c r="F418" s="49"/>
      <c r="G418" s="49"/>
      <c r="H418" s="49"/>
      <c r="I418" s="49"/>
      <c r="J418" s="49"/>
      <c r="K418" s="49"/>
      <c r="L418" s="49"/>
    </row>
    <row r="419">
      <c r="A419" s="63"/>
      <c r="B419" s="49"/>
      <c r="C419" s="49"/>
      <c r="D419" s="49"/>
      <c r="E419" s="49"/>
      <c r="F419" s="49"/>
      <c r="G419" s="49"/>
      <c r="H419" s="49"/>
      <c r="I419" s="49"/>
      <c r="J419" s="49"/>
      <c r="K419" s="49"/>
      <c r="L419" s="49"/>
    </row>
    <row r="420">
      <c r="A420" s="63"/>
      <c r="B420" s="49"/>
      <c r="C420" s="49"/>
      <c r="D420" s="49"/>
      <c r="E420" s="49"/>
      <c r="F420" s="49"/>
      <c r="G420" s="49"/>
      <c r="H420" s="49"/>
      <c r="I420" s="49"/>
      <c r="J420" s="49"/>
      <c r="K420" s="49"/>
      <c r="L420" s="49"/>
    </row>
    <row r="421">
      <c r="A421" s="63"/>
      <c r="B421" s="49"/>
      <c r="C421" s="49"/>
      <c r="D421" s="49"/>
      <c r="E421" s="49"/>
      <c r="F421" s="49"/>
      <c r="G421" s="49"/>
      <c r="H421" s="49"/>
      <c r="I421" s="49"/>
      <c r="J421" s="49"/>
      <c r="K421" s="49"/>
      <c r="L421" s="49"/>
    </row>
    <row r="422">
      <c r="A422" s="63"/>
      <c r="B422" s="49"/>
      <c r="C422" s="49"/>
      <c r="D422" s="49"/>
      <c r="E422" s="49"/>
      <c r="F422" s="49"/>
      <c r="G422" s="49"/>
      <c r="H422" s="49"/>
      <c r="I422" s="49"/>
      <c r="J422" s="49"/>
      <c r="K422" s="49"/>
      <c r="L422" s="49"/>
    </row>
    <row r="423">
      <c r="A423" s="63"/>
      <c r="B423" s="49"/>
      <c r="C423" s="49"/>
      <c r="D423" s="49"/>
      <c r="E423" s="49"/>
      <c r="F423" s="49"/>
      <c r="G423" s="49"/>
      <c r="H423" s="49"/>
      <c r="I423" s="49"/>
      <c r="J423" s="49"/>
      <c r="K423" s="49"/>
      <c r="L423" s="49"/>
    </row>
    <row r="424">
      <c r="A424" s="63"/>
      <c r="B424" s="49"/>
      <c r="C424" s="49"/>
      <c r="D424" s="49"/>
      <c r="E424" s="49"/>
      <c r="F424" s="49"/>
      <c r="G424" s="49"/>
      <c r="H424" s="49"/>
      <c r="I424" s="49"/>
      <c r="J424" s="49"/>
      <c r="K424" s="49"/>
      <c r="L424" s="49"/>
    </row>
    <row r="425">
      <c r="A425" s="63"/>
      <c r="B425" s="49"/>
      <c r="C425" s="49"/>
      <c r="D425" s="49"/>
      <c r="E425" s="49"/>
      <c r="F425" s="49"/>
      <c r="G425" s="49"/>
      <c r="H425" s="49"/>
      <c r="I425" s="49"/>
      <c r="J425" s="49"/>
      <c r="K425" s="49"/>
      <c r="L425" s="49"/>
    </row>
    <row r="426">
      <c r="A426" s="63"/>
      <c r="B426" s="49"/>
      <c r="C426" s="49"/>
      <c r="D426" s="49"/>
      <c r="E426" s="49"/>
      <c r="F426" s="49"/>
      <c r="G426" s="49"/>
      <c r="H426" s="49"/>
      <c r="I426" s="49"/>
      <c r="J426" s="49"/>
      <c r="K426" s="49"/>
      <c r="L426" s="49"/>
    </row>
    <row r="427">
      <c r="A427" s="63"/>
      <c r="B427" s="49"/>
      <c r="C427" s="49"/>
      <c r="D427" s="49"/>
      <c r="E427" s="49"/>
      <c r="F427" s="49"/>
      <c r="G427" s="49"/>
      <c r="H427" s="49"/>
      <c r="I427" s="49"/>
      <c r="J427" s="49"/>
      <c r="K427" s="49"/>
      <c r="L427" s="49"/>
    </row>
    <row r="428">
      <c r="A428" s="63"/>
      <c r="B428" s="49"/>
      <c r="C428" s="49"/>
      <c r="D428" s="49"/>
      <c r="E428" s="49"/>
      <c r="F428" s="49"/>
      <c r="G428" s="49"/>
      <c r="H428" s="49"/>
      <c r="I428" s="49"/>
      <c r="J428" s="49"/>
      <c r="K428" s="49"/>
      <c r="L428" s="49"/>
    </row>
    <row r="429">
      <c r="A429" s="63"/>
      <c r="B429" s="49"/>
      <c r="C429" s="49"/>
      <c r="D429" s="49"/>
      <c r="E429" s="49"/>
      <c r="F429" s="49"/>
      <c r="G429" s="49"/>
      <c r="H429" s="49"/>
      <c r="I429" s="49"/>
      <c r="J429" s="49"/>
      <c r="K429" s="49"/>
      <c r="L429" s="49"/>
    </row>
    <row r="430">
      <c r="A430" s="63"/>
      <c r="B430" s="49"/>
      <c r="C430" s="49"/>
      <c r="D430" s="49"/>
      <c r="E430" s="49"/>
      <c r="F430" s="49"/>
      <c r="G430" s="49"/>
      <c r="H430" s="49"/>
      <c r="I430" s="49"/>
      <c r="J430" s="49"/>
      <c r="K430" s="49"/>
      <c r="L430" s="49"/>
    </row>
    <row r="431">
      <c r="A431" s="63"/>
      <c r="B431" s="49"/>
      <c r="C431" s="49"/>
      <c r="D431" s="49"/>
      <c r="E431" s="49"/>
      <c r="F431" s="49"/>
      <c r="G431" s="49"/>
      <c r="H431" s="49"/>
      <c r="I431" s="49"/>
      <c r="J431" s="49"/>
      <c r="K431" s="49"/>
      <c r="L431" s="49"/>
    </row>
    <row r="432">
      <c r="A432" s="63"/>
      <c r="B432" s="49"/>
      <c r="C432" s="49"/>
      <c r="D432" s="49"/>
      <c r="E432" s="49"/>
      <c r="F432" s="49"/>
      <c r="G432" s="49"/>
      <c r="H432" s="49"/>
      <c r="I432" s="49"/>
      <c r="J432" s="49"/>
      <c r="K432" s="49"/>
      <c r="L432" s="49"/>
    </row>
    <row r="433">
      <c r="A433" s="63"/>
      <c r="B433" s="49"/>
      <c r="C433" s="49"/>
      <c r="D433" s="49"/>
      <c r="E433" s="49"/>
      <c r="F433" s="49"/>
      <c r="G433" s="49"/>
      <c r="H433" s="49"/>
      <c r="I433" s="49"/>
      <c r="J433" s="49"/>
      <c r="K433" s="49"/>
      <c r="L433" s="49"/>
    </row>
    <row r="434">
      <c r="A434" s="63"/>
      <c r="B434" s="49"/>
      <c r="C434" s="49"/>
      <c r="D434" s="49"/>
      <c r="E434" s="49"/>
      <c r="F434" s="49"/>
      <c r="G434" s="49"/>
      <c r="H434" s="49"/>
      <c r="I434" s="49"/>
      <c r="J434" s="49"/>
      <c r="K434" s="49"/>
      <c r="L434" s="49"/>
    </row>
    <row r="435">
      <c r="A435" s="63"/>
      <c r="B435" s="49"/>
      <c r="C435" s="49"/>
      <c r="D435" s="49"/>
      <c r="E435" s="49"/>
      <c r="F435" s="49"/>
      <c r="G435" s="49"/>
      <c r="H435" s="49"/>
      <c r="I435" s="49"/>
      <c r="J435" s="49"/>
      <c r="K435" s="49"/>
      <c r="L435" s="49"/>
    </row>
    <row r="436">
      <c r="A436" s="63"/>
      <c r="B436" s="49"/>
      <c r="C436" s="49"/>
      <c r="D436" s="49"/>
      <c r="E436" s="49"/>
      <c r="F436" s="49"/>
      <c r="G436" s="49"/>
      <c r="H436" s="49"/>
      <c r="I436" s="49"/>
      <c r="J436" s="49"/>
      <c r="K436" s="49"/>
      <c r="L436" s="49"/>
    </row>
    <row r="437">
      <c r="A437" s="63"/>
      <c r="B437" s="49"/>
      <c r="C437" s="49"/>
      <c r="D437" s="49"/>
      <c r="E437" s="49"/>
      <c r="F437" s="49"/>
      <c r="G437" s="49"/>
      <c r="H437" s="49"/>
      <c r="I437" s="49"/>
      <c r="J437" s="49"/>
      <c r="K437" s="49"/>
      <c r="L437" s="49"/>
    </row>
    <row r="438">
      <c r="A438" s="63"/>
      <c r="B438" s="49"/>
      <c r="C438" s="49"/>
      <c r="D438" s="49"/>
      <c r="E438" s="49"/>
      <c r="F438" s="49"/>
      <c r="G438" s="49"/>
      <c r="H438" s="49"/>
      <c r="I438" s="49"/>
      <c r="J438" s="49"/>
      <c r="K438" s="49"/>
      <c r="L438" s="49"/>
    </row>
    <row r="439">
      <c r="A439" s="63"/>
      <c r="B439" s="49"/>
      <c r="C439" s="49"/>
      <c r="D439" s="49"/>
      <c r="E439" s="49"/>
      <c r="F439" s="49"/>
      <c r="G439" s="49"/>
      <c r="H439" s="49"/>
      <c r="I439" s="49"/>
      <c r="J439" s="49"/>
      <c r="K439" s="49"/>
      <c r="L439" s="49"/>
    </row>
    <row r="440">
      <c r="A440" s="63"/>
      <c r="B440" s="49"/>
      <c r="C440" s="49"/>
      <c r="D440" s="49"/>
      <c r="E440" s="49"/>
      <c r="F440" s="49"/>
      <c r="G440" s="49"/>
      <c r="H440" s="49"/>
      <c r="I440" s="49"/>
      <c r="J440" s="49"/>
      <c r="K440" s="49"/>
      <c r="L440" s="49"/>
    </row>
    <row r="441">
      <c r="A441" s="63"/>
      <c r="B441" s="49"/>
      <c r="C441" s="49"/>
      <c r="D441" s="49"/>
      <c r="E441" s="49"/>
      <c r="F441" s="49"/>
      <c r="G441" s="49"/>
      <c r="H441" s="49"/>
      <c r="I441" s="49"/>
      <c r="J441" s="49"/>
      <c r="K441" s="49"/>
      <c r="L441" s="49"/>
    </row>
    <row r="442">
      <c r="A442" s="63"/>
      <c r="B442" s="49"/>
      <c r="C442" s="49"/>
      <c r="D442" s="49"/>
      <c r="E442" s="49"/>
      <c r="F442" s="49"/>
      <c r="G442" s="49"/>
      <c r="H442" s="49"/>
      <c r="I442" s="49"/>
      <c r="J442" s="49"/>
      <c r="K442" s="49"/>
      <c r="L442" s="49"/>
    </row>
    <row r="443">
      <c r="A443" s="63"/>
      <c r="B443" s="49"/>
      <c r="C443" s="49"/>
      <c r="D443" s="49"/>
      <c r="E443" s="49"/>
      <c r="F443" s="49"/>
      <c r="G443" s="49"/>
      <c r="H443" s="49"/>
      <c r="I443" s="49"/>
      <c r="J443" s="49"/>
      <c r="K443" s="49"/>
      <c r="L443" s="49"/>
    </row>
    <row r="444">
      <c r="A444" s="63"/>
      <c r="B444" s="49"/>
      <c r="C444" s="49"/>
      <c r="D444" s="49"/>
      <c r="E444" s="49"/>
      <c r="F444" s="49"/>
      <c r="G444" s="49"/>
      <c r="H444" s="49"/>
      <c r="I444" s="49"/>
      <c r="J444" s="49"/>
      <c r="K444" s="49"/>
      <c r="L444" s="49"/>
    </row>
    <row r="445">
      <c r="A445" s="63"/>
      <c r="B445" s="49"/>
      <c r="C445" s="49"/>
      <c r="D445" s="49"/>
      <c r="E445" s="49"/>
      <c r="F445" s="49"/>
      <c r="G445" s="49"/>
      <c r="H445" s="49"/>
      <c r="I445" s="49"/>
      <c r="J445" s="49"/>
      <c r="K445" s="49"/>
      <c r="L445" s="49"/>
    </row>
    <row r="446">
      <c r="A446" s="63"/>
      <c r="B446" s="49"/>
      <c r="C446" s="49"/>
      <c r="D446" s="49"/>
      <c r="E446" s="49"/>
      <c r="F446" s="49"/>
      <c r="G446" s="49"/>
      <c r="H446" s="49"/>
      <c r="I446" s="49"/>
      <c r="J446" s="49"/>
      <c r="K446" s="49"/>
      <c r="L446" s="49"/>
    </row>
    <row r="447">
      <c r="A447" s="63"/>
      <c r="B447" s="49"/>
      <c r="C447" s="49"/>
      <c r="D447" s="49"/>
      <c r="E447" s="49"/>
      <c r="F447" s="49"/>
      <c r="G447" s="49"/>
      <c r="H447" s="49"/>
      <c r="I447" s="49"/>
      <c r="J447" s="49"/>
      <c r="K447" s="49"/>
      <c r="L447" s="49"/>
    </row>
    <row r="448">
      <c r="A448" s="63"/>
      <c r="B448" s="49"/>
      <c r="C448" s="49"/>
      <c r="D448" s="49"/>
      <c r="E448" s="49"/>
      <c r="F448" s="49"/>
      <c r="G448" s="49"/>
      <c r="H448" s="49"/>
      <c r="I448" s="49"/>
      <c r="J448" s="49"/>
      <c r="K448" s="49"/>
      <c r="L448" s="49"/>
    </row>
    <row r="449">
      <c r="A449" s="63"/>
      <c r="B449" s="49"/>
      <c r="C449" s="49"/>
      <c r="D449" s="49"/>
      <c r="E449" s="49"/>
      <c r="F449" s="49"/>
      <c r="G449" s="49"/>
      <c r="H449" s="49"/>
      <c r="I449" s="49"/>
      <c r="J449" s="49"/>
      <c r="K449" s="49"/>
      <c r="L449" s="49"/>
    </row>
    <row r="450">
      <c r="A450" s="63"/>
      <c r="B450" s="49"/>
      <c r="C450" s="49"/>
      <c r="D450" s="49"/>
      <c r="E450" s="49"/>
      <c r="F450" s="49"/>
      <c r="G450" s="49"/>
      <c r="H450" s="49"/>
      <c r="I450" s="49"/>
      <c r="J450" s="49"/>
      <c r="K450" s="49"/>
      <c r="L450" s="49"/>
    </row>
    <row r="451">
      <c r="A451" s="63"/>
      <c r="B451" s="49"/>
      <c r="C451" s="49"/>
      <c r="D451" s="49"/>
      <c r="E451" s="49"/>
      <c r="F451" s="49"/>
      <c r="G451" s="49"/>
      <c r="H451" s="49"/>
      <c r="I451" s="49"/>
      <c r="J451" s="49"/>
      <c r="K451" s="49"/>
      <c r="L451" s="49"/>
    </row>
    <row r="452">
      <c r="A452" s="63"/>
      <c r="B452" s="49"/>
      <c r="C452" s="49"/>
      <c r="D452" s="49"/>
      <c r="E452" s="49"/>
      <c r="F452" s="49"/>
      <c r="G452" s="49"/>
      <c r="H452" s="49"/>
      <c r="I452" s="49"/>
      <c r="J452" s="49"/>
      <c r="K452" s="49"/>
      <c r="L452" s="49"/>
    </row>
    <row r="453">
      <c r="A453" s="63"/>
      <c r="B453" s="49"/>
      <c r="C453" s="49"/>
      <c r="D453" s="49"/>
      <c r="E453" s="49"/>
      <c r="F453" s="49"/>
      <c r="G453" s="49"/>
      <c r="H453" s="49"/>
      <c r="I453" s="49"/>
      <c r="J453" s="49"/>
      <c r="K453" s="49"/>
      <c r="L453" s="49"/>
    </row>
    <row r="454">
      <c r="A454" s="63"/>
      <c r="B454" s="49"/>
      <c r="C454" s="49"/>
      <c r="D454" s="49"/>
      <c r="E454" s="49"/>
      <c r="F454" s="49"/>
      <c r="G454" s="49"/>
      <c r="H454" s="49"/>
      <c r="I454" s="49"/>
      <c r="J454" s="49"/>
      <c r="K454" s="49"/>
      <c r="L454" s="49"/>
    </row>
    <row r="455">
      <c r="A455" s="63"/>
      <c r="B455" s="49"/>
      <c r="C455" s="49"/>
      <c r="D455" s="49"/>
      <c r="E455" s="49"/>
      <c r="F455" s="49"/>
      <c r="G455" s="49"/>
      <c r="H455" s="49"/>
      <c r="I455" s="49"/>
      <c r="J455" s="49"/>
      <c r="K455" s="49"/>
      <c r="L455" s="49"/>
    </row>
    <row r="456">
      <c r="A456" s="63"/>
      <c r="B456" s="49"/>
      <c r="C456" s="49"/>
      <c r="D456" s="49"/>
      <c r="E456" s="49"/>
      <c r="F456" s="49"/>
      <c r="G456" s="49"/>
      <c r="H456" s="49"/>
      <c r="I456" s="49"/>
      <c r="J456" s="49"/>
      <c r="K456" s="49"/>
      <c r="L456" s="49"/>
    </row>
    <row r="457">
      <c r="A457" s="63"/>
      <c r="B457" s="49"/>
      <c r="C457" s="49"/>
      <c r="D457" s="49"/>
      <c r="E457" s="49"/>
      <c r="F457" s="49"/>
      <c r="G457" s="49"/>
      <c r="H457" s="49"/>
      <c r="I457" s="49"/>
      <c r="J457" s="49"/>
      <c r="K457" s="49"/>
      <c r="L457" s="49"/>
    </row>
    <row r="458">
      <c r="A458" s="63"/>
      <c r="B458" s="49"/>
      <c r="C458" s="49"/>
      <c r="D458" s="49"/>
      <c r="E458" s="49"/>
      <c r="F458" s="49"/>
      <c r="G458" s="49"/>
      <c r="H458" s="49"/>
      <c r="I458" s="49"/>
      <c r="J458" s="49"/>
      <c r="K458" s="49"/>
      <c r="L458" s="49"/>
    </row>
    <row r="459">
      <c r="A459" s="63"/>
      <c r="B459" s="49"/>
      <c r="C459" s="49"/>
      <c r="D459" s="49"/>
      <c r="E459" s="49"/>
      <c r="F459" s="49"/>
      <c r="G459" s="49"/>
      <c r="H459" s="49"/>
      <c r="I459" s="49"/>
      <c r="J459" s="49"/>
      <c r="K459" s="49"/>
      <c r="L459" s="49"/>
    </row>
    <row r="460">
      <c r="A460" s="63"/>
      <c r="B460" s="49"/>
      <c r="C460" s="49"/>
      <c r="D460" s="49"/>
      <c r="E460" s="49"/>
      <c r="F460" s="49"/>
      <c r="G460" s="49"/>
      <c r="H460" s="49"/>
      <c r="I460" s="49"/>
      <c r="J460" s="49"/>
      <c r="K460" s="49"/>
      <c r="L460" s="49"/>
    </row>
    <row r="461">
      <c r="A461" s="63"/>
      <c r="B461" s="49"/>
      <c r="C461" s="49"/>
      <c r="D461" s="49"/>
      <c r="E461" s="49"/>
      <c r="F461" s="49"/>
      <c r="G461" s="49"/>
      <c r="H461" s="49"/>
      <c r="I461" s="49"/>
      <c r="J461" s="49"/>
      <c r="K461" s="49"/>
      <c r="L461" s="49"/>
    </row>
    <row r="462">
      <c r="A462" s="63"/>
      <c r="B462" s="49"/>
      <c r="C462" s="49"/>
      <c r="D462" s="49"/>
      <c r="E462" s="49"/>
      <c r="F462" s="49"/>
      <c r="G462" s="49"/>
      <c r="H462" s="49"/>
      <c r="I462" s="49"/>
      <c r="J462" s="49"/>
      <c r="K462" s="49"/>
      <c r="L462" s="49"/>
    </row>
    <row r="463">
      <c r="A463" s="63"/>
      <c r="B463" s="49"/>
      <c r="C463" s="49"/>
      <c r="D463" s="49"/>
      <c r="E463" s="49"/>
      <c r="F463" s="49"/>
      <c r="G463" s="49"/>
      <c r="H463" s="49"/>
      <c r="I463" s="49"/>
      <c r="J463" s="49"/>
      <c r="K463" s="49"/>
      <c r="L463" s="49"/>
    </row>
    <row r="464">
      <c r="A464" s="63"/>
      <c r="B464" s="49"/>
      <c r="C464" s="49"/>
      <c r="D464" s="49"/>
      <c r="E464" s="49"/>
      <c r="F464" s="49"/>
      <c r="G464" s="49"/>
      <c r="H464" s="49"/>
      <c r="I464" s="49"/>
      <c r="J464" s="49"/>
      <c r="K464" s="49"/>
      <c r="L464" s="49"/>
    </row>
    <row r="465">
      <c r="A465" s="63"/>
      <c r="B465" s="49"/>
      <c r="C465" s="49"/>
      <c r="D465" s="49"/>
      <c r="E465" s="49"/>
      <c r="F465" s="49"/>
      <c r="G465" s="49"/>
      <c r="H465" s="49"/>
      <c r="I465" s="49"/>
      <c r="J465" s="49"/>
      <c r="K465" s="49"/>
      <c r="L465" s="49"/>
    </row>
    <row r="466">
      <c r="A466" s="63"/>
      <c r="B466" s="49"/>
      <c r="C466" s="49"/>
      <c r="D466" s="49"/>
      <c r="E466" s="49"/>
      <c r="F466" s="49"/>
      <c r="G466" s="49"/>
      <c r="H466" s="49"/>
      <c r="I466" s="49"/>
      <c r="J466" s="49"/>
      <c r="K466" s="49"/>
      <c r="L466" s="49"/>
    </row>
    <row r="467">
      <c r="A467" s="63"/>
      <c r="B467" s="49"/>
      <c r="C467" s="49"/>
      <c r="D467" s="49"/>
      <c r="E467" s="49"/>
      <c r="F467" s="49"/>
      <c r="G467" s="49"/>
      <c r="H467" s="49"/>
      <c r="I467" s="49"/>
      <c r="J467" s="49"/>
      <c r="K467" s="49"/>
      <c r="L467" s="49"/>
    </row>
    <row r="468">
      <c r="A468" s="63"/>
      <c r="B468" s="49"/>
      <c r="C468" s="49"/>
      <c r="D468" s="49"/>
      <c r="E468" s="49"/>
      <c r="F468" s="49"/>
      <c r="G468" s="49"/>
      <c r="H468" s="49"/>
      <c r="I468" s="49"/>
      <c r="J468" s="49"/>
      <c r="K468" s="49"/>
      <c r="L468" s="49"/>
    </row>
    <row r="469">
      <c r="A469" s="63"/>
      <c r="B469" s="49"/>
      <c r="C469" s="49"/>
      <c r="D469" s="49"/>
      <c r="E469" s="49"/>
      <c r="F469" s="49"/>
      <c r="G469" s="49"/>
      <c r="H469" s="49"/>
      <c r="I469" s="49"/>
      <c r="J469" s="49"/>
      <c r="K469" s="49"/>
      <c r="L469" s="49"/>
    </row>
    <row r="470">
      <c r="A470" s="63"/>
      <c r="B470" s="49"/>
      <c r="C470" s="49"/>
      <c r="D470" s="49"/>
      <c r="E470" s="49"/>
      <c r="F470" s="49"/>
      <c r="G470" s="49"/>
      <c r="H470" s="49"/>
      <c r="I470" s="49"/>
      <c r="J470" s="49"/>
      <c r="K470" s="49"/>
      <c r="L470" s="49"/>
    </row>
    <row r="471">
      <c r="A471" s="63"/>
      <c r="B471" s="49"/>
      <c r="C471" s="49"/>
      <c r="D471" s="49"/>
      <c r="E471" s="49"/>
      <c r="F471" s="49"/>
      <c r="G471" s="49"/>
      <c r="H471" s="49"/>
      <c r="I471" s="49"/>
      <c r="J471" s="49"/>
      <c r="K471" s="49"/>
      <c r="L471" s="49"/>
    </row>
    <row r="472">
      <c r="A472" s="63"/>
      <c r="B472" s="49"/>
      <c r="C472" s="49"/>
      <c r="D472" s="49"/>
      <c r="E472" s="49"/>
      <c r="F472" s="49"/>
      <c r="G472" s="49"/>
      <c r="H472" s="49"/>
      <c r="I472" s="49"/>
      <c r="J472" s="49"/>
      <c r="K472" s="49"/>
      <c r="L472" s="49"/>
    </row>
    <row r="473">
      <c r="A473" s="63"/>
      <c r="B473" s="49"/>
      <c r="C473" s="49"/>
      <c r="D473" s="49"/>
      <c r="E473" s="49"/>
      <c r="F473" s="49"/>
      <c r="G473" s="49"/>
      <c r="H473" s="49"/>
      <c r="I473" s="49"/>
      <c r="J473" s="49"/>
      <c r="K473" s="49"/>
      <c r="L473" s="49"/>
    </row>
    <row r="474">
      <c r="A474" s="63"/>
      <c r="B474" s="49"/>
      <c r="C474" s="49"/>
      <c r="D474" s="49"/>
      <c r="E474" s="49"/>
      <c r="F474" s="49"/>
      <c r="G474" s="49"/>
      <c r="H474" s="49"/>
      <c r="I474" s="49"/>
      <c r="J474" s="49"/>
      <c r="K474" s="49"/>
      <c r="L474" s="49"/>
    </row>
    <row r="475">
      <c r="A475" s="63"/>
      <c r="B475" s="49"/>
      <c r="C475" s="49"/>
      <c r="D475" s="49"/>
      <c r="E475" s="49"/>
      <c r="F475" s="49"/>
      <c r="G475" s="49"/>
      <c r="H475" s="49"/>
      <c r="I475" s="49"/>
      <c r="J475" s="49"/>
      <c r="K475" s="49"/>
      <c r="L475" s="49"/>
    </row>
    <row r="476">
      <c r="A476" s="63"/>
      <c r="B476" s="49"/>
      <c r="C476" s="49"/>
      <c r="D476" s="49"/>
      <c r="E476" s="49"/>
      <c r="F476" s="49"/>
      <c r="G476" s="49"/>
      <c r="H476" s="49"/>
      <c r="I476" s="49"/>
      <c r="J476" s="49"/>
      <c r="K476" s="49"/>
      <c r="L476" s="49"/>
    </row>
    <row r="477">
      <c r="A477" s="63"/>
      <c r="B477" s="49"/>
      <c r="C477" s="49"/>
      <c r="D477" s="49"/>
      <c r="E477" s="49"/>
      <c r="F477" s="49"/>
      <c r="G477" s="49"/>
      <c r="H477" s="49"/>
      <c r="I477" s="49"/>
      <c r="J477" s="49"/>
      <c r="K477" s="49"/>
      <c r="L477" s="49"/>
    </row>
    <row r="478">
      <c r="A478" s="63"/>
      <c r="B478" s="49"/>
      <c r="C478" s="49"/>
      <c r="D478" s="49"/>
      <c r="E478" s="49"/>
      <c r="F478" s="49"/>
      <c r="G478" s="49"/>
      <c r="H478" s="49"/>
      <c r="I478" s="49"/>
      <c r="J478" s="49"/>
      <c r="K478" s="49"/>
      <c r="L478" s="49"/>
    </row>
    <row r="479">
      <c r="A479" s="63"/>
      <c r="B479" s="49"/>
      <c r="C479" s="49"/>
      <c r="D479" s="49"/>
      <c r="E479" s="49"/>
      <c r="F479" s="49"/>
      <c r="G479" s="49"/>
      <c r="H479" s="49"/>
      <c r="I479" s="49"/>
      <c r="J479" s="49"/>
      <c r="K479" s="49"/>
      <c r="L479" s="49"/>
    </row>
    <row r="480">
      <c r="A480" s="63"/>
      <c r="B480" s="49"/>
      <c r="C480" s="49"/>
      <c r="D480" s="49"/>
      <c r="E480" s="49"/>
      <c r="F480" s="49"/>
      <c r="G480" s="49"/>
      <c r="H480" s="49"/>
      <c r="I480" s="49"/>
      <c r="J480" s="49"/>
      <c r="K480" s="49"/>
      <c r="L480" s="49"/>
    </row>
    <row r="481">
      <c r="A481" s="63"/>
      <c r="B481" s="49"/>
      <c r="C481" s="49"/>
      <c r="D481" s="49"/>
      <c r="E481" s="49"/>
      <c r="F481" s="49"/>
      <c r="G481" s="49"/>
      <c r="H481" s="49"/>
      <c r="I481" s="49"/>
      <c r="J481" s="49"/>
      <c r="K481" s="49"/>
      <c r="L481" s="49"/>
    </row>
    <row r="482">
      <c r="A482" s="63"/>
      <c r="B482" s="49"/>
      <c r="C482" s="49"/>
      <c r="D482" s="49"/>
      <c r="E482" s="49"/>
      <c r="F482" s="49"/>
      <c r="G482" s="49"/>
      <c r="H482" s="49"/>
      <c r="I482" s="49"/>
      <c r="J482" s="49"/>
      <c r="K482" s="49"/>
      <c r="L482" s="49"/>
    </row>
    <row r="483">
      <c r="A483" s="63"/>
      <c r="B483" s="49"/>
      <c r="C483" s="49"/>
      <c r="D483" s="49"/>
      <c r="E483" s="49"/>
      <c r="F483" s="49"/>
      <c r="G483" s="49"/>
      <c r="H483" s="49"/>
      <c r="I483" s="49"/>
      <c r="J483" s="49"/>
      <c r="K483" s="49"/>
      <c r="L483" s="49"/>
    </row>
    <row r="484">
      <c r="A484" s="63"/>
      <c r="B484" s="49"/>
      <c r="C484" s="49"/>
      <c r="D484" s="49"/>
      <c r="E484" s="49"/>
      <c r="F484" s="49"/>
      <c r="G484" s="49"/>
      <c r="H484" s="49"/>
      <c r="I484" s="49"/>
      <c r="J484" s="49"/>
      <c r="K484" s="49"/>
      <c r="L484" s="49"/>
    </row>
    <row r="485">
      <c r="A485" s="63"/>
      <c r="B485" s="49"/>
      <c r="C485" s="49"/>
      <c r="D485" s="49"/>
      <c r="E485" s="49"/>
      <c r="F485" s="49"/>
      <c r="G485" s="49"/>
      <c r="H485" s="49"/>
      <c r="I485" s="49"/>
      <c r="J485" s="49"/>
      <c r="K485" s="49"/>
      <c r="L485" s="49"/>
    </row>
    <row r="486">
      <c r="A486" s="63"/>
      <c r="B486" s="49"/>
      <c r="C486" s="49"/>
      <c r="D486" s="49"/>
      <c r="E486" s="49"/>
      <c r="F486" s="49"/>
      <c r="G486" s="49"/>
      <c r="H486" s="49"/>
      <c r="I486" s="49"/>
      <c r="J486" s="49"/>
      <c r="K486" s="49"/>
      <c r="L486" s="49"/>
    </row>
    <row r="487">
      <c r="A487" s="63"/>
      <c r="B487" s="49"/>
      <c r="C487" s="49"/>
      <c r="D487" s="49"/>
      <c r="E487" s="49"/>
      <c r="F487" s="49"/>
      <c r="G487" s="49"/>
      <c r="H487" s="49"/>
      <c r="I487" s="49"/>
      <c r="J487" s="49"/>
      <c r="K487" s="49"/>
      <c r="L487" s="49"/>
    </row>
    <row r="488">
      <c r="A488" s="63"/>
      <c r="B488" s="49"/>
      <c r="C488" s="49"/>
      <c r="D488" s="49"/>
      <c r="E488" s="49"/>
      <c r="F488" s="49"/>
      <c r="G488" s="49"/>
      <c r="H488" s="49"/>
      <c r="I488" s="49"/>
      <c r="J488" s="49"/>
      <c r="K488" s="49"/>
      <c r="L488" s="49"/>
    </row>
    <row r="489">
      <c r="A489" s="63"/>
      <c r="B489" s="49"/>
      <c r="C489" s="49"/>
      <c r="D489" s="49"/>
      <c r="E489" s="49"/>
      <c r="F489" s="49"/>
      <c r="G489" s="49"/>
      <c r="H489" s="49"/>
      <c r="I489" s="49"/>
      <c r="J489" s="49"/>
      <c r="K489" s="49"/>
      <c r="L489" s="49"/>
    </row>
    <row r="490">
      <c r="A490" s="63"/>
      <c r="B490" s="49"/>
      <c r="C490" s="49"/>
      <c r="D490" s="49"/>
      <c r="E490" s="49"/>
      <c r="F490" s="49"/>
      <c r="G490" s="49"/>
      <c r="H490" s="49"/>
      <c r="I490" s="49"/>
      <c r="J490" s="49"/>
      <c r="K490" s="49"/>
      <c r="L490" s="49"/>
    </row>
    <row r="491">
      <c r="A491" s="63"/>
      <c r="B491" s="49"/>
      <c r="C491" s="49"/>
      <c r="D491" s="49"/>
      <c r="E491" s="49"/>
      <c r="F491" s="49"/>
      <c r="G491" s="49"/>
      <c r="H491" s="49"/>
      <c r="I491" s="49"/>
      <c r="J491" s="49"/>
      <c r="K491" s="49"/>
      <c r="L491" s="49"/>
    </row>
    <row r="492">
      <c r="A492" s="63"/>
      <c r="B492" s="49"/>
      <c r="C492" s="49"/>
      <c r="D492" s="49"/>
      <c r="E492" s="49"/>
      <c r="F492" s="49"/>
      <c r="G492" s="49"/>
      <c r="H492" s="49"/>
      <c r="I492" s="49"/>
      <c r="J492" s="49"/>
      <c r="K492" s="49"/>
      <c r="L492" s="49"/>
    </row>
    <row r="493">
      <c r="A493" s="63"/>
      <c r="B493" s="49"/>
      <c r="C493" s="49"/>
      <c r="D493" s="49"/>
      <c r="E493" s="49"/>
      <c r="F493" s="49"/>
      <c r="G493" s="49"/>
      <c r="H493" s="49"/>
      <c r="I493" s="49"/>
      <c r="J493" s="49"/>
      <c r="K493" s="49"/>
      <c r="L493" s="49"/>
    </row>
    <row r="494">
      <c r="A494" s="63"/>
      <c r="B494" s="49"/>
      <c r="C494" s="49"/>
      <c r="D494" s="49"/>
      <c r="E494" s="49"/>
      <c r="F494" s="49"/>
      <c r="G494" s="49"/>
      <c r="H494" s="49"/>
      <c r="I494" s="49"/>
      <c r="J494" s="49"/>
      <c r="K494" s="49"/>
      <c r="L494" s="49"/>
    </row>
    <row r="495">
      <c r="A495" s="63"/>
      <c r="B495" s="49"/>
      <c r="C495" s="49"/>
      <c r="D495" s="49"/>
      <c r="E495" s="49"/>
      <c r="F495" s="49"/>
      <c r="G495" s="49"/>
      <c r="H495" s="49"/>
      <c r="I495" s="49"/>
      <c r="J495" s="49"/>
      <c r="K495" s="49"/>
      <c r="L495" s="49"/>
    </row>
    <row r="496">
      <c r="A496" s="63"/>
      <c r="B496" s="49"/>
      <c r="C496" s="49"/>
      <c r="D496" s="49"/>
      <c r="E496" s="49"/>
      <c r="F496" s="49"/>
      <c r="G496" s="49"/>
      <c r="H496" s="49"/>
      <c r="I496" s="49"/>
      <c r="J496" s="49"/>
      <c r="K496" s="49"/>
      <c r="L496" s="49"/>
    </row>
    <row r="497">
      <c r="A497" s="63"/>
      <c r="B497" s="49"/>
      <c r="C497" s="49"/>
      <c r="D497" s="49"/>
      <c r="E497" s="49"/>
      <c r="F497" s="49"/>
      <c r="G497" s="49"/>
      <c r="H497" s="49"/>
      <c r="I497" s="49"/>
      <c r="J497" s="49"/>
      <c r="K497" s="49"/>
      <c r="L497" s="49"/>
    </row>
    <row r="498">
      <c r="A498" s="63"/>
      <c r="B498" s="49"/>
      <c r="C498" s="49"/>
      <c r="D498" s="49"/>
      <c r="E498" s="49"/>
      <c r="F498" s="49"/>
      <c r="G498" s="49"/>
      <c r="H498" s="49"/>
      <c r="I498" s="49"/>
      <c r="J498" s="49"/>
      <c r="K498" s="49"/>
      <c r="L498" s="49"/>
    </row>
    <row r="499">
      <c r="A499" s="63"/>
      <c r="B499" s="49"/>
      <c r="C499" s="49"/>
      <c r="D499" s="49"/>
      <c r="E499" s="49"/>
      <c r="F499" s="49"/>
      <c r="G499" s="49"/>
      <c r="H499" s="49"/>
      <c r="I499" s="49"/>
      <c r="J499" s="49"/>
      <c r="K499" s="49"/>
      <c r="L499" s="49"/>
    </row>
    <row r="500">
      <c r="A500" s="63"/>
      <c r="B500" s="49"/>
      <c r="C500" s="49"/>
      <c r="D500" s="49"/>
      <c r="E500" s="49"/>
      <c r="F500" s="49"/>
      <c r="G500" s="49"/>
      <c r="H500" s="49"/>
      <c r="I500" s="49"/>
      <c r="J500" s="49"/>
      <c r="K500" s="49"/>
      <c r="L500" s="49"/>
    </row>
    <row r="501">
      <c r="A501" s="63"/>
      <c r="B501" s="49"/>
      <c r="C501" s="49"/>
      <c r="D501" s="49"/>
      <c r="E501" s="49"/>
      <c r="F501" s="49"/>
      <c r="G501" s="49"/>
      <c r="H501" s="49"/>
      <c r="I501" s="49"/>
      <c r="J501" s="49"/>
      <c r="K501" s="49"/>
      <c r="L501" s="49"/>
    </row>
    <row r="502">
      <c r="A502" s="63"/>
      <c r="B502" s="49"/>
      <c r="C502" s="49"/>
      <c r="D502" s="49"/>
      <c r="E502" s="49"/>
      <c r="F502" s="49"/>
      <c r="G502" s="49"/>
      <c r="H502" s="49"/>
      <c r="I502" s="49"/>
      <c r="J502" s="49"/>
      <c r="K502" s="49"/>
      <c r="L502" s="49"/>
    </row>
    <row r="503">
      <c r="A503" s="63"/>
      <c r="B503" s="49"/>
      <c r="C503" s="49"/>
      <c r="D503" s="49"/>
      <c r="E503" s="49"/>
      <c r="F503" s="49"/>
      <c r="G503" s="49"/>
      <c r="H503" s="49"/>
      <c r="I503" s="49"/>
      <c r="J503" s="49"/>
      <c r="K503" s="49"/>
      <c r="L503" s="49"/>
    </row>
    <row r="504">
      <c r="A504" s="63"/>
      <c r="B504" s="49"/>
      <c r="C504" s="49"/>
      <c r="D504" s="49"/>
      <c r="E504" s="49"/>
      <c r="F504" s="49"/>
      <c r="G504" s="49"/>
      <c r="H504" s="49"/>
      <c r="I504" s="49"/>
      <c r="J504" s="49"/>
      <c r="K504" s="49"/>
      <c r="L504" s="49"/>
    </row>
    <row r="505">
      <c r="A505" s="63"/>
      <c r="B505" s="49"/>
      <c r="C505" s="49"/>
      <c r="D505" s="49"/>
      <c r="E505" s="49"/>
      <c r="F505" s="49"/>
      <c r="G505" s="49"/>
      <c r="H505" s="49"/>
      <c r="I505" s="49"/>
      <c r="J505" s="49"/>
      <c r="K505" s="49"/>
      <c r="L505" s="49"/>
    </row>
    <row r="506">
      <c r="A506" s="63"/>
      <c r="B506" s="49"/>
      <c r="C506" s="49"/>
      <c r="D506" s="49"/>
      <c r="E506" s="49"/>
      <c r="F506" s="49"/>
      <c r="G506" s="49"/>
      <c r="H506" s="49"/>
      <c r="I506" s="49"/>
      <c r="J506" s="49"/>
      <c r="K506" s="49"/>
      <c r="L506" s="49"/>
    </row>
    <row r="507">
      <c r="A507" s="63"/>
      <c r="B507" s="49"/>
      <c r="C507" s="49"/>
      <c r="D507" s="49"/>
      <c r="E507" s="49"/>
      <c r="F507" s="49"/>
      <c r="G507" s="49"/>
      <c r="H507" s="49"/>
      <c r="I507" s="49"/>
      <c r="J507" s="49"/>
      <c r="K507" s="49"/>
      <c r="L507" s="49"/>
    </row>
    <row r="508">
      <c r="A508" s="63"/>
      <c r="B508" s="49"/>
      <c r="C508" s="49"/>
      <c r="D508" s="49"/>
      <c r="E508" s="49"/>
      <c r="F508" s="49"/>
      <c r="G508" s="49"/>
      <c r="H508" s="49"/>
      <c r="I508" s="49"/>
      <c r="J508" s="49"/>
      <c r="K508" s="49"/>
      <c r="L508" s="49"/>
    </row>
    <row r="509">
      <c r="A509" s="63"/>
      <c r="B509" s="49"/>
      <c r="C509" s="49"/>
      <c r="D509" s="49"/>
      <c r="E509" s="49"/>
      <c r="F509" s="49"/>
      <c r="G509" s="49"/>
      <c r="H509" s="49"/>
      <c r="I509" s="49"/>
      <c r="J509" s="49"/>
      <c r="K509" s="49"/>
      <c r="L509" s="49"/>
    </row>
    <row r="510">
      <c r="A510" s="63"/>
      <c r="B510" s="49"/>
      <c r="C510" s="49"/>
      <c r="D510" s="49"/>
      <c r="E510" s="49"/>
      <c r="F510" s="49"/>
      <c r="G510" s="49"/>
      <c r="H510" s="49"/>
      <c r="I510" s="49"/>
      <c r="J510" s="49"/>
      <c r="K510" s="49"/>
      <c r="L510" s="49"/>
    </row>
    <row r="511">
      <c r="A511" s="63"/>
      <c r="B511" s="49"/>
      <c r="C511" s="49"/>
      <c r="D511" s="49"/>
      <c r="E511" s="49"/>
      <c r="F511" s="49"/>
      <c r="G511" s="49"/>
      <c r="H511" s="49"/>
      <c r="I511" s="49"/>
      <c r="J511" s="49"/>
      <c r="K511" s="49"/>
      <c r="L511" s="49"/>
    </row>
    <row r="512">
      <c r="A512" s="63"/>
      <c r="B512" s="49"/>
      <c r="C512" s="49"/>
      <c r="D512" s="49"/>
      <c r="E512" s="49"/>
      <c r="F512" s="49"/>
      <c r="G512" s="49"/>
      <c r="H512" s="49"/>
      <c r="I512" s="49"/>
      <c r="J512" s="49"/>
      <c r="K512" s="49"/>
      <c r="L512" s="49"/>
    </row>
    <row r="513">
      <c r="A513" s="63"/>
      <c r="B513" s="49"/>
      <c r="C513" s="49"/>
      <c r="D513" s="49"/>
      <c r="E513" s="49"/>
      <c r="F513" s="49"/>
      <c r="G513" s="49"/>
      <c r="H513" s="49"/>
      <c r="I513" s="49"/>
      <c r="J513" s="49"/>
      <c r="K513" s="49"/>
      <c r="L513" s="49"/>
    </row>
    <row r="514">
      <c r="A514" s="63"/>
      <c r="B514" s="49"/>
      <c r="C514" s="49"/>
      <c r="D514" s="49"/>
      <c r="E514" s="49"/>
      <c r="F514" s="49"/>
      <c r="G514" s="49"/>
      <c r="H514" s="49"/>
      <c r="I514" s="49"/>
      <c r="J514" s="49"/>
      <c r="K514" s="49"/>
      <c r="L514" s="49"/>
    </row>
    <row r="515">
      <c r="A515" s="63"/>
      <c r="B515" s="49"/>
      <c r="C515" s="49"/>
      <c r="D515" s="49"/>
      <c r="E515" s="49"/>
      <c r="F515" s="49"/>
      <c r="G515" s="49"/>
      <c r="H515" s="49"/>
      <c r="I515" s="49"/>
      <c r="J515" s="49"/>
      <c r="K515" s="49"/>
      <c r="L515" s="49"/>
    </row>
    <row r="516">
      <c r="A516" s="63"/>
      <c r="B516" s="49"/>
      <c r="C516" s="49"/>
      <c r="D516" s="49"/>
      <c r="E516" s="49"/>
      <c r="F516" s="49"/>
      <c r="G516" s="49"/>
      <c r="H516" s="49"/>
      <c r="I516" s="49"/>
      <c r="J516" s="49"/>
      <c r="K516" s="49"/>
      <c r="L516" s="49"/>
    </row>
    <row r="517">
      <c r="A517" s="63"/>
      <c r="B517" s="49"/>
      <c r="C517" s="49"/>
      <c r="D517" s="49"/>
      <c r="E517" s="49"/>
      <c r="F517" s="49"/>
      <c r="G517" s="49"/>
      <c r="H517" s="49"/>
      <c r="I517" s="49"/>
      <c r="J517" s="49"/>
      <c r="K517" s="49"/>
      <c r="L517" s="49"/>
    </row>
    <row r="518">
      <c r="A518" s="63"/>
      <c r="B518" s="49"/>
      <c r="C518" s="49"/>
      <c r="D518" s="49"/>
      <c r="E518" s="49"/>
      <c r="F518" s="49"/>
      <c r="G518" s="49"/>
      <c r="H518" s="49"/>
      <c r="I518" s="49"/>
      <c r="J518" s="49"/>
      <c r="K518" s="49"/>
      <c r="L518" s="49"/>
    </row>
    <row r="519">
      <c r="A519" s="63"/>
      <c r="B519" s="49"/>
      <c r="C519" s="49"/>
      <c r="D519" s="49"/>
      <c r="E519" s="49"/>
      <c r="F519" s="49"/>
      <c r="G519" s="49"/>
      <c r="H519" s="49"/>
      <c r="I519" s="49"/>
      <c r="J519" s="49"/>
      <c r="K519" s="49"/>
      <c r="L519" s="49"/>
    </row>
    <row r="520">
      <c r="A520" s="63"/>
      <c r="B520" s="49"/>
      <c r="C520" s="49"/>
      <c r="D520" s="49"/>
      <c r="E520" s="49"/>
      <c r="F520" s="49"/>
      <c r="G520" s="49"/>
      <c r="H520" s="49"/>
      <c r="I520" s="49"/>
      <c r="J520" s="49"/>
      <c r="K520" s="49"/>
      <c r="L520" s="49"/>
    </row>
    <row r="521">
      <c r="A521" s="63"/>
      <c r="B521" s="49"/>
      <c r="C521" s="49"/>
      <c r="D521" s="49"/>
      <c r="E521" s="49"/>
      <c r="F521" s="49"/>
      <c r="G521" s="49"/>
      <c r="H521" s="49"/>
      <c r="I521" s="49"/>
      <c r="J521" s="49"/>
      <c r="K521" s="49"/>
      <c r="L521" s="49"/>
    </row>
    <row r="522">
      <c r="A522" s="63"/>
      <c r="B522" s="49"/>
      <c r="C522" s="49"/>
      <c r="D522" s="49"/>
      <c r="E522" s="49"/>
      <c r="F522" s="49"/>
      <c r="G522" s="49"/>
      <c r="H522" s="49"/>
      <c r="I522" s="49"/>
      <c r="J522" s="49"/>
      <c r="K522" s="49"/>
      <c r="L522" s="49"/>
    </row>
    <row r="523">
      <c r="A523" s="63"/>
      <c r="B523" s="49"/>
      <c r="C523" s="49"/>
      <c r="D523" s="49"/>
      <c r="E523" s="49"/>
      <c r="F523" s="49"/>
      <c r="G523" s="49"/>
      <c r="H523" s="49"/>
      <c r="I523" s="49"/>
      <c r="J523" s="49"/>
      <c r="K523" s="49"/>
      <c r="L523" s="49"/>
    </row>
    <row r="524">
      <c r="A524" s="63"/>
      <c r="B524" s="49"/>
      <c r="C524" s="49"/>
      <c r="D524" s="49"/>
      <c r="E524" s="49"/>
      <c r="F524" s="49"/>
      <c r="G524" s="49"/>
      <c r="H524" s="49"/>
      <c r="I524" s="49"/>
      <c r="J524" s="49"/>
      <c r="K524" s="49"/>
      <c r="L524" s="49"/>
    </row>
    <row r="525">
      <c r="A525" s="63"/>
      <c r="B525" s="49"/>
      <c r="C525" s="49"/>
      <c r="D525" s="49"/>
      <c r="E525" s="49"/>
      <c r="F525" s="49"/>
      <c r="G525" s="49"/>
      <c r="H525" s="49"/>
      <c r="I525" s="49"/>
      <c r="J525" s="49"/>
      <c r="K525" s="49"/>
      <c r="L525" s="49"/>
    </row>
    <row r="526">
      <c r="A526" s="63"/>
      <c r="B526" s="49"/>
      <c r="C526" s="49"/>
      <c r="D526" s="49"/>
      <c r="E526" s="49"/>
      <c r="F526" s="49"/>
      <c r="G526" s="49"/>
      <c r="H526" s="49"/>
      <c r="I526" s="49"/>
      <c r="J526" s="49"/>
      <c r="K526" s="49"/>
      <c r="L526" s="49"/>
    </row>
    <row r="527">
      <c r="A527" s="63"/>
      <c r="B527" s="49"/>
      <c r="C527" s="49"/>
      <c r="D527" s="49"/>
      <c r="E527" s="49"/>
      <c r="F527" s="49"/>
      <c r="G527" s="49"/>
      <c r="H527" s="49"/>
      <c r="I527" s="49"/>
      <c r="J527" s="49"/>
      <c r="K527" s="49"/>
      <c r="L527" s="49"/>
    </row>
    <row r="528">
      <c r="A528" s="63"/>
      <c r="B528" s="49"/>
      <c r="C528" s="49"/>
      <c r="D528" s="49"/>
      <c r="E528" s="49"/>
      <c r="F528" s="49"/>
      <c r="G528" s="49"/>
      <c r="H528" s="49"/>
      <c r="I528" s="49"/>
      <c r="J528" s="49"/>
      <c r="K528" s="49"/>
      <c r="L528" s="49"/>
    </row>
    <row r="529">
      <c r="A529" s="63"/>
      <c r="B529" s="49"/>
      <c r="C529" s="49"/>
      <c r="D529" s="49"/>
      <c r="E529" s="49"/>
      <c r="F529" s="49"/>
      <c r="G529" s="49"/>
      <c r="H529" s="49"/>
      <c r="I529" s="49"/>
      <c r="J529" s="49"/>
      <c r="K529" s="49"/>
      <c r="L529" s="49"/>
    </row>
    <row r="530">
      <c r="A530" s="63"/>
      <c r="B530" s="49"/>
      <c r="C530" s="49"/>
      <c r="D530" s="49"/>
      <c r="E530" s="49"/>
      <c r="F530" s="49"/>
      <c r="G530" s="49"/>
      <c r="H530" s="49"/>
      <c r="I530" s="49"/>
      <c r="J530" s="49"/>
      <c r="K530" s="49"/>
      <c r="L530" s="49"/>
    </row>
    <row r="531">
      <c r="A531" s="63"/>
      <c r="B531" s="49"/>
      <c r="C531" s="49"/>
      <c r="D531" s="49"/>
      <c r="E531" s="49"/>
      <c r="F531" s="49"/>
      <c r="G531" s="49"/>
      <c r="H531" s="49"/>
      <c r="I531" s="49"/>
      <c r="J531" s="49"/>
      <c r="K531" s="49"/>
      <c r="L531" s="49"/>
    </row>
    <row r="532">
      <c r="A532" s="63"/>
      <c r="B532" s="49"/>
      <c r="C532" s="49"/>
      <c r="D532" s="49"/>
      <c r="E532" s="49"/>
      <c r="F532" s="49"/>
      <c r="G532" s="49"/>
      <c r="H532" s="49"/>
      <c r="I532" s="49"/>
      <c r="J532" s="49"/>
      <c r="K532" s="49"/>
      <c r="L532" s="49"/>
    </row>
    <row r="533">
      <c r="A533" s="63"/>
      <c r="B533" s="49"/>
      <c r="C533" s="49"/>
      <c r="D533" s="49"/>
      <c r="E533" s="49"/>
      <c r="F533" s="49"/>
      <c r="G533" s="49"/>
      <c r="H533" s="49"/>
      <c r="I533" s="49"/>
      <c r="J533" s="49"/>
      <c r="K533" s="49"/>
      <c r="L533" s="49"/>
    </row>
    <row r="534">
      <c r="A534" s="63"/>
      <c r="B534" s="49"/>
      <c r="C534" s="49"/>
      <c r="D534" s="49"/>
      <c r="E534" s="49"/>
      <c r="F534" s="49"/>
      <c r="G534" s="49"/>
      <c r="H534" s="49"/>
      <c r="I534" s="49"/>
      <c r="J534" s="49"/>
      <c r="K534" s="49"/>
      <c r="L534" s="49"/>
    </row>
    <row r="535">
      <c r="A535" s="63"/>
      <c r="B535" s="49"/>
      <c r="C535" s="49"/>
      <c r="D535" s="49"/>
      <c r="E535" s="49"/>
      <c r="F535" s="49"/>
      <c r="G535" s="49"/>
      <c r="H535" s="49"/>
      <c r="I535" s="49"/>
      <c r="J535" s="49"/>
      <c r="K535" s="49"/>
      <c r="L535" s="49"/>
    </row>
    <row r="536">
      <c r="A536" s="63"/>
      <c r="B536" s="49"/>
      <c r="C536" s="49"/>
      <c r="D536" s="49"/>
      <c r="E536" s="49"/>
      <c r="F536" s="49"/>
      <c r="G536" s="49"/>
      <c r="H536" s="49"/>
      <c r="I536" s="49"/>
      <c r="J536" s="49"/>
      <c r="K536" s="49"/>
      <c r="L536" s="49"/>
    </row>
    <row r="537">
      <c r="A537" s="63"/>
      <c r="B537" s="49"/>
      <c r="C537" s="49"/>
      <c r="D537" s="49"/>
      <c r="E537" s="49"/>
      <c r="F537" s="49"/>
      <c r="G537" s="49"/>
      <c r="H537" s="49"/>
      <c r="I537" s="49"/>
      <c r="J537" s="49"/>
      <c r="K537" s="49"/>
      <c r="L537" s="49"/>
    </row>
    <row r="538">
      <c r="A538" s="63"/>
      <c r="B538" s="49"/>
      <c r="C538" s="49"/>
      <c r="D538" s="49"/>
      <c r="E538" s="49"/>
      <c r="F538" s="49"/>
      <c r="G538" s="49"/>
      <c r="H538" s="49"/>
      <c r="I538" s="49"/>
      <c r="J538" s="49"/>
      <c r="K538" s="49"/>
      <c r="L538" s="49"/>
    </row>
    <row r="539">
      <c r="A539" s="63"/>
      <c r="B539" s="49"/>
      <c r="C539" s="49"/>
      <c r="D539" s="49"/>
      <c r="E539" s="49"/>
      <c r="F539" s="49"/>
      <c r="G539" s="49"/>
      <c r="H539" s="49"/>
      <c r="I539" s="49"/>
      <c r="J539" s="49"/>
      <c r="K539" s="49"/>
      <c r="L539" s="49"/>
    </row>
    <row r="540">
      <c r="A540" s="63"/>
      <c r="B540" s="49"/>
      <c r="C540" s="49"/>
      <c r="D540" s="49"/>
      <c r="E540" s="49"/>
      <c r="F540" s="49"/>
      <c r="G540" s="49"/>
      <c r="H540" s="49"/>
      <c r="I540" s="49"/>
      <c r="J540" s="49"/>
      <c r="K540" s="49"/>
      <c r="L540" s="49"/>
    </row>
    <row r="541">
      <c r="A541" s="63"/>
      <c r="B541" s="49"/>
      <c r="C541" s="49"/>
      <c r="D541" s="49"/>
      <c r="E541" s="49"/>
      <c r="F541" s="49"/>
      <c r="G541" s="49"/>
      <c r="H541" s="49"/>
      <c r="I541" s="49"/>
      <c r="J541" s="49"/>
      <c r="K541" s="49"/>
      <c r="L541" s="49"/>
    </row>
    <row r="542">
      <c r="A542" s="63"/>
      <c r="B542" s="49"/>
      <c r="C542" s="49"/>
      <c r="D542" s="49"/>
      <c r="E542" s="49"/>
      <c r="F542" s="49"/>
      <c r="G542" s="49"/>
      <c r="H542" s="49"/>
      <c r="I542" s="49"/>
      <c r="J542" s="49"/>
      <c r="K542" s="49"/>
      <c r="L542" s="49"/>
    </row>
    <row r="543">
      <c r="A543" s="63"/>
      <c r="B543" s="49"/>
      <c r="C543" s="49"/>
      <c r="D543" s="49"/>
      <c r="E543" s="49"/>
      <c r="F543" s="49"/>
      <c r="G543" s="49"/>
      <c r="H543" s="49"/>
      <c r="I543" s="49"/>
      <c r="J543" s="49"/>
      <c r="K543" s="49"/>
      <c r="L543" s="49"/>
    </row>
    <row r="544">
      <c r="A544" s="63"/>
      <c r="B544" s="49"/>
      <c r="C544" s="49"/>
      <c r="D544" s="49"/>
      <c r="E544" s="49"/>
      <c r="F544" s="49"/>
      <c r="G544" s="49"/>
      <c r="H544" s="49"/>
      <c r="I544" s="49"/>
      <c r="J544" s="49"/>
      <c r="K544" s="49"/>
      <c r="L544" s="49"/>
    </row>
    <row r="545">
      <c r="A545" s="63"/>
      <c r="B545" s="49"/>
      <c r="C545" s="49"/>
      <c r="D545" s="49"/>
      <c r="E545" s="49"/>
      <c r="F545" s="49"/>
      <c r="G545" s="49"/>
      <c r="H545" s="49"/>
      <c r="I545" s="49"/>
      <c r="J545" s="49"/>
      <c r="K545" s="49"/>
      <c r="L545" s="49"/>
    </row>
    <row r="546">
      <c r="A546" s="63"/>
      <c r="B546" s="49"/>
      <c r="C546" s="49"/>
      <c r="D546" s="49"/>
      <c r="E546" s="49"/>
      <c r="F546" s="49"/>
      <c r="G546" s="49"/>
      <c r="H546" s="49"/>
      <c r="I546" s="49"/>
      <c r="J546" s="49"/>
      <c r="K546" s="49"/>
      <c r="L546" s="49"/>
    </row>
    <row r="547">
      <c r="A547" s="63"/>
      <c r="B547" s="49"/>
      <c r="C547" s="49"/>
      <c r="D547" s="49"/>
      <c r="E547" s="49"/>
      <c r="F547" s="49"/>
      <c r="G547" s="49"/>
      <c r="H547" s="49"/>
      <c r="I547" s="49"/>
      <c r="J547" s="49"/>
      <c r="K547" s="49"/>
      <c r="L547" s="49"/>
    </row>
    <row r="548">
      <c r="A548" s="63"/>
      <c r="B548" s="49"/>
      <c r="C548" s="49"/>
      <c r="D548" s="49"/>
      <c r="E548" s="49"/>
      <c r="F548" s="49"/>
      <c r="G548" s="49"/>
      <c r="H548" s="49"/>
      <c r="I548" s="49"/>
      <c r="J548" s="49"/>
      <c r="K548" s="49"/>
      <c r="L548" s="49"/>
    </row>
    <row r="549">
      <c r="A549" s="63"/>
      <c r="B549" s="49"/>
      <c r="C549" s="49"/>
      <c r="D549" s="49"/>
      <c r="E549" s="49"/>
      <c r="F549" s="49"/>
      <c r="G549" s="49"/>
      <c r="H549" s="49"/>
      <c r="I549" s="49"/>
      <c r="J549" s="49"/>
      <c r="K549" s="49"/>
      <c r="L549" s="49"/>
    </row>
    <row r="550">
      <c r="A550" s="63"/>
      <c r="B550" s="49"/>
      <c r="C550" s="49"/>
      <c r="D550" s="49"/>
      <c r="E550" s="49"/>
      <c r="F550" s="49"/>
      <c r="G550" s="49"/>
      <c r="H550" s="49"/>
      <c r="I550" s="49"/>
      <c r="J550" s="49"/>
      <c r="K550" s="49"/>
      <c r="L550" s="49"/>
    </row>
    <row r="551">
      <c r="A551" s="63"/>
      <c r="B551" s="49"/>
      <c r="C551" s="49"/>
      <c r="D551" s="49"/>
      <c r="E551" s="49"/>
      <c r="F551" s="49"/>
      <c r="G551" s="49"/>
      <c r="H551" s="49"/>
      <c r="I551" s="49"/>
      <c r="J551" s="49"/>
      <c r="K551" s="49"/>
      <c r="L551" s="49"/>
    </row>
    <row r="552">
      <c r="A552" s="63"/>
      <c r="B552" s="49"/>
      <c r="C552" s="49"/>
      <c r="D552" s="49"/>
      <c r="E552" s="49"/>
      <c r="F552" s="49"/>
      <c r="G552" s="49"/>
      <c r="H552" s="49"/>
      <c r="I552" s="49"/>
      <c r="J552" s="49"/>
      <c r="K552" s="49"/>
      <c r="L552" s="49"/>
    </row>
    <row r="553">
      <c r="A553" s="63"/>
      <c r="B553" s="49"/>
      <c r="C553" s="49"/>
      <c r="D553" s="49"/>
      <c r="E553" s="49"/>
      <c r="F553" s="49"/>
      <c r="G553" s="49"/>
      <c r="H553" s="49"/>
      <c r="I553" s="49"/>
      <c r="J553" s="49"/>
      <c r="K553" s="49"/>
      <c r="L553" s="49"/>
    </row>
    <row r="554">
      <c r="A554" s="63"/>
      <c r="B554" s="49"/>
      <c r="C554" s="49"/>
      <c r="D554" s="49"/>
      <c r="E554" s="49"/>
      <c r="F554" s="49"/>
      <c r="G554" s="49"/>
      <c r="H554" s="49"/>
      <c r="I554" s="49"/>
      <c r="J554" s="49"/>
      <c r="K554" s="49"/>
      <c r="L554" s="49"/>
    </row>
    <row r="555">
      <c r="A555" s="63"/>
      <c r="B555" s="49"/>
      <c r="C555" s="49"/>
      <c r="D555" s="49"/>
      <c r="E555" s="49"/>
      <c r="F555" s="49"/>
      <c r="G555" s="49"/>
      <c r="H555" s="49"/>
      <c r="I555" s="49"/>
      <c r="J555" s="49"/>
      <c r="K555" s="49"/>
      <c r="L555" s="49"/>
    </row>
    <row r="556">
      <c r="A556" s="63"/>
      <c r="B556" s="49"/>
      <c r="C556" s="49"/>
      <c r="D556" s="49"/>
      <c r="E556" s="49"/>
      <c r="F556" s="49"/>
      <c r="G556" s="49"/>
      <c r="H556" s="49"/>
      <c r="I556" s="49"/>
      <c r="J556" s="49"/>
      <c r="K556" s="49"/>
      <c r="L556" s="49"/>
    </row>
    <row r="557">
      <c r="A557" s="63"/>
      <c r="B557" s="49"/>
      <c r="C557" s="49"/>
      <c r="D557" s="49"/>
      <c r="E557" s="49"/>
      <c r="F557" s="49"/>
      <c r="G557" s="49"/>
      <c r="H557" s="49"/>
      <c r="I557" s="49"/>
      <c r="J557" s="49"/>
      <c r="K557" s="49"/>
      <c r="L557" s="49"/>
    </row>
    <row r="558">
      <c r="A558" s="63"/>
      <c r="B558" s="49"/>
      <c r="C558" s="49"/>
      <c r="D558" s="49"/>
      <c r="E558" s="49"/>
      <c r="F558" s="49"/>
      <c r="G558" s="49"/>
      <c r="H558" s="49"/>
      <c r="I558" s="49"/>
      <c r="J558" s="49"/>
      <c r="K558" s="49"/>
      <c r="L558" s="49"/>
    </row>
    <row r="559">
      <c r="A559" s="63"/>
      <c r="B559" s="49"/>
      <c r="C559" s="49"/>
      <c r="D559" s="49"/>
      <c r="E559" s="49"/>
      <c r="F559" s="49"/>
      <c r="G559" s="49"/>
      <c r="H559" s="49"/>
      <c r="I559" s="49"/>
      <c r="J559" s="49"/>
      <c r="K559" s="49"/>
      <c r="L559" s="49"/>
    </row>
    <row r="560">
      <c r="A560" s="63"/>
      <c r="B560" s="49"/>
      <c r="C560" s="49"/>
      <c r="D560" s="49"/>
      <c r="E560" s="49"/>
      <c r="F560" s="49"/>
      <c r="G560" s="49"/>
      <c r="H560" s="49"/>
      <c r="I560" s="49"/>
      <c r="J560" s="49"/>
      <c r="K560" s="49"/>
      <c r="L560" s="49"/>
    </row>
    <row r="561">
      <c r="A561" s="63"/>
      <c r="B561" s="49"/>
      <c r="C561" s="49"/>
      <c r="D561" s="49"/>
      <c r="E561" s="49"/>
      <c r="F561" s="49"/>
      <c r="G561" s="49"/>
      <c r="H561" s="49"/>
      <c r="I561" s="49"/>
      <c r="J561" s="49"/>
      <c r="K561" s="49"/>
      <c r="L561" s="49"/>
    </row>
    <row r="562">
      <c r="A562" s="63"/>
      <c r="B562" s="49"/>
      <c r="C562" s="49"/>
      <c r="D562" s="49"/>
      <c r="E562" s="49"/>
      <c r="F562" s="49"/>
      <c r="G562" s="49"/>
      <c r="H562" s="49"/>
      <c r="I562" s="49"/>
      <c r="J562" s="49"/>
      <c r="K562" s="49"/>
      <c r="L562" s="49"/>
    </row>
    <row r="563">
      <c r="A563" s="63"/>
      <c r="B563" s="49"/>
      <c r="C563" s="49"/>
      <c r="D563" s="49"/>
      <c r="E563" s="49"/>
      <c r="F563" s="49"/>
      <c r="G563" s="49"/>
      <c r="H563" s="49"/>
      <c r="I563" s="49"/>
      <c r="J563" s="49"/>
      <c r="K563" s="49"/>
      <c r="L563" s="49"/>
    </row>
    <row r="564">
      <c r="A564" s="63"/>
      <c r="B564" s="49"/>
      <c r="C564" s="49"/>
      <c r="D564" s="49"/>
      <c r="E564" s="49"/>
      <c r="F564" s="49"/>
      <c r="G564" s="49"/>
      <c r="H564" s="49"/>
      <c r="I564" s="49"/>
      <c r="J564" s="49"/>
      <c r="K564" s="49"/>
      <c r="L564" s="49"/>
    </row>
    <row r="565">
      <c r="A565" s="63"/>
      <c r="B565" s="49"/>
      <c r="C565" s="49"/>
      <c r="D565" s="49"/>
      <c r="E565" s="49"/>
      <c r="F565" s="49"/>
      <c r="G565" s="49"/>
      <c r="H565" s="49"/>
      <c r="I565" s="49"/>
      <c r="J565" s="49"/>
      <c r="K565" s="49"/>
      <c r="L565" s="49"/>
    </row>
    <row r="566">
      <c r="A566" s="63"/>
      <c r="B566" s="49"/>
      <c r="C566" s="49"/>
      <c r="D566" s="49"/>
      <c r="E566" s="49"/>
      <c r="F566" s="49"/>
      <c r="G566" s="49"/>
      <c r="H566" s="49"/>
      <c r="I566" s="49"/>
      <c r="J566" s="49"/>
      <c r="K566" s="49"/>
      <c r="L566" s="49"/>
    </row>
    <row r="567">
      <c r="A567" s="63"/>
      <c r="B567" s="49"/>
      <c r="C567" s="49"/>
      <c r="D567" s="49"/>
      <c r="E567" s="49"/>
      <c r="F567" s="49"/>
      <c r="G567" s="49"/>
      <c r="H567" s="49"/>
      <c r="I567" s="49"/>
      <c r="J567" s="49"/>
      <c r="K567" s="49"/>
      <c r="L567" s="49"/>
    </row>
    <row r="568">
      <c r="A568" s="63"/>
      <c r="B568" s="49"/>
      <c r="C568" s="49"/>
      <c r="D568" s="49"/>
      <c r="E568" s="49"/>
      <c r="F568" s="49"/>
      <c r="G568" s="49"/>
      <c r="H568" s="49"/>
      <c r="I568" s="49"/>
      <c r="J568" s="49"/>
      <c r="K568" s="49"/>
      <c r="L568" s="49"/>
    </row>
    <row r="569">
      <c r="A569" s="63"/>
      <c r="B569" s="49"/>
      <c r="C569" s="49"/>
      <c r="D569" s="49"/>
      <c r="E569" s="49"/>
      <c r="F569" s="49"/>
      <c r="G569" s="49"/>
      <c r="H569" s="49"/>
      <c r="I569" s="49"/>
      <c r="J569" s="49"/>
      <c r="K569" s="49"/>
      <c r="L569" s="49"/>
    </row>
    <row r="570">
      <c r="A570" s="63"/>
      <c r="B570" s="49"/>
      <c r="C570" s="49"/>
      <c r="D570" s="49"/>
      <c r="E570" s="49"/>
      <c r="F570" s="49"/>
      <c r="G570" s="49"/>
      <c r="H570" s="49"/>
      <c r="I570" s="49"/>
      <c r="J570" s="49"/>
      <c r="K570" s="49"/>
      <c r="L570" s="49"/>
    </row>
    <row r="571">
      <c r="A571" s="63"/>
      <c r="B571" s="49"/>
      <c r="C571" s="49"/>
      <c r="D571" s="49"/>
      <c r="E571" s="49"/>
      <c r="F571" s="49"/>
      <c r="G571" s="49"/>
      <c r="H571" s="49"/>
      <c r="I571" s="49"/>
      <c r="J571" s="49"/>
      <c r="K571" s="49"/>
      <c r="L571" s="49"/>
    </row>
    <row r="572">
      <c r="A572" s="63"/>
      <c r="B572" s="49"/>
      <c r="C572" s="49"/>
      <c r="D572" s="49"/>
      <c r="E572" s="49"/>
      <c r="F572" s="49"/>
      <c r="G572" s="49"/>
      <c r="H572" s="49"/>
      <c r="I572" s="49"/>
      <c r="J572" s="49"/>
      <c r="K572" s="49"/>
      <c r="L572" s="49"/>
    </row>
    <row r="573">
      <c r="A573" s="63"/>
      <c r="B573" s="49"/>
      <c r="C573" s="49"/>
      <c r="D573" s="49"/>
      <c r="E573" s="49"/>
      <c r="F573" s="49"/>
      <c r="G573" s="49"/>
      <c r="H573" s="49"/>
      <c r="I573" s="49"/>
      <c r="J573" s="49"/>
      <c r="K573" s="49"/>
      <c r="L573" s="49"/>
    </row>
    <row r="574">
      <c r="A574" s="63"/>
      <c r="B574" s="49"/>
      <c r="C574" s="49"/>
      <c r="D574" s="49"/>
      <c r="E574" s="49"/>
      <c r="F574" s="49"/>
      <c r="G574" s="49"/>
      <c r="H574" s="49"/>
      <c r="I574" s="49"/>
      <c r="J574" s="49"/>
      <c r="K574" s="49"/>
      <c r="L574" s="49"/>
    </row>
    <row r="575">
      <c r="A575" s="63"/>
      <c r="B575" s="49"/>
      <c r="C575" s="49"/>
      <c r="D575" s="49"/>
      <c r="E575" s="49"/>
      <c r="F575" s="49"/>
      <c r="G575" s="49"/>
      <c r="H575" s="49"/>
      <c r="I575" s="49"/>
      <c r="J575" s="49"/>
      <c r="K575" s="49"/>
      <c r="L575" s="49"/>
    </row>
    <row r="576">
      <c r="A576" s="63"/>
      <c r="B576" s="49"/>
      <c r="C576" s="49"/>
      <c r="D576" s="49"/>
      <c r="E576" s="49"/>
      <c r="F576" s="49"/>
      <c r="G576" s="49"/>
      <c r="H576" s="49"/>
      <c r="I576" s="49"/>
      <c r="J576" s="49"/>
      <c r="K576" s="49"/>
      <c r="L576" s="49"/>
    </row>
    <row r="577">
      <c r="A577" s="63"/>
      <c r="B577" s="49"/>
      <c r="C577" s="49"/>
      <c r="D577" s="49"/>
      <c r="E577" s="49"/>
      <c r="F577" s="49"/>
      <c r="G577" s="49"/>
      <c r="H577" s="49"/>
      <c r="I577" s="49"/>
      <c r="J577" s="49"/>
      <c r="K577" s="49"/>
      <c r="L577" s="49"/>
    </row>
    <row r="578">
      <c r="A578" s="63"/>
      <c r="B578" s="49"/>
      <c r="C578" s="49"/>
      <c r="D578" s="49"/>
      <c r="E578" s="49"/>
      <c r="F578" s="49"/>
      <c r="G578" s="49"/>
      <c r="H578" s="49"/>
      <c r="I578" s="49"/>
      <c r="J578" s="49"/>
      <c r="K578" s="49"/>
      <c r="L578" s="49"/>
    </row>
    <row r="579">
      <c r="A579" s="63"/>
      <c r="B579" s="49"/>
      <c r="C579" s="49"/>
      <c r="D579" s="49"/>
      <c r="E579" s="49"/>
      <c r="F579" s="49"/>
      <c r="G579" s="49"/>
      <c r="H579" s="49"/>
      <c r="I579" s="49"/>
      <c r="J579" s="49"/>
      <c r="K579" s="49"/>
      <c r="L579" s="49"/>
    </row>
    <row r="580">
      <c r="A580" s="63"/>
      <c r="B580" s="49"/>
      <c r="C580" s="49"/>
      <c r="D580" s="49"/>
      <c r="E580" s="49"/>
      <c r="F580" s="49"/>
      <c r="G580" s="49"/>
      <c r="H580" s="49"/>
      <c r="I580" s="49"/>
      <c r="J580" s="49"/>
      <c r="K580" s="49"/>
      <c r="L580" s="49"/>
    </row>
    <row r="581">
      <c r="A581" s="63"/>
      <c r="B581" s="49"/>
      <c r="C581" s="49"/>
      <c r="D581" s="49"/>
      <c r="E581" s="49"/>
      <c r="F581" s="49"/>
      <c r="G581" s="49"/>
      <c r="H581" s="49"/>
      <c r="I581" s="49"/>
      <c r="J581" s="49"/>
      <c r="K581" s="49"/>
      <c r="L581" s="49"/>
    </row>
    <row r="582">
      <c r="A582" s="63"/>
      <c r="B582" s="49"/>
      <c r="C582" s="49"/>
      <c r="D582" s="49"/>
      <c r="E582" s="49"/>
      <c r="F582" s="49"/>
      <c r="G582" s="49"/>
      <c r="H582" s="49"/>
      <c r="I582" s="49"/>
      <c r="J582" s="49"/>
      <c r="K582" s="49"/>
      <c r="L582" s="49"/>
    </row>
    <row r="583">
      <c r="A583" s="63"/>
      <c r="B583" s="49"/>
      <c r="C583" s="49"/>
      <c r="D583" s="49"/>
      <c r="E583" s="49"/>
      <c r="F583" s="49"/>
      <c r="G583" s="49"/>
      <c r="H583" s="49"/>
      <c r="I583" s="49"/>
      <c r="J583" s="49"/>
      <c r="K583" s="49"/>
      <c r="L583" s="49"/>
    </row>
    <row r="584">
      <c r="A584" s="63"/>
      <c r="B584" s="49"/>
      <c r="C584" s="49"/>
      <c r="D584" s="49"/>
      <c r="E584" s="49"/>
      <c r="F584" s="49"/>
      <c r="G584" s="49"/>
      <c r="H584" s="49"/>
      <c r="I584" s="49"/>
      <c r="J584" s="49"/>
      <c r="K584" s="49"/>
      <c r="L584" s="49"/>
    </row>
    <row r="585">
      <c r="A585" s="63"/>
      <c r="B585" s="49"/>
      <c r="C585" s="49"/>
      <c r="D585" s="49"/>
      <c r="E585" s="49"/>
      <c r="F585" s="49"/>
      <c r="G585" s="49"/>
      <c r="H585" s="49"/>
      <c r="I585" s="49"/>
      <c r="J585" s="49"/>
      <c r="K585" s="49"/>
      <c r="L585" s="49"/>
    </row>
    <row r="586">
      <c r="A586" s="63"/>
      <c r="B586" s="49"/>
      <c r="C586" s="49"/>
      <c r="D586" s="49"/>
      <c r="E586" s="49"/>
      <c r="F586" s="49"/>
      <c r="G586" s="49"/>
      <c r="H586" s="49"/>
      <c r="I586" s="49"/>
      <c r="J586" s="49"/>
      <c r="K586" s="49"/>
      <c r="L586" s="49"/>
    </row>
    <row r="587">
      <c r="A587" s="63"/>
      <c r="B587" s="49"/>
      <c r="C587" s="49"/>
      <c r="D587" s="49"/>
      <c r="E587" s="49"/>
      <c r="F587" s="49"/>
      <c r="G587" s="49"/>
      <c r="H587" s="49"/>
      <c r="I587" s="49"/>
      <c r="J587" s="49"/>
      <c r="K587" s="49"/>
      <c r="L587" s="49"/>
    </row>
    <row r="588">
      <c r="A588" s="63"/>
      <c r="B588" s="49"/>
      <c r="C588" s="49"/>
      <c r="D588" s="49"/>
      <c r="E588" s="49"/>
      <c r="F588" s="49"/>
      <c r="G588" s="49"/>
      <c r="H588" s="49"/>
      <c r="I588" s="49"/>
      <c r="J588" s="49"/>
      <c r="K588" s="49"/>
      <c r="L588" s="49"/>
    </row>
    <row r="589">
      <c r="A589" s="63"/>
      <c r="B589" s="49"/>
      <c r="C589" s="49"/>
      <c r="D589" s="49"/>
      <c r="E589" s="49"/>
      <c r="F589" s="49"/>
      <c r="G589" s="49"/>
      <c r="H589" s="49"/>
      <c r="I589" s="49"/>
      <c r="J589" s="49"/>
      <c r="K589" s="49"/>
      <c r="L589" s="49"/>
    </row>
    <row r="590">
      <c r="A590" s="63"/>
      <c r="B590" s="49"/>
      <c r="C590" s="49"/>
      <c r="D590" s="49"/>
      <c r="E590" s="49"/>
      <c r="F590" s="49"/>
      <c r="G590" s="49"/>
      <c r="H590" s="49"/>
      <c r="I590" s="49"/>
      <c r="J590" s="49"/>
      <c r="K590" s="49"/>
      <c r="L590" s="49"/>
    </row>
    <row r="591">
      <c r="A591" s="63"/>
      <c r="B591" s="49"/>
      <c r="C591" s="49"/>
      <c r="D591" s="49"/>
      <c r="E591" s="49"/>
      <c r="F591" s="49"/>
      <c r="G591" s="49"/>
      <c r="H591" s="49"/>
      <c r="I591" s="49"/>
      <c r="J591" s="49"/>
      <c r="K591" s="49"/>
      <c r="L591" s="49"/>
    </row>
    <row r="592">
      <c r="A592" s="63"/>
      <c r="B592" s="49"/>
      <c r="C592" s="49"/>
      <c r="D592" s="49"/>
      <c r="E592" s="49"/>
      <c r="F592" s="49"/>
      <c r="G592" s="49"/>
      <c r="H592" s="49"/>
      <c r="I592" s="49"/>
      <c r="J592" s="49"/>
      <c r="K592" s="49"/>
      <c r="L592" s="49"/>
    </row>
    <row r="593">
      <c r="A593" s="63"/>
      <c r="B593" s="49"/>
      <c r="C593" s="49"/>
      <c r="D593" s="49"/>
      <c r="E593" s="49"/>
      <c r="F593" s="49"/>
      <c r="G593" s="49"/>
      <c r="H593" s="49"/>
      <c r="I593" s="49"/>
      <c r="J593" s="49"/>
      <c r="K593" s="49"/>
      <c r="L593" s="49"/>
    </row>
    <row r="594">
      <c r="A594" s="63"/>
      <c r="B594" s="49"/>
      <c r="C594" s="49"/>
      <c r="D594" s="49"/>
      <c r="E594" s="49"/>
      <c r="F594" s="49"/>
      <c r="G594" s="49"/>
      <c r="H594" s="49"/>
      <c r="I594" s="49"/>
      <c r="J594" s="49"/>
      <c r="K594" s="49"/>
      <c r="L594" s="49"/>
    </row>
    <row r="595">
      <c r="A595" s="63"/>
      <c r="B595" s="49"/>
      <c r="C595" s="49"/>
      <c r="D595" s="49"/>
      <c r="E595" s="49"/>
      <c r="F595" s="49"/>
      <c r="G595" s="49"/>
      <c r="H595" s="49"/>
      <c r="I595" s="49"/>
      <c r="J595" s="49"/>
      <c r="K595" s="49"/>
      <c r="L595" s="49"/>
    </row>
    <row r="596">
      <c r="A596" s="63"/>
      <c r="B596" s="49"/>
      <c r="C596" s="49"/>
      <c r="D596" s="49"/>
      <c r="E596" s="49"/>
      <c r="F596" s="49"/>
      <c r="G596" s="49"/>
      <c r="H596" s="49"/>
      <c r="I596" s="49"/>
      <c r="J596" s="49"/>
      <c r="K596" s="49"/>
      <c r="L596" s="49"/>
    </row>
    <row r="597">
      <c r="A597" s="63"/>
      <c r="B597" s="49"/>
      <c r="C597" s="49"/>
      <c r="D597" s="49"/>
      <c r="E597" s="49"/>
      <c r="F597" s="49"/>
      <c r="G597" s="49"/>
      <c r="H597" s="49"/>
      <c r="I597" s="49"/>
      <c r="J597" s="49"/>
      <c r="K597" s="49"/>
      <c r="L597" s="49"/>
    </row>
    <row r="598">
      <c r="A598" s="63"/>
      <c r="B598" s="49"/>
      <c r="C598" s="49"/>
      <c r="D598" s="49"/>
      <c r="E598" s="49"/>
      <c r="F598" s="49"/>
      <c r="G598" s="49"/>
      <c r="H598" s="49"/>
      <c r="I598" s="49"/>
      <c r="J598" s="49"/>
      <c r="K598" s="49"/>
      <c r="L598" s="49"/>
    </row>
    <row r="599">
      <c r="A599" s="63"/>
      <c r="B599" s="49"/>
      <c r="C599" s="49"/>
      <c r="D599" s="49"/>
      <c r="E599" s="49"/>
      <c r="F599" s="49"/>
      <c r="G599" s="49"/>
      <c r="H599" s="49"/>
      <c r="I599" s="49"/>
      <c r="J599" s="49"/>
      <c r="K599" s="49"/>
      <c r="L599" s="49"/>
    </row>
    <row r="600">
      <c r="A600" s="63"/>
      <c r="B600" s="49"/>
      <c r="C600" s="49"/>
      <c r="D600" s="49"/>
      <c r="E600" s="49"/>
      <c r="F600" s="49"/>
      <c r="G600" s="49"/>
      <c r="H600" s="49"/>
      <c r="I600" s="49"/>
      <c r="J600" s="49"/>
      <c r="K600" s="49"/>
      <c r="L600" s="49"/>
    </row>
    <row r="601">
      <c r="A601" s="63"/>
      <c r="B601" s="49"/>
      <c r="C601" s="49"/>
      <c r="D601" s="49"/>
      <c r="E601" s="49"/>
      <c r="F601" s="49"/>
      <c r="G601" s="49"/>
      <c r="H601" s="49"/>
      <c r="I601" s="49"/>
      <c r="J601" s="49"/>
      <c r="K601" s="49"/>
      <c r="L601" s="49"/>
    </row>
    <row r="602">
      <c r="A602" s="63"/>
      <c r="B602" s="49"/>
      <c r="C602" s="49"/>
      <c r="D602" s="49"/>
      <c r="E602" s="49"/>
      <c r="F602" s="49"/>
      <c r="G602" s="49"/>
      <c r="H602" s="49"/>
      <c r="I602" s="49"/>
      <c r="J602" s="49"/>
      <c r="K602" s="49"/>
      <c r="L602" s="49"/>
    </row>
    <row r="603">
      <c r="A603" s="63"/>
      <c r="B603" s="49"/>
      <c r="C603" s="49"/>
      <c r="D603" s="49"/>
      <c r="E603" s="49"/>
      <c r="F603" s="49"/>
      <c r="G603" s="49"/>
      <c r="H603" s="49"/>
      <c r="I603" s="49"/>
      <c r="J603" s="49"/>
      <c r="K603" s="49"/>
      <c r="L603" s="49"/>
    </row>
    <row r="604">
      <c r="A604" s="63"/>
      <c r="B604" s="49"/>
      <c r="C604" s="49"/>
      <c r="D604" s="49"/>
      <c r="E604" s="49"/>
      <c r="F604" s="49"/>
      <c r="G604" s="49"/>
      <c r="H604" s="49"/>
      <c r="I604" s="49"/>
      <c r="J604" s="49"/>
      <c r="K604" s="49"/>
      <c r="L604" s="49"/>
    </row>
    <row r="605">
      <c r="A605" s="63"/>
      <c r="B605" s="49"/>
      <c r="C605" s="49"/>
      <c r="D605" s="49"/>
      <c r="E605" s="49"/>
      <c r="F605" s="49"/>
      <c r="G605" s="49"/>
      <c r="H605" s="49"/>
      <c r="I605" s="49"/>
      <c r="J605" s="49"/>
      <c r="K605" s="49"/>
      <c r="L605" s="49"/>
    </row>
    <row r="606">
      <c r="A606" s="63"/>
      <c r="B606" s="49"/>
      <c r="C606" s="49"/>
      <c r="D606" s="49"/>
      <c r="E606" s="49"/>
      <c r="F606" s="49"/>
      <c r="G606" s="49"/>
      <c r="H606" s="49"/>
      <c r="I606" s="49"/>
      <c r="J606" s="49"/>
      <c r="K606" s="49"/>
      <c r="L606" s="49"/>
    </row>
    <row r="607">
      <c r="A607" s="63"/>
      <c r="B607" s="49"/>
      <c r="C607" s="49"/>
      <c r="D607" s="49"/>
      <c r="E607" s="49"/>
      <c r="F607" s="49"/>
      <c r="G607" s="49"/>
      <c r="H607" s="49"/>
      <c r="I607" s="49"/>
      <c r="J607" s="49"/>
      <c r="K607" s="49"/>
      <c r="L607" s="49"/>
    </row>
    <row r="608">
      <c r="A608" s="63"/>
      <c r="B608" s="49"/>
      <c r="C608" s="49"/>
      <c r="D608" s="49"/>
      <c r="E608" s="49"/>
      <c r="F608" s="49"/>
      <c r="G608" s="49"/>
      <c r="H608" s="49"/>
      <c r="I608" s="49"/>
      <c r="J608" s="49"/>
      <c r="K608" s="49"/>
      <c r="L608" s="49"/>
    </row>
    <row r="609">
      <c r="A609" s="63"/>
      <c r="B609" s="49"/>
      <c r="C609" s="49"/>
      <c r="D609" s="49"/>
      <c r="E609" s="49"/>
      <c r="F609" s="49"/>
      <c r="G609" s="49"/>
      <c r="H609" s="49"/>
      <c r="I609" s="49"/>
      <c r="J609" s="49"/>
      <c r="K609" s="49"/>
      <c r="L609" s="49"/>
    </row>
    <row r="610">
      <c r="A610" s="63"/>
      <c r="B610" s="49"/>
      <c r="C610" s="49"/>
      <c r="D610" s="49"/>
      <c r="E610" s="49"/>
      <c r="F610" s="49"/>
      <c r="G610" s="49"/>
      <c r="H610" s="49"/>
      <c r="I610" s="49"/>
      <c r="J610" s="49"/>
      <c r="K610" s="49"/>
      <c r="L610" s="49"/>
    </row>
    <row r="611">
      <c r="A611" s="63"/>
      <c r="B611" s="49"/>
      <c r="C611" s="49"/>
      <c r="D611" s="49"/>
      <c r="E611" s="49"/>
      <c r="F611" s="49"/>
      <c r="G611" s="49"/>
      <c r="H611" s="49"/>
      <c r="I611" s="49"/>
      <c r="J611" s="49"/>
      <c r="K611" s="49"/>
      <c r="L611" s="49"/>
    </row>
    <row r="612">
      <c r="A612" s="63"/>
      <c r="B612" s="49"/>
      <c r="C612" s="49"/>
      <c r="D612" s="49"/>
      <c r="E612" s="49"/>
      <c r="F612" s="49"/>
      <c r="G612" s="49"/>
      <c r="H612" s="49"/>
      <c r="I612" s="49"/>
      <c r="J612" s="49"/>
      <c r="K612" s="49"/>
      <c r="L612" s="49"/>
    </row>
    <row r="613">
      <c r="A613" s="63"/>
      <c r="B613" s="49"/>
      <c r="C613" s="49"/>
      <c r="D613" s="49"/>
      <c r="E613" s="49"/>
      <c r="F613" s="49"/>
      <c r="G613" s="49"/>
      <c r="H613" s="49"/>
      <c r="I613" s="49"/>
      <c r="J613" s="49"/>
      <c r="K613" s="49"/>
      <c r="L613" s="49"/>
    </row>
    <row r="614">
      <c r="A614" s="63"/>
      <c r="B614" s="49"/>
      <c r="C614" s="49"/>
      <c r="D614" s="49"/>
      <c r="E614" s="49"/>
      <c r="F614" s="49"/>
      <c r="G614" s="49"/>
      <c r="H614" s="49"/>
      <c r="I614" s="49"/>
      <c r="J614" s="49"/>
      <c r="K614" s="49"/>
      <c r="L614" s="49"/>
    </row>
    <row r="615">
      <c r="A615" s="63"/>
      <c r="B615" s="49"/>
      <c r="C615" s="49"/>
      <c r="D615" s="49"/>
      <c r="E615" s="49"/>
      <c r="F615" s="49"/>
      <c r="G615" s="49"/>
      <c r="H615" s="49"/>
      <c r="I615" s="49"/>
      <c r="J615" s="49"/>
      <c r="K615" s="49"/>
      <c r="L615" s="49"/>
    </row>
    <row r="616">
      <c r="A616" s="63"/>
      <c r="B616" s="49"/>
      <c r="C616" s="49"/>
      <c r="D616" s="49"/>
      <c r="E616" s="49"/>
      <c r="F616" s="49"/>
      <c r="G616" s="49"/>
      <c r="H616" s="49"/>
      <c r="I616" s="49"/>
      <c r="J616" s="49"/>
      <c r="K616" s="49"/>
      <c r="L616" s="49"/>
    </row>
    <row r="617">
      <c r="A617" s="63"/>
      <c r="B617" s="49"/>
      <c r="C617" s="49"/>
      <c r="D617" s="49"/>
      <c r="E617" s="49"/>
      <c r="F617" s="49"/>
      <c r="G617" s="49"/>
      <c r="H617" s="49"/>
      <c r="I617" s="49"/>
      <c r="J617" s="49"/>
      <c r="K617" s="49"/>
      <c r="L617" s="49"/>
    </row>
    <row r="618">
      <c r="A618" s="63"/>
      <c r="B618" s="49"/>
      <c r="C618" s="49"/>
      <c r="D618" s="49"/>
      <c r="E618" s="49"/>
      <c r="F618" s="49"/>
      <c r="G618" s="49"/>
      <c r="H618" s="49"/>
      <c r="I618" s="49"/>
      <c r="J618" s="49"/>
      <c r="K618" s="49"/>
      <c r="L618" s="49"/>
    </row>
    <row r="619">
      <c r="A619" s="63"/>
      <c r="B619" s="49"/>
      <c r="C619" s="49"/>
      <c r="D619" s="49"/>
      <c r="E619" s="49"/>
      <c r="F619" s="49"/>
      <c r="G619" s="49"/>
      <c r="H619" s="49"/>
      <c r="I619" s="49"/>
      <c r="J619" s="49"/>
      <c r="K619" s="49"/>
      <c r="L619" s="49"/>
    </row>
    <row r="620">
      <c r="A620" s="63"/>
      <c r="B620" s="49"/>
      <c r="C620" s="49"/>
      <c r="D620" s="49"/>
      <c r="E620" s="49"/>
      <c r="F620" s="49"/>
      <c r="G620" s="49"/>
      <c r="H620" s="49"/>
      <c r="I620" s="49"/>
      <c r="J620" s="49"/>
      <c r="K620" s="49"/>
      <c r="L620" s="49"/>
    </row>
    <row r="621">
      <c r="A621" s="63"/>
      <c r="B621" s="49"/>
      <c r="C621" s="49"/>
      <c r="D621" s="49"/>
      <c r="E621" s="49"/>
      <c r="F621" s="49"/>
      <c r="G621" s="49"/>
      <c r="H621" s="49"/>
      <c r="I621" s="49"/>
      <c r="J621" s="49"/>
      <c r="K621" s="49"/>
      <c r="L621" s="49"/>
    </row>
    <row r="622">
      <c r="A622" s="63"/>
      <c r="B622" s="49"/>
      <c r="C622" s="49"/>
      <c r="D622" s="49"/>
      <c r="E622" s="49"/>
      <c r="F622" s="49"/>
      <c r="G622" s="49"/>
      <c r="H622" s="49"/>
      <c r="I622" s="49"/>
      <c r="J622" s="49"/>
      <c r="K622" s="49"/>
      <c r="L622" s="49"/>
    </row>
    <row r="623">
      <c r="A623" s="63"/>
      <c r="B623" s="49"/>
      <c r="C623" s="49"/>
      <c r="D623" s="49"/>
      <c r="E623" s="49"/>
      <c r="F623" s="49"/>
      <c r="G623" s="49"/>
      <c r="H623" s="49"/>
      <c r="I623" s="49"/>
      <c r="J623" s="49"/>
      <c r="K623" s="49"/>
      <c r="L623" s="49"/>
    </row>
    <row r="624">
      <c r="A624" s="63"/>
      <c r="B624" s="49"/>
      <c r="C624" s="49"/>
      <c r="D624" s="49"/>
      <c r="E624" s="49"/>
      <c r="F624" s="49"/>
      <c r="G624" s="49"/>
      <c r="H624" s="49"/>
      <c r="I624" s="49"/>
      <c r="J624" s="49"/>
      <c r="K624" s="49"/>
      <c r="L624" s="49"/>
    </row>
    <row r="625">
      <c r="A625" s="63"/>
      <c r="B625" s="49"/>
      <c r="C625" s="49"/>
      <c r="D625" s="49"/>
      <c r="E625" s="49"/>
      <c r="F625" s="49"/>
      <c r="G625" s="49"/>
      <c r="H625" s="49"/>
      <c r="I625" s="49"/>
      <c r="J625" s="49"/>
      <c r="K625" s="49"/>
      <c r="L625" s="49"/>
    </row>
    <row r="626">
      <c r="A626" s="63"/>
      <c r="B626" s="49"/>
      <c r="C626" s="49"/>
      <c r="D626" s="49"/>
      <c r="E626" s="49"/>
      <c r="F626" s="49"/>
      <c r="G626" s="49"/>
      <c r="H626" s="49"/>
      <c r="I626" s="49"/>
      <c r="J626" s="49"/>
      <c r="K626" s="49"/>
      <c r="L626" s="49"/>
    </row>
    <row r="627">
      <c r="A627" s="63"/>
      <c r="B627" s="49"/>
      <c r="C627" s="49"/>
      <c r="D627" s="49"/>
      <c r="E627" s="49"/>
      <c r="F627" s="49"/>
      <c r="G627" s="49"/>
      <c r="H627" s="49"/>
      <c r="I627" s="49"/>
      <c r="J627" s="49"/>
      <c r="K627" s="49"/>
      <c r="L627" s="49"/>
    </row>
    <row r="628">
      <c r="A628" s="63"/>
      <c r="B628" s="49"/>
      <c r="C628" s="49"/>
      <c r="D628" s="49"/>
      <c r="E628" s="49"/>
      <c r="F628" s="49"/>
      <c r="G628" s="49"/>
      <c r="H628" s="49"/>
      <c r="I628" s="49"/>
      <c r="J628" s="49"/>
      <c r="K628" s="49"/>
      <c r="L628" s="49"/>
    </row>
    <row r="629">
      <c r="A629" s="63"/>
      <c r="B629" s="49"/>
      <c r="C629" s="49"/>
      <c r="D629" s="49"/>
      <c r="E629" s="49"/>
      <c r="F629" s="49"/>
      <c r="G629" s="49"/>
      <c r="H629" s="49"/>
      <c r="I629" s="49"/>
      <c r="J629" s="49"/>
      <c r="K629" s="49"/>
      <c r="L629" s="49"/>
    </row>
    <row r="630">
      <c r="A630" s="63"/>
      <c r="B630" s="49"/>
      <c r="C630" s="49"/>
      <c r="D630" s="49"/>
      <c r="E630" s="49"/>
      <c r="F630" s="49"/>
      <c r="G630" s="49"/>
      <c r="H630" s="49"/>
      <c r="I630" s="49"/>
      <c r="J630" s="49"/>
      <c r="K630" s="49"/>
      <c r="L630" s="49"/>
    </row>
    <row r="631">
      <c r="A631" s="63"/>
      <c r="B631" s="49"/>
      <c r="C631" s="49"/>
      <c r="D631" s="49"/>
      <c r="E631" s="49"/>
      <c r="F631" s="49"/>
      <c r="G631" s="49"/>
      <c r="H631" s="49"/>
      <c r="I631" s="49"/>
      <c r="J631" s="49"/>
      <c r="K631" s="49"/>
      <c r="L631" s="49"/>
    </row>
    <row r="632">
      <c r="A632" s="63"/>
      <c r="B632" s="49"/>
      <c r="C632" s="49"/>
      <c r="D632" s="49"/>
      <c r="E632" s="49"/>
      <c r="F632" s="49"/>
      <c r="G632" s="49"/>
      <c r="H632" s="49"/>
      <c r="I632" s="49"/>
      <c r="J632" s="49"/>
      <c r="K632" s="49"/>
      <c r="L632" s="49"/>
    </row>
    <row r="633">
      <c r="A633" s="63"/>
      <c r="B633" s="49"/>
      <c r="C633" s="49"/>
      <c r="D633" s="49"/>
      <c r="E633" s="49"/>
      <c r="F633" s="49"/>
      <c r="G633" s="49"/>
      <c r="H633" s="49"/>
      <c r="I633" s="49"/>
      <c r="J633" s="49"/>
      <c r="K633" s="49"/>
      <c r="L633" s="49"/>
    </row>
    <row r="634">
      <c r="A634" s="63"/>
      <c r="B634" s="49"/>
      <c r="C634" s="49"/>
      <c r="D634" s="49"/>
      <c r="E634" s="49"/>
      <c r="F634" s="49"/>
      <c r="G634" s="49"/>
      <c r="H634" s="49"/>
      <c r="I634" s="49"/>
      <c r="J634" s="49"/>
      <c r="K634" s="49"/>
      <c r="L634" s="49"/>
    </row>
    <row r="635">
      <c r="A635" s="63"/>
      <c r="B635" s="49"/>
      <c r="C635" s="49"/>
      <c r="D635" s="49"/>
      <c r="E635" s="49"/>
      <c r="F635" s="49"/>
      <c r="G635" s="49"/>
      <c r="H635" s="49"/>
      <c r="I635" s="49"/>
      <c r="J635" s="49"/>
      <c r="K635" s="49"/>
      <c r="L635" s="49"/>
    </row>
    <row r="636">
      <c r="A636" s="63"/>
      <c r="B636" s="49"/>
      <c r="C636" s="49"/>
      <c r="D636" s="49"/>
      <c r="E636" s="49"/>
      <c r="F636" s="49"/>
      <c r="G636" s="49"/>
      <c r="H636" s="49"/>
      <c r="I636" s="49"/>
      <c r="J636" s="49"/>
      <c r="K636" s="49"/>
      <c r="L636" s="49"/>
    </row>
    <row r="637">
      <c r="A637" s="63"/>
      <c r="B637" s="49"/>
      <c r="C637" s="49"/>
      <c r="D637" s="49"/>
      <c r="E637" s="49"/>
      <c r="F637" s="49"/>
      <c r="G637" s="49"/>
      <c r="H637" s="49"/>
      <c r="I637" s="49"/>
      <c r="J637" s="49"/>
      <c r="K637" s="49"/>
      <c r="L637" s="49"/>
    </row>
    <row r="638">
      <c r="A638" s="63"/>
      <c r="B638" s="49"/>
      <c r="C638" s="49"/>
      <c r="D638" s="49"/>
      <c r="E638" s="49"/>
      <c r="F638" s="49"/>
      <c r="G638" s="49"/>
      <c r="H638" s="49"/>
      <c r="I638" s="49"/>
      <c r="J638" s="49"/>
      <c r="K638" s="49"/>
      <c r="L638" s="49"/>
    </row>
    <row r="639">
      <c r="A639" s="63"/>
      <c r="B639" s="49"/>
      <c r="C639" s="49"/>
      <c r="D639" s="49"/>
      <c r="E639" s="49"/>
      <c r="F639" s="49"/>
      <c r="G639" s="49"/>
      <c r="H639" s="49"/>
      <c r="I639" s="49"/>
      <c r="J639" s="49"/>
      <c r="K639" s="49"/>
      <c r="L639" s="49"/>
    </row>
    <row r="640">
      <c r="A640" s="63"/>
      <c r="B640" s="49"/>
      <c r="C640" s="49"/>
      <c r="D640" s="49"/>
      <c r="E640" s="49"/>
      <c r="F640" s="49"/>
      <c r="G640" s="49"/>
      <c r="H640" s="49"/>
      <c r="I640" s="49"/>
      <c r="J640" s="49"/>
      <c r="K640" s="49"/>
      <c r="L640" s="49"/>
    </row>
    <row r="641">
      <c r="A641" s="63"/>
      <c r="B641" s="49"/>
      <c r="C641" s="49"/>
      <c r="D641" s="49"/>
      <c r="E641" s="49"/>
      <c r="F641" s="49"/>
      <c r="G641" s="49"/>
      <c r="H641" s="49"/>
      <c r="I641" s="49"/>
      <c r="J641" s="49"/>
      <c r="K641" s="49"/>
      <c r="L641" s="49"/>
    </row>
    <row r="642">
      <c r="A642" s="63"/>
      <c r="B642" s="49"/>
      <c r="C642" s="49"/>
      <c r="D642" s="49"/>
      <c r="E642" s="49"/>
      <c r="F642" s="49"/>
      <c r="G642" s="49"/>
      <c r="H642" s="49"/>
      <c r="I642" s="49"/>
      <c r="J642" s="49"/>
      <c r="K642" s="49"/>
      <c r="L642" s="49"/>
    </row>
    <row r="643">
      <c r="A643" s="63"/>
      <c r="B643" s="49"/>
      <c r="C643" s="49"/>
      <c r="D643" s="49"/>
      <c r="E643" s="49"/>
      <c r="F643" s="49"/>
      <c r="G643" s="49"/>
      <c r="H643" s="49"/>
      <c r="I643" s="49"/>
      <c r="J643" s="49"/>
      <c r="K643" s="49"/>
      <c r="L643" s="49"/>
    </row>
    <row r="644">
      <c r="A644" s="63"/>
      <c r="B644" s="49"/>
      <c r="C644" s="49"/>
      <c r="D644" s="49"/>
      <c r="E644" s="49"/>
      <c r="F644" s="49"/>
      <c r="G644" s="49"/>
      <c r="H644" s="49"/>
      <c r="I644" s="49"/>
      <c r="J644" s="49"/>
      <c r="K644" s="49"/>
      <c r="L644" s="49"/>
    </row>
    <row r="645">
      <c r="A645" s="63"/>
      <c r="B645" s="49"/>
      <c r="C645" s="49"/>
      <c r="D645" s="49"/>
      <c r="E645" s="49"/>
      <c r="F645" s="49"/>
      <c r="G645" s="49"/>
      <c r="H645" s="49"/>
      <c r="I645" s="49"/>
      <c r="J645" s="49"/>
      <c r="K645" s="49"/>
      <c r="L645" s="49"/>
    </row>
    <row r="646">
      <c r="A646" s="63"/>
      <c r="B646" s="49"/>
      <c r="C646" s="49"/>
      <c r="D646" s="49"/>
      <c r="E646" s="49"/>
      <c r="F646" s="49"/>
      <c r="G646" s="49"/>
      <c r="H646" s="49"/>
      <c r="I646" s="49"/>
      <c r="J646" s="49"/>
      <c r="K646" s="49"/>
      <c r="L646" s="49"/>
    </row>
    <row r="647">
      <c r="A647" s="63"/>
      <c r="B647" s="49"/>
      <c r="C647" s="49"/>
      <c r="D647" s="49"/>
      <c r="E647" s="49"/>
      <c r="F647" s="49"/>
      <c r="G647" s="49"/>
      <c r="H647" s="49"/>
      <c r="I647" s="49"/>
      <c r="J647" s="49"/>
      <c r="K647" s="49"/>
      <c r="L647" s="49"/>
    </row>
    <row r="648">
      <c r="A648" s="63"/>
      <c r="B648" s="49"/>
      <c r="C648" s="49"/>
      <c r="D648" s="49"/>
      <c r="E648" s="49"/>
      <c r="F648" s="49"/>
      <c r="G648" s="49"/>
      <c r="H648" s="49"/>
      <c r="I648" s="49"/>
      <c r="J648" s="49"/>
      <c r="K648" s="49"/>
      <c r="L648" s="49"/>
    </row>
    <row r="649">
      <c r="A649" s="63"/>
      <c r="B649" s="49"/>
      <c r="C649" s="49"/>
      <c r="D649" s="49"/>
      <c r="E649" s="49"/>
      <c r="F649" s="49"/>
      <c r="G649" s="49"/>
      <c r="H649" s="49"/>
      <c r="I649" s="49"/>
      <c r="J649" s="49"/>
      <c r="K649" s="49"/>
      <c r="L649" s="49"/>
    </row>
    <row r="650">
      <c r="A650" s="63"/>
      <c r="B650" s="49"/>
      <c r="C650" s="49"/>
      <c r="D650" s="49"/>
      <c r="E650" s="49"/>
      <c r="F650" s="49"/>
      <c r="G650" s="49"/>
      <c r="H650" s="49"/>
      <c r="I650" s="49"/>
      <c r="J650" s="49"/>
      <c r="K650" s="49"/>
      <c r="L650" s="49"/>
    </row>
    <row r="651">
      <c r="A651" s="63"/>
      <c r="B651" s="49"/>
      <c r="C651" s="49"/>
      <c r="D651" s="49"/>
      <c r="E651" s="49"/>
      <c r="F651" s="49"/>
      <c r="G651" s="49"/>
      <c r="H651" s="49"/>
      <c r="I651" s="49"/>
      <c r="J651" s="49"/>
      <c r="K651" s="49"/>
      <c r="L651" s="49"/>
    </row>
    <row r="652">
      <c r="A652" s="63"/>
      <c r="B652" s="49"/>
      <c r="C652" s="49"/>
      <c r="D652" s="49"/>
      <c r="E652" s="49"/>
      <c r="F652" s="49"/>
      <c r="G652" s="49"/>
      <c r="H652" s="49"/>
      <c r="I652" s="49"/>
      <c r="J652" s="49"/>
      <c r="K652" s="49"/>
      <c r="L652" s="49"/>
    </row>
    <row r="653">
      <c r="A653" s="63"/>
      <c r="B653" s="49"/>
      <c r="C653" s="49"/>
      <c r="D653" s="49"/>
      <c r="E653" s="49"/>
      <c r="F653" s="49"/>
      <c r="G653" s="49"/>
      <c r="H653" s="49"/>
      <c r="I653" s="49"/>
      <c r="J653" s="49"/>
      <c r="K653" s="49"/>
      <c r="L653" s="49"/>
    </row>
    <row r="654">
      <c r="A654" s="63"/>
      <c r="B654" s="49"/>
      <c r="C654" s="49"/>
      <c r="D654" s="49"/>
      <c r="E654" s="49"/>
      <c r="F654" s="49"/>
      <c r="G654" s="49"/>
      <c r="H654" s="49"/>
      <c r="I654" s="49"/>
      <c r="J654" s="49"/>
      <c r="K654" s="49"/>
      <c r="L654" s="49"/>
    </row>
    <row r="655">
      <c r="A655" s="63"/>
      <c r="B655" s="49"/>
      <c r="C655" s="49"/>
      <c r="D655" s="49"/>
      <c r="E655" s="49"/>
      <c r="F655" s="49"/>
      <c r="G655" s="49"/>
      <c r="H655" s="49"/>
      <c r="I655" s="49"/>
      <c r="J655" s="49"/>
      <c r="K655" s="49"/>
      <c r="L655" s="49"/>
    </row>
    <row r="656">
      <c r="A656" s="63"/>
      <c r="B656" s="49"/>
      <c r="C656" s="49"/>
      <c r="D656" s="49"/>
      <c r="E656" s="49"/>
      <c r="F656" s="49"/>
      <c r="G656" s="49"/>
      <c r="H656" s="49"/>
      <c r="I656" s="49"/>
      <c r="J656" s="49"/>
      <c r="K656" s="49"/>
      <c r="L656" s="49"/>
    </row>
    <row r="657">
      <c r="A657" s="63"/>
      <c r="B657" s="49"/>
      <c r="C657" s="49"/>
      <c r="D657" s="49"/>
      <c r="E657" s="49"/>
      <c r="F657" s="49"/>
      <c r="G657" s="49"/>
      <c r="H657" s="49"/>
      <c r="I657" s="49"/>
      <c r="J657" s="49"/>
      <c r="K657" s="49"/>
      <c r="L657" s="49"/>
    </row>
    <row r="658">
      <c r="A658" s="63"/>
      <c r="B658" s="49"/>
      <c r="C658" s="49"/>
      <c r="D658" s="49"/>
      <c r="E658" s="49"/>
      <c r="F658" s="49"/>
      <c r="G658" s="49"/>
      <c r="H658" s="49"/>
      <c r="I658" s="49"/>
      <c r="J658" s="49"/>
      <c r="K658" s="49"/>
      <c r="L658" s="49"/>
    </row>
    <row r="659">
      <c r="A659" s="63"/>
      <c r="B659" s="49"/>
      <c r="C659" s="49"/>
      <c r="D659" s="49"/>
      <c r="E659" s="49"/>
      <c r="F659" s="49"/>
      <c r="G659" s="49"/>
      <c r="H659" s="49"/>
      <c r="I659" s="49"/>
      <c r="J659" s="49"/>
      <c r="K659" s="49"/>
      <c r="L659" s="49"/>
    </row>
    <row r="660">
      <c r="A660" s="63"/>
      <c r="B660" s="49"/>
      <c r="C660" s="49"/>
      <c r="D660" s="49"/>
      <c r="E660" s="49"/>
      <c r="F660" s="49"/>
      <c r="G660" s="49"/>
      <c r="H660" s="49"/>
      <c r="I660" s="49"/>
      <c r="J660" s="49"/>
      <c r="K660" s="49"/>
      <c r="L660" s="49"/>
    </row>
    <row r="661">
      <c r="A661" s="63"/>
      <c r="B661" s="49"/>
      <c r="C661" s="49"/>
      <c r="D661" s="49"/>
      <c r="E661" s="49"/>
      <c r="F661" s="49"/>
      <c r="G661" s="49"/>
      <c r="H661" s="49"/>
      <c r="I661" s="49"/>
      <c r="J661" s="49"/>
      <c r="K661" s="49"/>
      <c r="L661" s="49"/>
    </row>
    <row r="662">
      <c r="A662" s="63"/>
      <c r="B662" s="49"/>
      <c r="C662" s="49"/>
      <c r="D662" s="49"/>
      <c r="E662" s="49"/>
      <c r="F662" s="49"/>
      <c r="G662" s="49"/>
      <c r="H662" s="49"/>
      <c r="I662" s="49"/>
      <c r="J662" s="49"/>
      <c r="K662" s="49"/>
      <c r="L662" s="49"/>
    </row>
    <row r="663">
      <c r="A663" s="63"/>
      <c r="B663" s="49"/>
      <c r="C663" s="49"/>
      <c r="D663" s="49"/>
      <c r="E663" s="49"/>
      <c r="F663" s="49"/>
      <c r="G663" s="49"/>
      <c r="H663" s="49"/>
      <c r="I663" s="49"/>
      <c r="J663" s="49"/>
      <c r="K663" s="49"/>
      <c r="L663" s="49"/>
    </row>
    <row r="664">
      <c r="A664" s="63"/>
      <c r="B664" s="49"/>
      <c r="C664" s="49"/>
      <c r="D664" s="49"/>
      <c r="E664" s="49"/>
      <c r="F664" s="49"/>
      <c r="G664" s="49"/>
      <c r="H664" s="49"/>
      <c r="I664" s="49"/>
      <c r="J664" s="49"/>
      <c r="K664" s="49"/>
      <c r="L664" s="49"/>
    </row>
    <row r="665">
      <c r="A665" s="63"/>
      <c r="B665" s="49"/>
      <c r="C665" s="49"/>
      <c r="D665" s="49"/>
      <c r="E665" s="49"/>
      <c r="F665" s="49"/>
      <c r="G665" s="49"/>
      <c r="H665" s="49"/>
      <c r="I665" s="49"/>
      <c r="J665" s="49"/>
      <c r="K665" s="49"/>
      <c r="L665" s="49"/>
    </row>
    <row r="666">
      <c r="A666" s="63"/>
      <c r="B666" s="49"/>
      <c r="C666" s="49"/>
      <c r="D666" s="49"/>
      <c r="E666" s="49"/>
      <c r="F666" s="49"/>
      <c r="G666" s="49"/>
      <c r="H666" s="49"/>
      <c r="I666" s="49"/>
      <c r="J666" s="49"/>
      <c r="K666" s="49"/>
      <c r="L666" s="49"/>
    </row>
    <row r="667">
      <c r="A667" s="63"/>
      <c r="B667" s="49"/>
      <c r="C667" s="49"/>
      <c r="D667" s="49"/>
      <c r="E667" s="49"/>
      <c r="F667" s="49"/>
      <c r="G667" s="49"/>
      <c r="H667" s="49"/>
      <c r="I667" s="49"/>
      <c r="J667" s="49"/>
      <c r="K667" s="49"/>
      <c r="L667" s="49"/>
    </row>
    <row r="668">
      <c r="A668" s="63"/>
      <c r="B668" s="49"/>
      <c r="C668" s="49"/>
      <c r="D668" s="49"/>
      <c r="E668" s="49"/>
      <c r="F668" s="49"/>
      <c r="G668" s="49"/>
      <c r="H668" s="49"/>
      <c r="I668" s="49"/>
      <c r="J668" s="49"/>
      <c r="K668" s="49"/>
      <c r="L668" s="49"/>
    </row>
    <row r="669">
      <c r="A669" s="63"/>
      <c r="B669" s="49"/>
      <c r="C669" s="49"/>
      <c r="D669" s="49"/>
      <c r="E669" s="49"/>
      <c r="F669" s="49"/>
      <c r="G669" s="49"/>
      <c r="H669" s="49"/>
      <c r="I669" s="49"/>
      <c r="J669" s="49"/>
      <c r="K669" s="49"/>
      <c r="L669" s="49"/>
    </row>
    <row r="670">
      <c r="A670" s="63"/>
      <c r="B670" s="49"/>
      <c r="C670" s="49"/>
      <c r="D670" s="49"/>
      <c r="E670" s="49"/>
      <c r="F670" s="49"/>
      <c r="G670" s="49"/>
      <c r="H670" s="49"/>
      <c r="I670" s="49"/>
      <c r="J670" s="49"/>
      <c r="K670" s="49"/>
      <c r="L670" s="49"/>
    </row>
    <row r="671">
      <c r="A671" s="63"/>
      <c r="B671" s="49"/>
      <c r="C671" s="49"/>
      <c r="D671" s="49"/>
      <c r="E671" s="49"/>
      <c r="F671" s="49"/>
      <c r="G671" s="49"/>
      <c r="H671" s="49"/>
      <c r="I671" s="49"/>
      <c r="J671" s="49"/>
      <c r="K671" s="49"/>
      <c r="L671" s="49"/>
    </row>
    <row r="672">
      <c r="A672" s="63"/>
      <c r="B672" s="49"/>
      <c r="C672" s="49"/>
      <c r="D672" s="49"/>
      <c r="E672" s="49"/>
      <c r="F672" s="49"/>
      <c r="G672" s="49"/>
      <c r="H672" s="49"/>
      <c r="I672" s="49"/>
      <c r="J672" s="49"/>
      <c r="K672" s="49"/>
      <c r="L672" s="49"/>
    </row>
    <row r="673">
      <c r="A673" s="63"/>
      <c r="B673" s="49"/>
      <c r="C673" s="49"/>
      <c r="D673" s="49"/>
      <c r="E673" s="49"/>
      <c r="F673" s="49"/>
      <c r="G673" s="49"/>
      <c r="H673" s="49"/>
      <c r="I673" s="49"/>
      <c r="J673" s="49"/>
      <c r="K673" s="49"/>
      <c r="L673" s="49"/>
    </row>
    <row r="674">
      <c r="A674" s="63"/>
      <c r="B674" s="49"/>
      <c r="C674" s="49"/>
      <c r="D674" s="49"/>
      <c r="E674" s="49"/>
      <c r="F674" s="49"/>
      <c r="G674" s="49"/>
      <c r="H674" s="49"/>
      <c r="I674" s="49"/>
      <c r="J674" s="49"/>
      <c r="K674" s="49"/>
      <c r="L674" s="49"/>
    </row>
    <row r="675">
      <c r="A675" s="63"/>
      <c r="B675" s="49"/>
      <c r="C675" s="49"/>
      <c r="D675" s="49"/>
      <c r="E675" s="49"/>
      <c r="F675" s="49"/>
      <c r="G675" s="49"/>
      <c r="H675" s="49"/>
      <c r="I675" s="49"/>
      <c r="J675" s="49"/>
      <c r="K675" s="49"/>
      <c r="L675" s="49"/>
    </row>
    <row r="676">
      <c r="A676" s="63"/>
      <c r="B676" s="49"/>
      <c r="C676" s="49"/>
      <c r="D676" s="49"/>
      <c r="E676" s="49"/>
      <c r="F676" s="49"/>
      <c r="G676" s="49"/>
      <c r="H676" s="49"/>
      <c r="I676" s="49"/>
      <c r="J676" s="49"/>
      <c r="K676" s="49"/>
      <c r="L676" s="49"/>
    </row>
    <row r="677">
      <c r="A677" s="63"/>
      <c r="B677" s="49"/>
      <c r="C677" s="49"/>
      <c r="D677" s="49"/>
      <c r="E677" s="49"/>
      <c r="F677" s="49"/>
      <c r="G677" s="49"/>
      <c r="H677" s="49"/>
      <c r="I677" s="49"/>
      <c r="J677" s="49"/>
      <c r="K677" s="49"/>
      <c r="L677" s="49"/>
    </row>
    <row r="678">
      <c r="A678" s="63"/>
      <c r="B678" s="49"/>
      <c r="C678" s="49"/>
      <c r="D678" s="49"/>
      <c r="E678" s="49"/>
      <c r="F678" s="49"/>
      <c r="G678" s="49"/>
      <c r="H678" s="49"/>
      <c r="I678" s="49"/>
      <c r="J678" s="49"/>
      <c r="K678" s="49"/>
      <c r="L678" s="49"/>
    </row>
    <row r="679">
      <c r="A679" s="63"/>
      <c r="B679" s="49"/>
      <c r="C679" s="49"/>
      <c r="D679" s="49"/>
      <c r="E679" s="49"/>
      <c r="F679" s="49"/>
      <c r="G679" s="49"/>
      <c r="H679" s="49"/>
      <c r="I679" s="49"/>
      <c r="J679" s="49"/>
      <c r="K679" s="49"/>
      <c r="L679" s="49"/>
    </row>
    <row r="680">
      <c r="A680" s="63"/>
      <c r="B680" s="49"/>
      <c r="C680" s="49"/>
      <c r="D680" s="49"/>
      <c r="E680" s="49"/>
      <c r="F680" s="49"/>
      <c r="G680" s="49"/>
      <c r="H680" s="49"/>
      <c r="I680" s="49"/>
      <c r="J680" s="49"/>
      <c r="K680" s="49"/>
      <c r="L680" s="49"/>
    </row>
    <row r="681">
      <c r="A681" s="63"/>
      <c r="B681" s="49"/>
      <c r="C681" s="49"/>
      <c r="D681" s="49"/>
      <c r="E681" s="49"/>
      <c r="F681" s="49"/>
      <c r="G681" s="49"/>
      <c r="H681" s="49"/>
      <c r="I681" s="49"/>
      <c r="J681" s="49"/>
      <c r="K681" s="49"/>
      <c r="L681" s="49"/>
    </row>
    <row r="682">
      <c r="A682" s="63"/>
      <c r="B682" s="49"/>
      <c r="C682" s="49"/>
      <c r="D682" s="49"/>
      <c r="E682" s="49"/>
      <c r="F682" s="49"/>
      <c r="G682" s="49"/>
      <c r="H682" s="49"/>
      <c r="I682" s="49"/>
      <c r="J682" s="49"/>
      <c r="K682" s="49"/>
      <c r="L682" s="49"/>
    </row>
    <row r="683">
      <c r="A683" s="63"/>
      <c r="B683" s="49"/>
      <c r="C683" s="49"/>
      <c r="D683" s="49"/>
      <c r="E683" s="49"/>
      <c r="F683" s="49"/>
      <c r="G683" s="49"/>
      <c r="H683" s="49"/>
      <c r="I683" s="49"/>
      <c r="J683" s="49"/>
      <c r="K683" s="49"/>
      <c r="L683" s="49"/>
    </row>
    <row r="684">
      <c r="A684" s="63"/>
      <c r="B684" s="49"/>
      <c r="C684" s="49"/>
      <c r="D684" s="49"/>
      <c r="E684" s="49"/>
      <c r="F684" s="49"/>
      <c r="G684" s="49"/>
      <c r="H684" s="49"/>
      <c r="I684" s="49"/>
      <c r="J684" s="49"/>
      <c r="K684" s="49"/>
      <c r="L684" s="49"/>
    </row>
    <row r="685">
      <c r="A685" s="63"/>
      <c r="B685" s="49"/>
      <c r="C685" s="49"/>
      <c r="D685" s="49"/>
      <c r="E685" s="49"/>
      <c r="F685" s="49"/>
      <c r="G685" s="49"/>
      <c r="H685" s="49"/>
      <c r="I685" s="49"/>
      <c r="J685" s="49"/>
      <c r="K685" s="49"/>
      <c r="L685" s="49"/>
    </row>
    <row r="686">
      <c r="A686" s="63"/>
      <c r="B686" s="49"/>
      <c r="C686" s="49"/>
      <c r="D686" s="49"/>
      <c r="E686" s="49"/>
      <c r="F686" s="49"/>
      <c r="G686" s="49"/>
      <c r="H686" s="49"/>
      <c r="I686" s="49"/>
      <c r="J686" s="49"/>
      <c r="K686" s="49"/>
      <c r="L686" s="49"/>
    </row>
    <row r="687">
      <c r="A687" s="63"/>
      <c r="B687" s="49"/>
      <c r="C687" s="49"/>
      <c r="D687" s="49"/>
      <c r="E687" s="49"/>
      <c r="F687" s="49"/>
      <c r="G687" s="49"/>
      <c r="H687" s="49"/>
      <c r="I687" s="49"/>
      <c r="J687" s="49"/>
      <c r="K687" s="49"/>
      <c r="L687" s="49"/>
    </row>
    <row r="688">
      <c r="A688" s="63"/>
      <c r="B688" s="49"/>
      <c r="C688" s="49"/>
      <c r="D688" s="49"/>
      <c r="E688" s="49"/>
      <c r="F688" s="49"/>
      <c r="G688" s="49"/>
      <c r="H688" s="49"/>
      <c r="I688" s="49"/>
      <c r="J688" s="49"/>
      <c r="K688" s="49"/>
      <c r="L688" s="49"/>
    </row>
    <row r="689">
      <c r="A689" s="63"/>
      <c r="B689" s="49"/>
      <c r="C689" s="49"/>
      <c r="D689" s="49"/>
      <c r="E689" s="49"/>
      <c r="F689" s="49"/>
      <c r="G689" s="49"/>
      <c r="H689" s="49"/>
      <c r="I689" s="49"/>
      <c r="J689" s="49"/>
      <c r="K689" s="49"/>
      <c r="L689" s="49"/>
    </row>
    <row r="690">
      <c r="A690" s="63"/>
      <c r="B690" s="49"/>
      <c r="C690" s="49"/>
      <c r="D690" s="49"/>
      <c r="E690" s="49"/>
      <c r="F690" s="49"/>
      <c r="G690" s="49"/>
      <c r="H690" s="49"/>
      <c r="I690" s="49"/>
      <c r="J690" s="49"/>
      <c r="K690" s="49"/>
      <c r="L690" s="49"/>
    </row>
    <row r="691">
      <c r="A691" s="63"/>
      <c r="B691" s="49"/>
      <c r="C691" s="49"/>
      <c r="D691" s="49"/>
      <c r="E691" s="49"/>
      <c r="F691" s="49"/>
      <c r="G691" s="49"/>
      <c r="H691" s="49"/>
      <c r="I691" s="49"/>
      <c r="J691" s="49"/>
      <c r="K691" s="49"/>
      <c r="L691" s="49"/>
    </row>
    <row r="692">
      <c r="A692" s="63"/>
      <c r="B692" s="49"/>
      <c r="C692" s="49"/>
      <c r="D692" s="49"/>
      <c r="E692" s="49"/>
      <c r="F692" s="49"/>
      <c r="G692" s="49"/>
      <c r="H692" s="49"/>
      <c r="I692" s="49"/>
      <c r="J692" s="49"/>
      <c r="K692" s="49"/>
      <c r="L692" s="49"/>
    </row>
    <row r="693">
      <c r="A693" s="63"/>
      <c r="B693" s="49"/>
      <c r="C693" s="49"/>
      <c r="D693" s="49"/>
      <c r="E693" s="49"/>
      <c r="F693" s="49"/>
      <c r="G693" s="49"/>
      <c r="H693" s="49"/>
      <c r="I693" s="49"/>
      <c r="J693" s="49"/>
      <c r="K693" s="49"/>
      <c r="L693" s="49"/>
    </row>
    <row r="694">
      <c r="A694" s="63"/>
      <c r="B694" s="49"/>
      <c r="C694" s="49"/>
      <c r="D694" s="49"/>
      <c r="E694" s="49"/>
      <c r="F694" s="49"/>
      <c r="G694" s="49"/>
      <c r="H694" s="49"/>
      <c r="I694" s="49"/>
      <c r="J694" s="49"/>
      <c r="K694" s="49"/>
      <c r="L694" s="49"/>
    </row>
    <row r="695">
      <c r="A695" s="63"/>
      <c r="B695" s="49"/>
      <c r="C695" s="49"/>
      <c r="D695" s="49"/>
      <c r="E695" s="49"/>
      <c r="F695" s="49"/>
      <c r="G695" s="49"/>
      <c r="H695" s="49"/>
      <c r="I695" s="49"/>
      <c r="J695" s="49"/>
      <c r="K695" s="49"/>
      <c r="L695" s="49"/>
    </row>
    <row r="696">
      <c r="A696" s="63"/>
      <c r="B696" s="49"/>
      <c r="C696" s="49"/>
      <c r="D696" s="49"/>
      <c r="E696" s="49"/>
      <c r="F696" s="49"/>
      <c r="G696" s="49"/>
      <c r="H696" s="49"/>
      <c r="I696" s="49"/>
      <c r="J696" s="49"/>
      <c r="K696" s="49"/>
      <c r="L696" s="49"/>
    </row>
    <row r="697">
      <c r="A697" s="63"/>
      <c r="B697" s="49"/>
      <c r="C697" s="49"/>
      <c r="D697" s="49"/>
      <c r="E697" s="49"/>
      <c r="F697" s="49"/>
      <c r="G697" s="49"/>
      <c r="H697" s="49"/>
      <c r="I697" s="49"/>
      <c r="J697" s="49"/>
      <c r="K697" s="49"/>
      <c r="L697" s="49"/>
    </row>
    <row r="698">
      <c r="A698" s="63"/>
      <c r="B698" s="49"/>
      <c r="C698" s="49"/>
      <c r="D698" s="49"/>
      <c r="E698" s="49"/>
      <c r="F698" s="49"/>
      <c r="G698" s="49"/>
      <c r="H698" s="49"/>
      <c r="I698" s="49"/>
      <c r="J698" s="49"/>
      <c r="K698" s="49"/>
      <c r="L698" s="49"/>
    </row>
    <row r="699">
      <c r="A699" s="63"/>
      <c r="B699" s="49"/>
      <c r="C699" s="49"/>
      <c r="D699" s="49"/>
      <c r="E699" s="49"/>
      <c r="F699" s="49"/>
      <c r="G699" s="49"/>
      <c r="H699" s="49"/>
      <c r="I699" s="49"/>
      <c r="J699" s="49"/>
      <c r="K699" s="49"/>
      <c r="L699" s="49"/>
    </row>
    <row r="700">
      <c r="A700" s="63"/>
      <c r="B700" s="49"/>
      <c r="C700" s="49"/>
      <c r="D700" s="49"/>
      <c r="E700" s="49"/>
      <c r="F700" s="49"/>
      <c r="G700" s="49"/>
      <c r="H700" s="49"/>
      <c r="I700" s="49"/>
      <c r="J700" s="49"/>
      <c r="K700" s="49"/>
      <c r="L700" s="49"/>
    </row>
    <row r="701">
      <c r="A701" s="63"/>
      <c r="B701" s="49"/>
      <c r="C701" s="49"/>
      <c r="D701" s="49"/>
      <c r="E701" s="49"/>
      <c r="F701" s="49"/>
      <c r="G701" s="49"/>
      <c r="H701" s="49"/>
      <c r="I701" s="49"/>
      <c r="J701" s="49"/>
      <c r="K701" s="49"/>
      <c r="L701" s="49"/>
    </row>
    <row r="702">
      <c r="A702" s="63"/>
      <c r="B702" s="49"/>
      <c r="C702" s="49"/>
      <c r="D702" s="49"/>
      <c r="E702" s="49"/>
      <c r="F702" s="49"/>
      <c r="G702" s="49"/>
      <c r="H702" s="49"/>
      <c r="I702" s="49"/>
      <c r="J702" s="49"/>
      <c r="K702" s="49"/>
      <c r="L702" s="49"/>
    </row>
    <row r="703">
      <c r="A703" s="63"/>
      <c r="B703" s="49"/>
      <c r="C703" s="49"/>
      <c r="D703" s="49"/>
      <c r="E703" s="49"/>
      <c r="F703" s="49"/>
      <c r="G703" s="49"/>
      <c r="H703" s="49"/>
      <c r="I703" s="49"/>
      <c r="J703" s="49"/>
      <c r="K703" s="49"/>
      <c r="L703" s="49"/>
    </row>
    <row r="704">
      <c r="A704" s="63"/>
      <c r="B704" s="49"/>
      <c r="C704" s="49"/>
      <c r="D704" s="49"/>
      <c r="E704" s="49"/>
      <c r="F704" s="49"/>
      <c r="G704" s="49"/>
      <c r="H704" s="49"/>
      <c r="I704" s="49"/>
      <c r="J704" s="49"/>
      <c r="K704" s="49"/>
      <c r="L704" s="49"/>
    </row>
    <row r="705">
      <c r="A705" s="63"/>
      <c r="B705" s="49"/>
      <c r="C705" s="49"/>
      <c r="D705" s="49"/>
      <c r="E705" s="49"/>
      <c r="F705" s="49"/>
      <c r="G705" s="49"/>
      <c r="H705" s="49"/>
      <c r="I705" s="49"/>
      <c r="J705" s="49"/>
      <c r="K705" s="49"/>
      <c r="L705" s="49"/>
    </row>
    <row r="706">
      <c r="A706" s="63"/>
      <c r="B706" s="49"/>
      <c r="C706" s="49"/>
      <c r="D706" s="49"/>
      <c r="E706" s="49"/>
      <c r="F706" s="49"/>
      <c r="G706" s="49"/>
      <c r="H706" s="49"/>
      <c r="I706" s="49"/>
      <c r="J706" s="49"/>
      <c r="K706" s="49"/>
      <c r="L706" s="49"/>
    </row>
    <row r="707">
      <c r="A707" s="63"/>
      <c r="B707" s="49"/>
      <c r="C707" s="49"/>
      <c r="D707" s="49"/>
      <c r="E707" s="49"/>
      <c r="F707" s="49"/>
      <c r="G707" s="49"/>
      <c r="H707" s="49"/>
      <c r="I707" s="49"/>
      <c r="J707" s="49"/>
      <c r="K707" s="49"/>
      <c r="L707" s="49"/>
    </row>
    <row r="708">
      <c r="A708" s="63"/>
      <c r="B708" s="49"/>
      <c r="C708" s="49"/>
      <c r="D708" s="49"/>
      <c r="E708" s="49"/>
      <c r="F708" s="49"/>
      <c r="G708" s="49"/>
      <c r="H708" s="49"/>
      <c r="I708" s="49"/>
      <c r="J708" s="49"/>
      <c r="K708" s="49"/>
      <c r="L708" s="49"/>
    </row>
    <row r="709">
      <c r="A709" s="63"/>
      <c r="B709" s="49"/>
      <c r="C709" s="49"/>
      <c r="D709" s="49"/>
      <c r="E709" s="49"/>
      <c r="F709" s="49"/>
      <c r="G709" s="49"/>
      <c r="H709" s="49"/>
      <c r="I709" s="49"/>
      <c r="J709" s="49"/>
      <c r="K709" s="49"/>
      <c r="L709" s="49"/>
    </row>
    <row r="710">
      <c r="A710" s="63"/>
      <c r="B710" s="49"/>
      <c r="C710" s="49"/>
      <c r="D710" s="49"/>
      <c r="E710" s="49"/>
      <c r="F710" s="49"/>
      <c r="G710" s="49"/>
      <c r="H710" s="49"/>
      <c r="I710" s="49"/>
      <c r="J710" s="49"/>
      <c r="K710" s="49"/>
      <c r="L710" s="49"/>
    </row>
    <row r="711">
      <c r="A711" s="63"/>
      <c r="B711" s="49"/>
      <c r="C711" s="49"/>
      <c r="D711" s="49"/>
      <c r="E711" s="49"/>
      <c r="F711" s="49"/>
      <c r="G711" s="49"/>
      <c r="H711" s="49"/>
      <c r="I711" s="49"/>
      <c r="J711" s="49"/>
      <c r="K711" s="49"/>
      <c r="L711" s="49"/>
    </row>
    <row r="712">
      <c r="A712" s="63"/>
      <c r="B712" s="49"/>
      <c r="C712" s="49"/>
      <c r="D712" s="49"/>
      <c r="E712" s="49"/>
      <c r="F712" s="49"/>
      <c r="G712" s="49"/>
      <c r="H712" s="49"/>
      <c r="I712" s="49"/>
      <c r="J712" s="49"/>
      <c r="K712" s="49"/>
      <c r="L712" s="49"/>
    </row>
    <row r="713">
      <c r="A713" s="63"/>
      <c r="B713" s="49"/>
      <c r="C713" s="49"/>
      <c r="D713" s="49"/>
      <c r="E713" s="49"/>
      <c r="F713" s="49"/>
      <c r="G713" s="49"/>
      <c r="H713" s="49"/>
      <c r="I713" s="49"/>
      <c r="J713" s="49"/>
      <c r="K713" s="49"/>
      <c r="L713" s="49"/>
    </row>
    <row r="714">
      <c r="A714" s="63"/>
      <c r="B714" s="49"/>
      <c r="C714" s="49"/>
      <c r="D714" s="49"/>
      <c r="E714" s="49"/>
      <c r="F714" s="49"/>
      <c r="G714" s="49"/>
      <c r="H714" s="49"/>
      <c r="I714" s="49"/>
      <c r="J714" s="49"/>
      <c r="K714" s="49"/>
      <c r="L714" s="49"/>
    </row>
    <row r="715">
      <c r="A715" s="63"/>
      <c r="B715" s="49"/>
      <c r="C715" s="49"/>
      <c r="D715" s="49"/>
      <c r="E715" s="49"/>
      <c r="F715" s="49"/>
      <c r="G715" s="49"/>
      <c r="H715" s="49"/>
      <c r="I715" s="49"/>
      <c r="J715" s="49"/>
      <c r="K715" s="49"/>
      <c r="L715" s="49"/>
    </row>
    <row r="716">
      <c r="A716" s="63"/>
      <c r="B716" s="49"/>
      <c r="C716" s="49"/>
      <c r="D716" s="49"/>
      <c r="E716" s="49"/>
      <c r="F716" s="49"/>
      <c r="G716" s="49"/>
      <c r="H716" s="49"/>
      <c r="I716" s="49"/>
      <c r="J716" s="49"/>
      <c r="K716" s="49"/>
      <c r="L716" s="49"/>
    </row>
    <row r="717">
      <c r="A717" s="63"/>
      <c r="B717" s="49"/>
      <c r="C717" s="49"/>
      <c r="D717" s="49"/>
      <c r="E717" s="49"/>
      <c r="F717" s="49"/>
      <c r="G717" s="49"/>
      <c r="H717" s="49"/>
      <c r="I717" s="49"/>
      <c r="J717" s="49"/>
      <c r="K717" s="49"/>
      <c r="L717" s="49"/>
    </row>
    <row r="718">
      <c r="A718" s="63"/>
      <c r="B718" s="49"/>
      <c r="C718" s="49"/>
      <c r="D718" s="49"/>
      <c r="E718" s="49"/>
      <c r="F718" s="49"/>
      <c r="G718" s="49"/>
      <c r="H718" s="49"/>
      <c r="I718" s="49"/>
      <c r="J718" s="49"/>
      <c r="K718" s="49"/>
      <c r="L718" s="49"/>
    </row>
    <row r="719">
      <c r="A719" s="63"/>
      <c r="B719" s="49"/>
      <c r="C719" s="49"/>
      <c r="D719" s="49"/>
      <c r="E719" s="49"/>
      <c r="F719" s="49"/>
      <c r="G719" s="49"/>
      <c r="H719" s="49"/>
      <c r="I719" s="49"/>
      <c r="J719" s="49"/>
      <c r="K719" s="49"/>
      <c r="L719" s="49"/>
    </row>
    <row r="720">
      <c r="A720" s="63"/>
      <c r="B720" s="49"/>
      <c r="C720" s="49"/>
      <c r="D720" s="49"/>
      <c r="E720" s="49"/>
      <c r="F720" s="49"/>
      <c r="G720" s="49"/>
      <c r="H720" s="49"/>
      <c r="I720" s="49"/>
      <c r="J720" s="49"/>
      <c r="K720" s="49"/>
      <c r="L720" s="49"/>
    </row>
    <row r="721">
      <c r="A721" s="63"/>
      <c r="B721" s="49"/>
      <c r="C721" s="49"/>
      <c r="D721" s="49"/>
      <c r="E721" s="49"/>
      <c r="F721" s="49"/>
      <c r="G721" s="49"/>
      <c r="H721" s="49"/>
      <c r="I721" s="49"/>
      <c r="J721" s="49"/>
      <c r="K721" s="49"/>
      <c r="L721" s="49"/>
    </row>
    <row r="722">
      <c r="A722" s="63"/>
      <c r="B722" s="49"/>
      <c r="C722" s="49"/>
      <c r="D722" s="49"/>
      <c r="E722" s="49"/>
      <c r="F722" s="49"/>
      <c r="G722" s="49"/>
      <c r="H722" s="49"/>
      <c r="I722" s="49"/>
      <c r="J722" s="49"/>
      <c r="K722" s="49"/>
      <c r="L722" s="49"/>
    </row>
    <row r="723">
      <c r="A723" s="63"/>
      <c r="B723" s="49"/>
      <c r="C723" s="49"/>
      <c r="D723" s="49"/>
      <c r="E723" s="49"/>
      <c r="F723" s="49"/>
      <c r="G723" s="49"/>
      <c r="H723" s="49"/>
      <c r="I723" s="49"/>
      <c r="J723" s="49"/>
      <c r="K723" s="49"/>
      <c r="L723" s="49"/>
    </row>
    <row r="724">
      <c r="A724" s="63"/>
      <c r="B724" s="49"/>
      <c r="C724" s="49"/>
      <c r="D724" s="49"/>
      <c r="E724" s="49"/>
      <c r="F724" s="49"/>
      <c r="G724" s="49"/>
      <c r="H724" s="49"/>
      <c r="I724" s="49"/>
      <c r="J724" s="49"/>
      <c r="K724" s="49"/>
      <c r="L724" s="49"/>
    </row>
    <row r="725">
      <c r="A725" s="63"/>
      <c r="B725" s="49"/>
      <c r="C725" s="49"/>
      <c r="D725" s="49"/>
      <c r="E725" s="49"/>
      <c r="F725" s="49"/>
      <c r="G725" s="49"/>
      <c r="H725" s="49"/>
      <c r="I725" s="49"/>
      <c r="J725" s="49"/>
      <c r="K725" s="49"/>
      <c r="L725" s="49"/>
    </row>
    <row r="726">
      <c r="A726" s="63"/>
      <c r="B726" s="49"/>
      <c r="C726" s="49"/>
      <c r="D726" s="49"/>
      <c r="E726" s="49"/>
      <c r="F726" s="49"/>
      <c r="G726" s="49"/>
      <c r="H726" s="49"/>
      <c r="I726" s="49"/>
      <c r="J726" s="49"/>
      <c r="K726" s="49"/>
      <c r="L726" s="49"/>
    </row>
    <row r="727">
      <c r="A727" s="63"/>
      <c r="B727" s="49"/>
      <c r="C727" s="49"/>
      <c r="D727" s="49"/>
      <c r="E727" s="49"/>
      <c r="F727" s="49"/>
      <c r="G727" s="49"/>
      <c r="H727" s="49"/>
      <c r="I727" s="49"/>
      <c r="J727" s="49"/>
      <c r="K727" s="49"/>
      <c r="L727" s="49"/>
    </row>
    <row r="728">
      <c r="A728" s="63"/>
      <c r="B728" s="49"/>
      <c r="C728" s="49"/>
      <c r="D728" s="49"/>
      <c r="E728" s="49"/>
      <c r="F728" s="49"/>
      <c r="G728" s="49"/>
      <c r="H728" s="49"/>
      <c r="I728" s="49"/>
      <c r="J728" s="49"/>
      <c r="K728" s="49"/>
      <c r="L728" s="49"/>
    </row>
    <row r="729">
      <c r="A729" s="63"/>
      <c r="B729" s="49"/>
      <c r="C729" s="49"/>
      <c r="D729" s="49"/>
      <c r="E729" s="49"/>
      <c r="F729" s="49"/>
      <c r="G729" s="49"/>
      <c r="H729" s="49"/>
      <c r="I729" s="49"/>
      <c r="J729" s="49"/>
      <c r="K729" s="49"/>
      <c r="L729" s="49"/>
    </row>
    <row r="730">
      <c r="A730" s="63"/>
      <c r="B730" s="49"/>
      <c r="C730" s="49"/>
      <c r="D730" s="49"/>
      <c r="E730" s="49"/>
      <c r="F730" s="49"/>
      <c r="G730" s="49"/>
      <c r="H730" s="49"/>
      <c r="I730" s="49"/>
      <c r="J730" s="49"/>
      <c r="K730" s="49"/>
      <c r="L730" s="49"/>
    </row>
    <row r="731">
      <c r="A731" s="63"/>
      <c r="B731" s="49"/>
      <c r="C731" s="49"/>
      <c r="D731" s="49"/>
      <c r="E731" s="49"/>
      <c r="F731" s="49"/>
      <c r="G731" s="49"/>
      <c r="H731" s="49"/>
      <c r="I731" s="49"/>
      <c r="J731" s="49"/>
      <c r="K731" s="49"/>
      <c r="L731" s="49"/>
    </row>
    <row r="732">
      <c r="A732" s="63"/>
      <c r="B732" s="49"/>
      <c r="C732" s="49"/>
      <c r="D732" s="49"/>
      <c r="E732" s="49"/>
      <c r="F732" s="49"/>
      <c r="G732" s="49"/>
      <c r="H732" s="49"/>
      <c r="I732" s="49"/>
      <c r="J732" s="49"/>
      <c r="K732" s="49"/>
      <c r="L732" s="49"/>
    </row>
    <row r="733">
      <c r="A733" s="63"/>
      <c r="B733" s="49"/>
      <c r="C733" s="49"/>
      <c r="D733" s="49"/>
      <c r="E733" s="49"/>
      <c r="F733" s="49"/>
      <c r="G733" s="49"/>
      <c r="H733" s="49"/>
      <c r="I733" s="49"/>
      <c r="J733" s="49"/>
      <c r="K733" s="49"/>
      <c r="L733" s="49"/>
    </row>
    <row r="734">
      <c r="A734" s="63"/>
      <c r="B734" s="49"/>
      <c r="C734" s="49"/>
      <c r="D734" s="49"/>
      <c r="E734" s="49"/>
      <c r="F734" s="49"/>
      <c r="G734" s="49"/>
      <c r="H734" s="49"/>
      <c r="I734" s="49"/>
      <c r="J734" s="49"/>
      <c r="K734" s="49"/>
      <c r="L734" s="49"/>
    </row>
    <row r="735">
      <c r="A735" s="63"/>
      <c r="B735" s="49"/>
      <c r="C735" s="49"/>
      <c r="D735" s="49"/>
      <c r="E735" s="49"/>
      <c r="F735" s="49"/>
      <c r="G735" s="49"/>
      <c r="H735" s="49"/>
      <c r="I735" s="49"/>
      <c r="J735" s="49"/>
      <c r="K735" s="49"/>
      <c r="L735" s="49"/>
    </row>
    <row r="736">
      <c r="A736" s="63"/>
      <c r="B736" s="49"/>
      <c r="C736" s="49"/>
      <c r="D736" s="49"/>
      <c r="E736" s="49"/>
      <c r="F736" s="49"/>
      <c r="G736" s="49"/>
      <c r="H736" s="49"/>
      <c r="I736" s="49"/>
      <c r="J736" s="49"/>
      <c r="K736" s="49"/>
      <c r="L736" s="49"/>
    </row>
    <row r="737">
      <c r="A737" s="63"/>
      <c r="B737" s="49"/>
      <c r="C737" s="49"/>
      <c r="D737" s="49"/>
      <c r="E737" s="49"/>
      <c r="F737" s="49"/>
      <c r="G737" s="49"/>
      <c r="H737" s="49"/>
      <c r="I737" s="49"/>
      <c r="J737" s="49"/>
      <c r="K737" s="49"/>
      <c r="L737" s="49"/>
    </row>
    <row r="738">
      <c r="A738" s="63"/>
      <c r="B738" s="49"/>
      <c r="C738" s="49"/>
      <c r="D738" s="49"/>
      <c r="E738" s="49"/>
      <c r="F738" s="49"/>
      <c r="G738" s="49"/>
      <c r="H738" s="49"/>
      <c r="I738" s="49"/>
      <c r="J738" s="49"/>
      <c r="K738" s="49"/>
      <c r="L738" s="49"/>
    </row>
    <row r="739">
      <c r="A739" s="63"/>
      <c r="B739" s="49"/>
      <c r="C739" s="49"/>
      <c r="D739" s="49"/>
      <c r="E739" s="49"/>
      <c r="F739" s="49"/>
      <c r="G739" s="49"/>
      <c r="H739" s="49"/>
      <c r="I739" s="49"/>
      <c r="J739" s="49"/>
      <c r="K739" s="49"/>
      <c r="L739" s="49"/>
    </row>
    <row r="740">
      <c r="A740" s="63"/>
      <c r="B740" s="49"/>
      <c r="C740" s="49"/>
      <c r="D740" s="49"/>
      <c r="E740" s="49"/>
      <c r="F740" s="49"/>
      <c r="G740" s="49"/>
      <c r="H740" s="49"/>
      <c r="I740" s="49"/>
      <c r="J740" s="49"/>
      <c r="K740" s="49"/>
      <c r="L740" s="49"/>
    </row>
    <row r="741">
      <c r="A741" s="63"/>
      <c r="B741" s="49"/>
      <c r="C741" s="49"/>
      <c r="D741" s="49"/>
      <c r="E741" s="49"/>
      <c r="F741" s="49"/>
      <c r="G741" s="49"/>
      <c r="H741" s="49"/>
      <c r="I741" s="49"/>
      <c r="J741" s="49"/>
      <c r="K741" s="49"/>
      <c r="L741" s="49"/>
    </row>
    <row r="742">
      <c r="A742" s="63"/>
      <c r="B742" s="49"/>
      <c r="C742" s="49"/>
      <c r="D742" s="49"/>
      <c r="E742" s="49"/>
      <c r="F742" s="49"/>
      <c r="G742" s="49"/>
      <c r="H742" s="49"/>
      <c r="I742" s="49"/>
      <c r="J742" s="49"/>
      <c r="K742" s="49"/>
      <c r="L742" s="49"/>
    </row>
    <row r="743">
      <c r="A743" s="63"/>
      <c r="B743" s="49"/>
      <c r="C743" s="49"/>
      <c r="D743" s="49"/>
      <c r="E743" s="49"/>
      <c r="F743" s="49"/>
      <c r="G743" s="49"/>
      <c r="H743" s="49"/>
      <c r="I743" s="49"/>
      <c r="J743" s="49"/>
      <c r="K743" s="49"/>
      <c r="L743" s="49"/>
    </row>
    <row r="744">
      <c r="A744" s="63"/>
      <c r="B744" s="49"/>
      <c r="C744" s="49"/>
      <c r="D744" s="49"/>
      <c r="E744" s="49"/>
      <c r="F744" s="49"/>
      <c r="G744" s="49"/>
      <c r="H744" s="49"/>
      <c r="I744" s="49"/>
      <c r="J744" s="49"/>
      <c r="K744" s="49"/>
      <c r="L744" s="49"/>
    </row>
    <row r="745">
      <c r="A745" s="63"/>
      <c r="B745" s="49"/>
      <c r="C745" s="49"/>
      <c r="D745" s="49"/>
      <c r="E745" s="49"/>
      <c r="F745" s="49"/>
      <c r="G745" s="49"/>
      <c r="H745" s="49"/>
      <c r="I745" s="49"/>
      <c r="J745" s="49"/>
      <c r="K745" s="49"/>
      <c r="L745" s="49"/>
    </row>
    <row r="746">
      <c r="A746" s="63"/>
      <c r="B746" s="49"/>
      <c r="C746" s="49"/>
      <c r="D746" s="49"/>
      <c r="E746" s="49"/>
      <c r="F746" s="49"/>
      <c r="G746" s="49"/>
      <c r="H746" s="49"/>
      <c r="I746" s="49"/>
      <c r="J746" s="49"/>
      <c r="K746" s="49"/>
      <c r="L746" s="49"/>
    </row>
    <row r="747">
      <c r="A747" s="63"/>
      <c r="B747" s="49"/>
      <c r="C747" s="49"/>
      <c r="D747" s="49"/>
      <c r="E747" s="49"/>
      <c r="F747" s="49"/>
      <c r="G747" s="49"/>
      <c r="H747" s="49"/>
      <c r="I747" s="49"/>
      <c r="J747" s="49"/>
      <c r="K747" s="49"/>
      <c r="L747" s="49"/>
    </row>
    <row r="748">
      <c r="A748" s="63"/>
      <c r="B748" s="49"/>
      <c r="C748" s="49"/>
      <c r="D748" s="49"/>
      <c r="E748" s="49"/>
      <c r="F748" s="49"/>
      <c r="G748" s="49"/>
      <c r="H748" s="49"/>
      <c r="I748" s="49"/>
      <c r="J748" s="49"/>
      <c r="K748" s="49"/>
      <c r="L748" s="49"/>
    </row>
    <row r="749">
      <c r="A749" s="63"/>
      <c r="B749" s="49"/>
      <c r="C749" s="49"/>
      <c r="D749" s="49"/>
      <c r="E749" s="49"/>
      <c r="F749" s="49"/>
      <c r="G749" s="49"/>
      <c r="H749" s="49"/>
      <c r="I749" s="49"/>
      <c r="J749" s="49"/>
      <c r="K749" s="49"/>
      <c r="L749" s="49"/>
    </row>
    <row r="750">
      <c r="A750" s="63"/>
      <c r="B750" s="49"/>
      <c r="C750" s="49"/>
      <c r="D750" s="49"/>
      <c r="E750" s="49"/>
      <c r="F750" s="49"/>
      <c r="G750" s="49"/>
      <c r="H750" s="49"/>
      <c r="I750" s="49"/>
      <c r="J750" s="49"/>
      <c r="K750" s="49"/>
      <c r="L750" s="49"/>
    </row>
    <row r="751">
      <c r="A751" s="63"/>
      <c r="B751" s="49"/>
      <c r="C751" s="49"/>
      <c r="D751" s="49"/>
      <c r="E751" s="49"/>
      <c r="F751" s="49"/>
      <c r="G751" s="49"/>
      <c r="H751" s="49"/>
      <c r="I751" s="49"/>
      <c r="J751" s="49"/>
      <c r="K751" s="49"/>
      <c r="L751" s="49"/>
    </row>
    <row r="752">
      <c r="A752" s="63"/>
      <c r="B752" s="49"/>
      <c r="C752" s="49"/>
      <c r="D752" s="49"/>
      <c r="E752" s="49"/>
      <c r="F752" s="49"/>
      <c r="G752" s="49"/>
      <c r="H752" s="49"/>
      <c r="I752" s="49"/>
      <c r="J752" s="49"/>
      <c r="K752" s="49"/>
      <c r="L752" s="49"/>
    </row>
    <row r="753">
      <c r="A753" s="63"/>
      <c r="B753" s="49"/>
      <c r="C753" s="49"/>
      <c r="D753" s="49"/>
      <c r="E753" s="49"/>
      <c r="F753" s="49"/>
      <c r="G753" s="49"/>
      <c r="H753" s="49"/>
      <c r="I753" s="49"/>
      <c r="J753" s="49"/>
      <c r="K753" s="49"/>
      <c r="L753" s="49"/>
    </row>
    <row r="754">
      <c r="A754" s="63"/>
      <c r="B754" s="49"/>
      <c r="C754" s="49"/>
      <c r="D754" s="49"/>
      <c r="E754" s="49"/>
      <c r="F754" s="49"/>
      <c r="G754" s="49"/>
      <c r="H754" s="49"/>
      <c r="I754" s="49"/>
      <c r="J754" s="49"/>
      <c r="K754" s="49"/>
      <c r="L754" s="49"/>
    </row>
    <row r="755">
      <c r="A755" s="63"/>
      <c r="B755" s="49"/>
      <c r="C755" s="49"/>
      <c r="D755" s="49"/>
      <c r="E755" s="49"/>
      <c r="F755" s="49"/>
      <c r="G755" s="49"/>
      <c r="H755" s="49"/>
      <c r="I755" s="49"/>
      <c r="J755" s="49"/>
      <c r="K755" s="49"/>
      <c r="L755" s="49"/>
    </row>
    <row r="756">
      <c r="A756" s="63"/>
      <c r="B756" s="49"/>
      <c r="C756" s="49"/>
      <c r="D756" s="49"/>
      <c r="E756" s="49"/>
      <c r="F756" s="49"/>
      <c r="G756" s="49"/>
      <c r="H756" s="49"/>
      <c r="I756" s="49"/>
      <c r="J756" s="49"/>
      <c r="K756" s="49"/>
      <c r="L756" s="49"/>
    </row>
    <row r="757">
      <c r="A757" s="63"/>
      <c r="B757" s="49"/>
      <c r="C757" s="49"/>
      <c r="D757" s="49"/>
      <c r="E757" s="49"/>
      <c r="F757" s="49"/>
      <c r="G757" s="49"/>
      <c r="H757" s="49"/>
      <c r="I757" s="49"/>
      <c r="J757" s="49"/>
      <c r="K757" s="49"/>
      <c r="L757" s="49"/>
    </row>
    <row r="758">
      <c r="A758" s="63"/>
      <c r="B758" s="49"/>
      <c r="C758" s="49"/>
      <c r="D758" s="49"/>
      <c r="E758" s="49"/>
      <c r="F758" s="49"/>
      <c r="G758" s="49"/>
      <c r="H758" s="49"/>
      <c r="I758" s="49"/>
      <c r="J758" s="49"/>
      <c r="K758" s="49"/>
      <c r="L758" s="49"/>
    </row>
    <row r="759">
      <c r="A759" s="63"/>
      <c r="B759" s="49"/>
      <c r="C759" s="49"/>
      <c r="D759" s="49"/>
      <c r="E759" s="49"/>
      <c r="F759" s="49"/>
      <c r="G759" s="49"/>
      <c r="H759" s="49"/>
      <c r="I759" s="49"/>
      <c r="J759" s="49"/>
      <c r="K759" s="49"/>
      <c r="L759" s="49"/>
    </row>
    <row r="760">
      <c r="A760" s="63"/>
      <c r="B760" s="49"/>
      <c r="C760" s="49"/>
      <c r="D760" s="49"/>
      <c r="E760" s="49"/>
      <c r="F760" s="49"/>
      <c r="G760" s="49"/>
      <c r="H760" s="49"/>
      <c r="I760" s="49"/>
      <c r="J760" s="49"/>
      <c r="K760" s="49"/>
      <c r="L760" s="49"/>
    </row>
    <row r="761">
      <c r="A761" s="63"/>
      <c r="B761" s="49"/>
      <c r="C761" s="49"/>
      <c r="D761" s="49"/>
      <c r="E761" s="49"/>
      <c r="F761" s="49"/>
      <c r="G761" s="49"/>
      <c r="H761" s="49"/>
      <c r="I761" s="49"/>
      <c r="J761" s="49"/>
      <c r="K761" s="49"/>
      <c r="L761" s="49"/>
    </row>
    <row r="762">
      <c r="A762" s="63"/>
      <c r="B762" s="49"/>
      <c r="C762" s="49"/>
      <c r="D762" s="49"/>
      <c r="E762" s="49"/>
      <c r="F762" s="49"/>
      <c r="G762" s="49"/>
      <c r="H762" s="49"/>
      <c r="I762" s="49"/>
      <c r="J762" s="49"/>
      <c r="K762" s="49"/>
      <c r="L762" s="49"/>
    </row>
    <row r="763">
      <c r="A763" s="63"/>
      <c r="B763" s="49"/>
      <c r="C763" s="49"/>
      <c r="D763" s="49"/>
      <c r="E763" s="49"/>
      <c r="F763" s="49"/>
      <c r="G763" s="49"/>
      <c r="H763" s="49"/>
      <c r="I763" s="49"/>
      <c r="J763" s="49"/>
      <c r="K763" s="49"/>
      <c r="L763" s="49"/>
    </row>
    <row r="764">
      <c r="A764" s="63"/>
      <c r="B764" s="49"/>
      <c r="C764" s="49"/>
      <c r="D764" s="49"/>
      <c r="E764" s="49"/>
      <c r="F764" s="49"/>
      <c r="G764" s="49"/>
      <c r="H764" s="49"/>
      <c r="I764" s="49"/>
      <c r="J764" s="49"/>
      <c r="K764" s="49"/>
      <c r="L764" s="49"/>
    </row>
    <row r="765">
      <c r="A765" s="63"/>
      <c r="B765" s="49"/>
      <c r="C765" s="49"/>
      <c r="D765" s="49"/>
      <c r="E765" s="49"/>
      <c r="F765" s="49"/>
      <c r="G765" s="49"/>
      <c r="H765" s="49"/>
      <c r="I765" s="49"/>
      <c r="J765" s="49"/>
      <c r="K765" s="49"/>
      <c r="L765" s="49"/>
    </row>
    <row r="766">
      <c r="A766" s="63"/>
      <c r="B766" s="49"/>
      <c r="C766" s="49"/>
      <c r="D766" s="49"/>
      <c r="E766" s="49"/>
      <c r="F766" s="49"/>
      <c r="G766" s="49"/>
      <c r="H766" s="49"/>
      <c r="I766" s="49"/>
      <c r="J766" s="49"/>
      <c r="K766" s="49"/>
      <c r="L766" s="49"/>
    </row>
    <row r="767">
      <c r="A767" s="63"/>
      <c r="B767" s="49"/>
      <c r="C767" s="49"/>
      <c r="D767" s="49"/>
      <c r="E767" s="49"/>
      <c r="F767" s="49"/>
      <c r="G767" s="49"/>
      <c r="H767" s="49"/>
      <c r="I767" s="49"/>
      <c r="J767" s="49"/>
      <c r="K767" s="49"/>
      <c r="L767" s="49"/>
    </row>
    <row r="768">
      <c r="A768" s="63"/>
      <c r="B768" s="49"/>
      <c r="C768" s="49"/>
      <c r="D768" s="49"/>
      <c r="E768" s="49"/>
      <c r="F768" s="49"/>
      <c r="G768" s="49"/>
      <c r="H768" s="49"/>
      <c r="I768" s="49"/>
      <c r="J768" s="49"/>
      <c r="K768" s="49"/>
      <c r="L768" s="49"/>
    </row>
    <row r="769">
      <c r="A769" s="63"/>
      <c r="B769" s="49"/>
      <c r="C769" s="49"/>
      <c r="D769" s="49"/>
      <c r="E769" s="49"/>
      <c r="F769" s="49"/>
      <c r="G769" s="49"/>
      <c r="H769" s="49"/>
      <c r="I769" s="49"/>
      <c r="J769" s="49"/>
      <c r="K769" s="49"/>
      <c r="L769" s="49"/>
    </row>
    <row r="770">
      <c r="A770" s="63"/>
      <c r="B770" s="49"/>
      <c r="C770" s="49"/>
      <c r="D770" s="49"/>
      <c r="E770" s="49"/>
      <c r="F770" s="49"/>
      <c r="G770" s="49"/>
      <c r="H770" s="49"/>
      <c r="I770" s="49"/>
      <c r="J770" s="49"/>
      <c r="K770" s="49"/>
      <c r="L770" s="49"/>
    </row>
    <row r="771">
      <c r="A771" s="63"/>
      <c r="B771" s="49"/>
      <c r="C771" s="49"/>
      <c r="D771" s="49"/>
      <c r="E771" s="49"/>
      <c r="F771" s="49"/>
      <c r="G771" s="49"/>
      <c r="H771" s="49"/>
      <c r="I771" s="49"/>
      <c r="J771" s="49"/>
      <c r="K771" s="49"/>
      <c r="L771" s="49"/>
    </row>
    <row r="772">
      <c r="A772" s="63"/>
      <c r="B772" s="49"/>
      <c r="C772" s="49"/>
      <c r="D772" s="49"/>
      <c r="E772" s="49"/>
      <c r="F772" s="49"/>
      <c r="G772" s="49"/>
      <c r="H772" s="49"/>
      <c r="I772" s="49"/>
      <c r="J772" s="49"/>
      <c r="K772" s="49"/>
      <c r="L772" s="49"/>
    </row>
    <row r="773">
      <c r="A773" s="63"/>
      <c r="B773" s="49"/>
      <c r="C773" s="49"/>
      <c r="D773" s="49"/>
      <c r="E773" s="49"/>
      <c r="F773" s="49"/>
      <c r="G773" s="49"/>
      <c r="H773" s="49"/>
      <c r="I773" s="49"/>
      <c r="J773" s="49"/>
      <c r="K773" s="49"/>
      <c r="L773" s="49"/>
    </row>
    <row r="774">
      <c r="A774" s="63"/>
      <c r="B774" s="49"/>
      <c r="C774" s="49"/>
      <c r="D774" s="49"/>
      <c r="E774" s="49"/>
      <c r="F774" s="49"/>
      <c r="G774" s="49"/>
      <c r="H774" s="49"/>
      <c r="I774" s="49"/>
      <c r="J774" s="49"/>
      <c r="K774" s="49"/>
      <c r="L774" s="49"/>
    </row>
    <row r="775">
      <c r="A775" s="63"/>
      <c r="B775" s="49"/>
      <c r="C775" s="49"/>
      <c r="D775" s="49"/>
      <c r="E775" s="49"/>
      <c r="F775" s="49"/>
      <c r="G775" s="49"/>
      <c r="H775" s="49"/>
      <c r="I775" s="49"/>
      <c r="J775" s="49"/>
      <c r="K775" s="49"/>
      <c r="L775" s="49"/>
    </row>
    <row r="776">
      <c r="A776" s="63"/>
      <c r="B776" s="49"/>
      <c r="C776" s="49"/>
      <c r="D776" s="49"/>
      <c r="E776" s="49"/>
      <c r="F776" s="49"/>
      <c r="G776" s="49"/>
      <c r="H776" s="49"/>
      <c r="I776" s="49"/>
      <c r="J776" s="49"/>
      <c r="K776" s="49"/>
      <c r="L776" s="49"/>
    </row>
    <row r="777">
      <c r="A777" s="63"/>
      <c r="B777" s="49"/>
      <c r="C777" s="49"/>
      <c r="D777" s="49"/>
      <c r="E777" s="49"/>
      <c r="F777" s="49"/>
      <c r="G777" s="49"/>
      <c r="H777" s="49"/>
      <c r="I777" s="49"/>
      <c r="J777" s="49"/>
      <c r="K777" s="49"/>
      <c r="L777" s="49"/>
    </row>
    <row r="778">
      <c r="A778" s="63"/>
      <c r="B778" s="49"/>
      <c r="C778" s="49"/>
      <c r="D778" s="49"/>
      <c r="E778" s="49"/>
      <c r="F778" s="49"/>
      <c r="G778" s="49"/>
      <c r="H778" s="49"/>
      <c r="I778" s="49"/>
      <c r="J778" s="49"/>
      <c r="K778" s="49"/>
      <c r="L778" s="49"/>
    </row>
    <row r="779">
      <c r="A779" s="63"/>
      <c r="B779" s="49"/>
      <c r="C779" s="49"/>
      <c r="D779" s="49"/>
      <c r="E779" s="49"/>
      <c r="F779" s="49"/>
      <c r="G779" s="49"/>
      <c r="H779" s="49"/>
      <c r="I779" s="49"/>
      <c r="J779" s="49"/>
      <c r="K779" s="49"/>
      <c r="L779" s="49"/>
    </row>
    <row r="780">
      <c r="A780" s="63"/>
      <c r="B780" s="49"/>
      <c r="C780" s="49"/>
      <c r="D780" s="49"/>
      <c r="E780" s="49"/>
      <c r="F780" s="49"/>
      <c r="G780" s="49"/>
      <c r="H780" s="49"/>
      <c r="I780" s="49"/>
      <c r="J780" s="49"/>
      <c r="K780" s="49"/>
      <c r="L780" s="49"/>
    </row>
    <row r="781">
      <c r="A781" s="63"/>
      <c r="B781" s="49"/>
      <c r="C781" s="49"/>
      <c r="D781" s="49"/>
      <c r="E781" s="49"/>
      <c r="F781" s="49"/>
      <c r="G781" s="49"/>
      <c r="H781" s="49"/>
      <c r="I781" s="49"/>
      <c r="J781" s="49"/>
      <c r="K781" s="49"/>
      <c r="L781" s="49"/>
    </row>
    <row r="782">
      <c r="A782" s="63"/>
      <c r="B782" s="49"/>
      <c r="C782" s="49"/>
      <c r="D782" s="49"/>
      <c r="E782" s="49"/>
      <c r="F782" s="49"/>
      <c r="G782" s="49"/>
      <c r="H782" s="49"/>
      <c r="I782" s="49"/>
      <c r="J782" s="49"/>
      <c r="K782" s="49"/>
      <c r="L782" s="49"/>
    </row>
    <row r="783">
      <c r="A783" s="63"/>
      <c r="B783" s="49"/>
      <c r="C783" s="49"/>
      <c r="D783" s="49"/>
      <c r="E783" s="49"/>
      <c r="F783" s="49"/>
      <c r="G783" s="49"/>
      <c r="H783" s="49"/>
      <c r="I783" s="49"/>
      <c r="J783" s="49"/>
      <c r="K783" s="49"/>
      <c r="L783" s="49"/>
    </row>
    <row r="784">
      <c r="A784" s="63"/>
      <c r="B784" s="49"/>
      <c r="C784" s="49"/>
      <c r="D784" s="49"/>
      <c r="E784" s="49"/>
      <c r="F784" s="49"/>
      <c r="G784" s="49"/>
      <c r="H784" s="49"/>
      <c r="I784" s="49"/>
      <c r="J784" s="49"/>
      <c r="K784" s="49"/>
      <c r="L784" s="49"/>
    </row>
    <row r="785">
      <c r="A785" s="63"/>
      <c r="B785" s="49"/>
      <c r="C785" s="49"/>
      <c r="D785" s="49"/>
      <c r="E785" s="49"/>
      <c r="F785" s="49"/>
      <c r="G785" s="49"/>
      <c r="H785" s="49"/>
      <c r="I785" s="49"/>
      <c r="J785" s="49"/>
      <c r="K785" s="49"/>
      <c r="L785" s="49"/>
    </row>
    <row r="786">
      <c r="A786" s="63"/>
      <c r="B786" s="49"/>
      <c r="C786" s="49"/>
      <c r="D786" s="49"/>
      <c r="E786" s="49"/>
      <c r="F786" s="49"/>
      <c r="G786" s="49"/>
      <c r="H786" s="49"/>
      <c r="I786" s="49"/>
      <c r="J786" s="49"/>
      <c r="K786" s="49"/>
      <c r="L786" s="49"/>
    </row>
    <row r="787">
      <c r="A787" s="63"/>
      <c r="B787" s="49"/>
      <c r="C787" s="49"/>
      <c r="D787" s="49"/>
      <c r="E787" s="49"/>
      <c r="F787" s="49"/>
      <c r="G787" s="49"/>
      <c r="H787" s="49"/>
      <c r="I787" s="49"/>
      <c r="J787" s="49"/>
      <c r="K787" s="49"/>
      <c r="L787" s="49"/>
    </row>
    <row r="788">
      <c r="A788" s="63"/>
      <c r="B788" s="49"/>
      <c r="C788" s="49"/>
      <c r="D788" s="49"/>
      <c r="E788" s="49"/>
      <c r="F788" s="49"/>
      <c r="G788" s="49"/>
      <c r="H788" s="49"/>
      <c r="I788" s="49"/>
      <c r="J788" s="49"/>
      <c r="K788" s="49"/>
      <c r="L788" s="49"/>
    </row>
    <row r="789">
      <c r="A789" s="63"/>
      <c r="B789" s="49"/>
      <c r="C789" s="49"/>
      <c r="D789" s="49"/>
      <c r="E789" s="49"/>
      <c r="F789" s="49"/>
      <c r="G789" s="49"/>
      <c r="H789" s="49"/>
      <c r="I789" s="49"/>
      <c r="J789" s="49"/>
      <c r="K789" s="49"/>
      <c r="L789" s="49"/>
    </row>
    <row r="790">
      <c r="A790" s="63"/>
      <c r="B790" s="49"/>
      <c r="C790" s="49"/>
      <c r="D790" s="49"/>
      <c r="E790" s="49"/>
      <c r="F790" s="49"/>
      <c r="G790" s="49"/>
      <c r="H790" s="49"/>
      <c r="I790" s="49"/>
      <c r="J790" s="49"/>
      <c r="K790" s="49"/>
      <c r="L790" s="49"/>
    </row>
    <row r="791">
      <c r="A791" s="63"/>
      <c r="B791" s="49"/>
      <c r="C791" s="49"/>
      <c r="D791" s="49"/>
      <c r="E791" s="49"/>
      <c r="F791" s="49"/>
      <c r="G791" s="49"/>
      <c r="H791" s="49"/>
      <c r="I791" s="49"/>
      <c r="J791" s="49"/>
      <c r="K791" s="49"/>
      <c r="L791" s="49"/>
    </row>
    <row r="792">
      <c r="A792" s="63"/>
      <c r="B792" s="49"/>
      <c r="C792" s="49"/>
      <c r="D792" s="49"/>
      <c r="E792" s="49"/>
      <c r="F792" s="49"/>
      <c r="G792" s="49"/>
      <c r="H792" s="49"/>
      <c r="I792" s="49"/>
      <c r="J792" s="49"/>
      <c r="K792" s="49"/>
      <c r="L792" s="49"/>
    </row>
    <row r="793">
      <c r="A793" s="63"/>
      <c r="B793" s="49"/>
      <c r="C793" s="49"/>
      <c r="D793" s="49"/>
      <c r="E793" s="49"/>
      <c r="F793" s="49"/>
      <c r="G793" s="49"/>
      <c r="H793" s="49"/>
      <c r="I793" s="49"/>
      <c r="J793" s="49"/>
      <c r="K793" s="49"/>
      <c r="L793" s="49"/>
    </row>
    <row r="794">
      <c r="A794" s="63"/>
      <c r="B794" s="49"/>
      <c r="C794" s="49"/>
      <c r="D794" s="49"/>
      <c r="E794" s="49"/>
      <c r="F794" s="49"/>
      <c r="G794" s="49"/>
      <c r="H794" s="49"/>
      <c r="I794" s="49"/>
      <c r="J794" s="49"/>
      <c r="K794" s="49"/>
      <c r="L794" s="49"/>
    </row>
    <row r="795">
      <c r="A795" s="63"/>
      <c r="B795" s="49"/>
      <c r="C795" s="49"/>
      <c r="D795" s="49"/>
      <c r="E795" s="49"/>
      <c r="F795" s="49"/>
      <c r="G795" s="49"/>
      <c r="H795" s="49"/>
      <c r="I795" s="49"/>
      <c r="J795" s="49"/>
      <c r="K795" s="49"/>
      <c r="L795" s="49"/>
    </row>
    <row r="796">
      <c r="A796" s="63"/>
      <c r="B796" s="49"/>
      <c r="C796" s="49"/>
      <c r="D796" s="49"/>
      <c r="E796" s="49"/>
      <c r="F796" s="49"/>
      <c r="G796" s="49"/>
      <c r="H796" s="49"/>
      <c r="I796" s="49"/>
      <c r="J796" s="49"/>
      <c r="K796" s="49"/>
      <c r="L796" s="49"/>
    </row>
    <row r="797">
      <c r="A797" s="63"/>
      <c r="B797" s="49"/>
      <c r="C797" s="49"/>
      <c r="D797" s="49"/>
      <c r="E797" s="49"/>
      <c r="F797" s="49"/>
      <c r="G797" s="49"/>
      <c r="H797" s="49"/>
      <c r="I797" s="49"/>
      <c r="J797" s="49"/>
      <c r="K797" s="49"/>
      <c r="L797" s="49"/>
    </row>
    <row r="798">
      <c r="A798" s="63"/>
      <c r="B798" s="49"/>
      <c r="C798" s="49"/>
      <c r="D798" s="49"/>
      <c r="E798" s="49"/>
      <c r="F798" s="49"/>
      <c r="G798" s="49"/>
      <c r="H798" s="49"/>
      <c r="I798" s="49"/>
      <c r="J798" s="49"/>
      <c r="K798" s="49"/>
      <c r="L798" s="49"/>
    </row>
    <row r="799">
      <c r="A799" s="63"/>
      <c r="B799" s="49"/>
      <c r="C799" s="49"/>
      <c r="D799" s="49"/>
      <c r="E799" s="49"/>
      <c r="F799" s="49"/>
      <c r="G799" s="49"/>
      <c r="H799" s="49"/>
      <c r="I799" s="49"/>
      <c r="J799" s="49"/>
      <c r="K799" s="49"/>
      <c r="L799" s="49"/>
    </row>
    <row r="800">
      <c r="A800" s="63"/>
      <c r="B800" s="49"/>
      <c r="C800" s="49"/>
      <c r="D800" s="49"/>
      <c r="E800" s="49"/>
      <c r="F800" s="49"/>
      <c r="G800" s="49"/>
      <c r="H800" s="49"/>
      <c r="I800" s="49"/>
      <c r="J800" s="49"/>
      <c r="K800" s="49"/>
      <c r="L800" s="49"/>
    </row>
    <row r="801">
      <c r="A801" s="63"/>
      <c r="B801" s="49"/>
      <c r="C801" s="49"/>
      <c r="D801" s="49"/>
      <c r="E801" s="49"/>
      <c r="F801" s="49"/>
      <c r="G801" s="49"/>
      <c r="H801" s="49"/>
      <c r="I801" s="49"/>
      <c r="J801" s="49"/>
      <c r="K801" s="49"/>
      <c r="L801" s="49"/>
    </row>
    <row r="802">
      <c r="A802" s="63"/>
      <c r="B802" s="49"/>
      <c r="C802" s="49"/>
      <c r="D802" s="49"/>
      <c r="E802" s="49"/>
      <c r="F802" s="49"/>
      <c r="G802" s="49"/>
      <c r="H802" s="49"/>
      <c r="I802" s="49"/>
      <c r="J802" s="49"/>
      <c r="K802" s="49"/>
      <c r="L802" s="49"/>
    </row>
    <row r="803">
      <c r="A803" s="63"/>
      <c r="B803" s="49"/>
      <c r="C803" s="49"/>
      <c r="D803" s="49"/>
      <c r="E803" s="49"/>
      <c r="F803" s="49"/>
      <c r="G803" s="49"/>
      <c r="H803" s="49"/>
      <c r="I803" s="49"/>
      <c r="J803" s="49"/>
      <c r="K803" s="49"/>
      <c r="L803" s="49"/>
    </row>
    <row r="804">
      <c r="A804" s="63"/>
      <c r="B804" s="49"/>
      <c r="C804" s="49"/>
      <c r="D804" s="49"/>
      <c r="E804" s="49"/>
      <c r="F804" s="49"/>
      <c r="G804" s="49"/>
      <c r="H804" s="49"/>
      <c r="I804" s="49"/>
      <c r="J804" s="49"/>
      <c r="K804" s="49"/>
      <c r="L804" s="49"/>
    </row>
    <row r="805">
      <c r="A805" s="63"/>
      <c r="B805" s="49"/>
      <c r="C805" s="49"/>
      <c r="D805" s="49"/>
      <c r="E805" s="49"/>
      <c r="F805" s="49"/>
      <c r="G805" s="49"/>
      <c r="H805" s="49"/>
      <c r="I805" s="49"/>
      <c r="J805" s="49"/>
      <c r="K805" s="49"/>
      <c r="L805" s="49"/>
    </row>
    <row r="806">
      <c r="A806" s="63"/>
      <c r="B806" s="49"/>
      <c r="C806" s="49"/>
      <c r="D806" s="49"/>
      <c r="E806" s="49"/>
      <c r="F806" s="49"/>
      <c r="G806" s="49"/>
      <c r="H806" s="49"/>
      <c r="I806" s="49"/>
      <c r="J806" s="49"/>
      <c r="K806" s="49"/>
      <c r="L806" s="49"/>
    </row>
    <row r="807">
      <c r="A807" s="63"/>
      <c r="B807" s="49"/>
      <c r="C807" s="49"/>
      <c r="D807" s="49"/>
      <c r="E807" s="49"/>
      <c r="F807" s="49"/>
      <c r="G807" s="49"/>
      <c r="H807" s="49"/>
      <c r="I807" s="49"/>
      <c r="J807" s="49"/>
      <c r="K807" s="49"/>
      <c r="L807" s="49"/>
    </row>
    <row r="808">
      <c r="A808" s="63"/>
      <c r="B808" s="49"/>
      <c r="C808" s="49"/>
      <c r="D808" s="49"/>
      <c r="E808" s="49"/>
      <c r="F808" s="49"/>
      <c r="G808" s="49"/>
      <c r="H808" s="49"/>
      <c r="I808" s="49"/>
      <c r="J808" s="49"/>
      <c r="K808" s="49"/>
      <c r="L808" s="49"/>
    </row>
    <row r="809">
      <c r="A809" s="63"/>
      <c r="B809" s="49"/>
      <c r="C809" s="49"/>
      <c r="D809" s="49"/>
      <c r="E809" s="49"/>
      <c r="F809" s="49"/>
      <c r="G809" s="49"/>
      <c r="H809" s="49"/>
      <c r="I809" s="49"/>
      <c r="J809" s="49"/>
      <c r="K809" s="49"/>
      <c r="L809" s="49"/>
    </row>
    <row r="810">
      <c r="A810" s="63"/>
      <c r="B810" s="49"/>
      <c r="C810" s="49"/>
      <c r="D810" s="49"/>
      <c r="E810" s="49"/>
      <c r="F810" s="49"/>
      <c r="G810" s="49"/>
      <c r="H810" s="49"/>
      <c r="I810" s="49"/>
      <c r="J810" s="49"/>
      <c r="K810" s="49"/>
      <c r="L810" s="49"/>
    </row>
    <row r="811">
      <c r="A811" s="63"/>
      <c r="B811" s="49"/>
      <c r="C811" s="49"/>
      <c r="D811" s="49"/>
      <c r="E811" s="49"/>
      <c r="F811" s="49"/>
      <c r="G811" s="49"/>
      <c r="H811" s="49"/>
      <c r="I811" s="49"/>
      <c r="J811" s="49"/>
      <c r="K811" s="49"/>
      <c r="L811" s="49"/>
    </row>
    <row r="812">
      <c r="A812" s="63"/>
      <c r="B812" s="49"/>
      <c r="C812" s="49"/>
      <c r="D812" s="49"/>
      <c r="E812" s="49"/>
      <c r="F812" s="49"/>
      <c r="G812" s="49"/>
      <c r="H812" s="49"/>
      <c r="I812" s="49"/>
      <c r="J812" s="49"/>
      <c r="K812" s="49"/>
      <c r="L812" s="49"/>
    </row>
    <row r="813">
      <c r="A813" s="63"/>
      <c r="B813" s="49"/>
      <c r="C813" s="49"/>
      <c r="D813" s="49"/>
      <c r="E813" s="49"/>
      <c r="F813" s="49"/>
      <c r="G813" s="49"/>
      <c r="H813" s="49"/>
      <c r="I813" s="49"/>
      <c r="J813" s="49"/>
      <c r="K813" s="49"/>
      <c r="L813" s="49"/>
    </row>
    <row r="814">
      <c r="A814" s="63"/>
      <c r="B814" s="49"/>
      <c r="C814" s="49"/>
      <c r="D814" s="49"/>
      <c r="E814" s="49"/>
      <c r="F814" s="49"/>
      <c r="G814" s="49"/>
      <c r="H814" s="49"/>
      <c r="I814" s="49"/>
      <c r="J814" s="49"/>
      <c r="K814" s="49"/>
      <c r="L814" s="49"/>
    </row>
    <row r="815">
      <c r="A815" s="63"/>
      <c r="B815" s="49"/>
      <c r="C815" s="49"/>
      <c r="D815" s="49"/>
      <c r="E815" s="49"/>
      <c r="F815" s="49"/>
      <c r="G815" s="49"/>
      <c r="H815" s="49"/>
      <c r="I815" s="49"/>
      <c r="J815" s="49"/>
      <c r="K815" s="49"/>
      <c r="L815" s="49"/>
    </row>
    <row r="816">
      <c r="A816" s="63"/>
      <c r="B816" s="49"/>
      <c r="C816" s="49"/>
      <c r="D816" s="49"/>
      <c r="E816" s="49"/>
      <c r="F816" s="49"/>
      <c r="G816" s="49"/>
      <c r="H816" s="49"/>
      <c r="I816" s="49"/>
      <c r="J816" s="49"/>
      <c r="K816" s="49"/>
      <c r="L816" s="49"/>
    </row>
    <row r="817">
      <c r="A817" s="63"/>
      <c r="B817" s="49"/>
      <c r="C817" s="49"/>
      <c r="D817" s="49"/>
      <c r="E817" s="49"/>
      <c r="F817" s="49"/>
      <c r="G817" s="49"/>
      <c r="H817" s="49"/>
      <c r="I817" s="49"/>
      <c r="J817" s="49"/>
      <c r="K817" s="49"/>
      <c r="L817" s="49"/>
    </row>
    <row r="818">
      <c r="A818" s="63"/>
      <c r="B818" s="49"/>
      <c r="C818" s="49"/>
      <c r="D818" s="49"/>
      <c r="E818" s="49"/>
      <c r="F818" s="49"/>
      <c r="G818" s="49"/>
      <c r="H818" s="49"/>
      <c r="I818" s="49"/>
      <c r="J818" s="49"/>
      <c r="K818" s="49"/>
      <c r="L818" s="49"/>
    </row>
    <row r="819">
      <c r="A819" s="63"/>
      <c r="B819" s="49"/>
      <c r="C819" s="49"/>
      <c r="D819" s="49"/>
      <c r="E819" s="49"/>
      <c r="F819" s="49"/>
      <c r="G819" s="49"/>
      <c r="H819" s="49"/>
      <c r="I819" s="49"/>
      <c r="J819" s="49"/>
      <c r="K819" s="49"/>
      <c r="L819" s="49"/>
    </row>
    <row r="820">
      <c r="A820" s="63"/>
      <c r="B820" s="49"/>
      <c r="C820" s="49"/>
      <c r="D820" s="49"/>
      <c r="E820" s="49"/>
      <c r="F820" s="49"/>
      <c r="G820" s="49"/>
      <c r="H820" s="49"/>
      <c r="I820" s="49"/>
      <c r="J820" s="49"/>
      <c r="K820" s="49"/>
      <c r="L820" s="49"/>
    </row>
    <row r="821">
      <c r="A821" s="63"/>
      <c r="B821" s="49"/>
      <c r="C821" s="49"/>
      <c r="D821" s="49"/>
      <c r="E821" s="49"/>
      <c r="F821" s="49"/>
      <c r="G821" s="49"/>
      <c r="H821" s="49"/>
      <c r="I821" s="49"/>
      <c r="J821" s="49"/>
      <c r="K821" s="49"/>
      <c r="L821" s="49"/>
    </row>
    <row r="822">
      <c r="A822" s="63"/>
      <c r="B822" s="49"/>
      <c r="C822" s="49"/>
      <c r="D822" s="49"/>
      <c r="E822" s="49"/>
      <c r="F822" s="49"/>
      <c r="G822" s="49"/>
      <c r="H822" s="49"/>
      <c r="I822" s="49"/>
      <c r="J822" s="49"/>
      <c r="K822" s="49"/>
      <c r="L822" s="49"/>
    </row>
    <row r="823">
      <c r="A823" s="63"/>
      <c r="B823" s="49"/>
      <c r="C823" s="49"/>
      <c r="D823" s="49"/>
      <c r="E823" s="49"/>
      <c r="F823" s="49"/>
      <c r="G823" s="49"/>
      <c r="H823" s="49"/>
      <c r="I823" s="49"/>
      <c r="J823" s="49"/>
      <c r="K823" s="49"/>
      <c r="L823" s="49"/>
    </row>
    <row r="824">
      <c r="A824" s="63"/>
      <c r="B824" s="49"/>
      <c r="C824" s="49"/>
      <c r="D824" s="49"/>
      <c r="E824" s="49"/>
      <c r="F824" s="49"/>
      <c r="G824" s="49"/>
      <c r="H824" s="49"/>
      <c r="I824" s="49"/>
      <c r="J824" s="49"/>
      <c r="K824" s="49"/>
      <c r="L824" s="49"/>
    </row>
    <row r="825">
      <c r="A825" s="63"/>
      <c r="B825" s="49"/>
      <c r="C825" s="49"/>
      <c r="D825" s="49"/>
      <c r="E825" s="49"/>
      <c r="F825" s="49"/>
      <c r="G825" s="49"/>
      <c r="H825" s="49"/>
      <c r="I825" s="49"/>
      <c r="J825" s="49"/>
      <c r="K825" s="49"/>
      <c r="L825" s="49"/>
    </row>
    <row r="826">
      <c r="A826" s="63"/>
      <c r="B826" s="49"/>
      <c r="C826" s="49"/>
      <c r="D826" s="49"/>
      <c r="E826" s="49"/>
      <c r="F826" s="49"/>
      <c r="G826" s="49"/>
      <c r="H826" s="49"/>
      <c r="I826" s="49"/>
      <c r="J826" s="49"/>
      <c r="K826" s="49"/>
      <c r="L826" s="49"/>
    </row>
    <row r="827">
      <c r="A827" s="63"/>
      <c r="B827" s="49"/>
      <c r="C827" s="49"/>
      <c r="D827" s="49"/>
      <c r="E827" s="49"/>
      <c r="F827" s="49"/>
      <c r="G827" s="49"/>
      <c r="H827" s="49"/>
      <c r="I827" s="49"/>
      <c r="J827" s="49"/>
      <c r="K827" s="49"/>
      <c r="L827" s="49"/>
    </row>
    <row r="828">
      <c r="A828" s="63"/>
      <c r="B828" s="49"/>
      <c r="C828" s="49"/>
      <c r="D828" s="49"/>
      <c r="E828" s="49"/>
      <c r="F828" s="49"/>
      <c r="G828" s="49"/>
      <c r="H828" s="49"/>
      <c r="I828" s="49"/>
      <c r="J828" s="49"/>
      <c r="K828" s="49"/>
      <c r="L828" s="49"/>
    </row>
    <row r="829">
      <c r="A829" s="63"/>
      <c r="B829" s="49"/>
      <c r="C829" s="49"/>
      <c r="D829" s="49"/>
      <c r="E829" s="49"/>
      <c r="F829" s="49"/>
      <c r="G829" s="49"/>
      <c r="H829" s="49"/>
      <c r="I829" s="49"/>
      <c r="J829" s="49"/>
      <c r="K829" s="49"/>
      <c r="L829" s="49"/>
    </row>
    <row r="830">
      <c r="A830" s="63"/>
      <c r="B830" s="49"/>
      <c r="C830" s="49"/>
      <c r="D830" s="49"/>
      <c r="E830" s="49"/>
      <c r="F830" s="49"/>
      <c r="G830" s="49"/>
      <c r="H830" s="49"/>
      <c r="I830" s="49"/>
      <c r="J830" s="49"/>
      <c r="K830" s="49"/>
      <c r="L830" s="49"/>
    </row>
    <row r="831">
      <c r="A831" s="63"/>
      <c r="B831" s="49"/>
      <c r="C831" s="49"/>
      <c r="D831" s="49"/>
      <c r="E831" s="49"/>
      <c r="F831" s="49"/>
      <c r="G831" s="49"/>
      <c r="H831" s="49"/>
      <c r="I831" s="49"/>
      <c r="J831" s="49"/>
      <c r="K831" s="49"/>
      <c r="L831" s="49"/>
    </row>
    <row r="832">
      <c r="A832" s="63"/>
      <c r="B832" s="49"/>
      <c r="C832" s="49"/>
      <c r="D832" s="49"/>
      <c r="E832" s="49"/>
      <c r="F832" s="49"/>
      <c r="G832" s="49"/>
      <c r="H832" s="49"/>
      <c r="I832" s="49"/>
      <c r="J832" s="49"/>
      <c r="K832" s="49"/>
      <c r="L832" s="49"/>
    </row>
    <row r="833">
      <c r="A833" s="63"/>
      <c r="B833" s="49"/>
      <c r="C833" s="49"/>
      <c r="D833" s="49"/>
      <c r="E833" s="49"/>
      <c r="F833" s="49"/>
      <c r="G833" s="49"/>
      <c r="H833" s="49"/>
      <c r="I833" s="49"/>
      <c r="J833" s="49"/>
      <c r="K833" s="49"/>
      <c r="L833" s="49"/>
    </row>
    <row r="834">
      <c r="A834" s="63"/>
      <c r="B834" s="49"/>
      <c r="C834" s="49"/>
      <c r="D834" s="49"/>
      <c r="E834" s="49"/>
      <c r="F834" s="49"/>
      <c r="G834" s="49"/>
      <c r="H834" s="49"/>
      <c r="I834" s="49"/>
      <c r="J834" s="49"/>
      <c r="K834" s="49"/>
      <c r="L834" s="49"/>
    </row>
    <row r="835">
      <c r="A835" s="63"/>
      <c r="B835" s="49"/>
      <c r="C835" s="49"/>
      <c r="D835" s="49"/>
      <c r="E835" s="49"/>
      <c r="F835" s="49"/>
      <c r="G835" s="49"/>
      <c r="H835" s="49"/>
      <c r="I835" s="49"/>
      <c r="J835" s="49"/>
      <c r="K835" s="49"/>
      <c r="L835" s="49"/>
    </row>
    <row r="836">
      <c r="A836" s="63"/>
      <c r="B836" s="49"/>
      <c r="C836" s="49"/>
      <c r="D836" s="49"/>
      <c r="E836" s="49"/>
      <c r="F836" s="49"/>
      <c r="G836" s="49"/>
      <c r="H836" s="49"/>
      <c r="I836" s="49"/>
      <c r="J836" s="49"/>
      <c r="K836" s="49"/>
      <c r="L836" s="49"/>
    </row>
    <row r="837">
      <c r="A837" s="63"/>
      <c r="B837" s="49"/>
      <c r="C837" s="49"/>
      <c r="D837" s="49"/>
      <c r="E837" s="49"/>
      <c r="F837" s="49"/>
      <c r="G837" s="49"/>
      <c r="H837" s="49"/>
      <c r="I837" s="49"/>
      <c r="J837" s="49"/>
      <c r="K837" s="49"/>
      <c r="L837" s="49"/>
    </row>
    <row r="838">
      <c r="A838" s="63"/>
      <c r="B838" s="49"/>
      <c r="C838" s="49"/>
      <c r="D838" s="49"/>
      <c r="E838" s="49"/>
      <c r="F838" s="49"/>
      <c r="G838" s="49"/>
      <c r="H838" s="49"/>
      <c r="I838" s="49"/>
      <c r="J838" s="49"/>
      <c r="K838" s="49"/>
      <c r="L838" s="49"/>
    </row>
    <row r="839">
      <c r="A839" s="63"/>
      <c r="B839" s="49"/>
      <c r="C839" s="49"/>
      <c r="D839" s="49"/>
      <c r="E839" s="49"/>
      <c r="F839" s="49"/>
      <c r="G839" s="49"/>
      <c r="H839" s="49"/>
      <c r="I839" s="49"/>
      <c r="J839" s="49"/>
      <c r="K839" s="49"/>
      <c r="L839" s="49"/>
    </row>
    <row r="840">
      <c r="A840" s="63"/>
      <c r="B840" s="49"/>
      <c r="C840" s="49"/>
      <c r="D840" s="49"/>
      <c r="E840" s="49"/>
      <c r="F840" s="49"/>
      <c r="G840" s="49"/>
      <c r="H840" s="49"/>
      <c r="I840" s="49"/>
      <c r="J840" s="49"/>
      <c r="K840" s="49"/>
      <c r="L840" s="49"/>
    </row>
    <row r="841">
      <c r="A841" s="63"/>
      <c r="B841" s="49"/>
      <c r="C841" s="49"/>
      <c r="D841" s="49"/>
      <c r="E841" s="49"/>
      <c r="F841" s="49"/>
      <c r="G841" s="49"/>
      <c r="H841" s="49"/>
      <c r="I841" s="49"/>
      <c r="J841" s="49"/>
      <c r="K841" s="49"/>
      <c r="L841" s="49"/>
    </row>
    <row r="842">
      <c r="A842" s="63"/>
      <c r="B842" s="49"/>
      <c r="C842" s="49"/>
      <c r="D842" s="49"/>
      <c r="E842" s="49"/>
      <c r="F842" s="49"/>
      <c r="G842" s="49"/>
      <c r="H842" s="49"/>
      <c r="I842" s="49"/>
      <c r="J842" s="49"/>
      <c r="K842" s="49"/>
      <c r="L842" s="49"/>
    </row>
    <row r="843">
      <c r="A843" s="63"/>
      <c r="B843" s="49"/>
      <c r="C843" s="49"/>
      <c r="D843" s="49"/>
      <c r="E843" s="49"/>
      <c r="F843" s="49"/>
      <c r="G843" s="49"/>
      <c r="H843" s="49"/>
      <c r="I843" s="49"/>
      <c r="J843" s="49"/>
      <c r="K843" s="49"/>
      <c r="L843" s="49"/>
    </row>
    <row r="844">
      <c r="A844" s="63"/>
      <c r="B844" s="49"/>
      <c r="C844" s="49"/>
      <c r="D844" s="49"/>
      <c r="E844" s="49"/>
      <c r="F844" s="49"/>
      <c r="G844" s="49"/>
      <c r="H844" s="49"/>
      <c r="I844" s="49"/>
      <c r="J844" s="49"/>
      <c r="K844" s="49"/>
      <c r="L844" s="49"/>
    </row>
    <row r="845">
      <c r="A845" s="63"/>
      <c r="B845" s="49"/>
      <c r="C845" s="49"/>
      <c r="D845" s="49"/>
      <c r="E845" s="49"/>
      <c r="F845" s="49"/>
      <c r="G845" s="49"/>
      <c r="H845" s="49"/>
      <c r="I845" s="49"/>
      <c r="J845" s="49"/>
      <c r="K845" s="49"/>
      <c r="L845" s="49"/>
    </row>
    <row r="846">
      <c r="A846" s="63"/>
      <c r="B846" s="49"/>
      <c r="C846" s="49"/>
      <c r="D846" s="49"/>
      <c r="E846" s="49"/>
      <c r="F846" s="49"/>
      <c r="G846" s="49"/>
      <c r="H846" s="49"/>
      <c r="I846" s="49"/>
      <c r="J846" s="49"/>
      <c r="K846" s="49"/>
      <c r="L846" s="49"/>
    </row>
    <row r="847">
      <c r="A847" s="63"/>
      <c r="B847" s="49"/>
      <c r="C847" s="49"/>
      <c r="D847" s="49"/>
      <c r="E847" s="49"/>
      <c r="F847" s="49"/>
      <c r="G847" s="49"/>
      <c r="H847" s="49"/>
      <c r="I847" s="49"/>
      <c r="J847" s="49"/>
      <c r="K847" s="49"/>
      <c r="L847" s="49"/>
    </row>
    <row r="848">
      <c r="A848" s="63"/>
      <c r="B848" s="49"/>
      <c r="C848" s="49"/>
      <c r="D848" s="49"/>
      <c r="E848" s="49"/>
      <c r="F848" s="49"/>
      <c r="G848" s="49"/>
      <c r="H848" s="49"/>
      <c r="I848" s="49"/>
      <c r="J848" s="49"/>
      <c r="K848" s="49"/>
      <c r="L848" s="49"/>
    </row>
    <row r="849">
      <c r="A849" s="63"/>
      <c r="B849" s="49"/>
      <c r="C849" s="49"/>
      <c r="D849" s="49"/>
      <c r="E849" s="49"/>
      <c r="F849" s="49"/>
      <c r="G849" s="49"/>
      <c r="H849" s="49"/>
      <c r="I849" s="49"/>
      <c r="J849" s="49"/>
      <c r="K849" s="49"/>
      <c r="L849" s="49"/>
    </row>
    <row r="850">
      <c r="A850" s="63"/>
      <c r="B850" s="49"/>
      <c r="C850" s="49"/>
      <c r="D850" s="49"/>
      <c r="E850" s="49"/>
      <c r="F850" s="49"/>
      <c r="G850" s="49"/>
      <c r="H850" s="49"/>
      <c r="I850" s="49"/>
      <c r="J850" s="49"/>
      <c r="K850" s="49"/>
      <c r="L850" s="49"/>
    </row>
    <row r="851">
      <c r="A851" s="63"/>
      <c r="B851" s="49"/>
      <c r="C851" s="49"/>
      <c r="D851" s="49"/>
      <c r="E851" s="49"/>
      <c r="F851" s="49"/>
      <c r="G851" s="49"/>
      <c r="H851" s="49"/>
      <c r="I851" s="49"/>
      <c r="J851" s="49"/>
      <c r="K851" s="49"/>
      <c r="L851" s="49"/>
    </row>
    <row r="852">
      <c r="A852" s="63"/>
      <c r="B852" s="49"/>
      <c r="C852" s="49"/>
      <c r="D852" s="49"/>
      <c r="E852" s="49"/>
      <c r="F852" s="49"/>
      <c r="G852" s="49"/>
      <c r="H852" s="49"/>
      <c r="I852" s="49"/>
      <c r="J852" s="49"/>
      <c r="K852" s="49"/>
      <c r="L852" s="49"/>
    </row>
    <row r="853">
      <c r="A853" s="63"/>
      <c r="B853" s="49"/>
      <c r="C853" s="49"/>
      <c r="D853" s="49"/>
      <c r="E853" s="49"/>
      <c r="F853" s="49"/>
      <c r="G853" s="49"/>
      <c r="H853" s="49"/>
      <c r="I853" s="49"/>
      <c r="J853" s="49"/>
      <c r="K853" s="49"/>
      <c r="L853" s="49"/>
    </row>
    <row r="854">
      <c r="A854" s="63"/>
      <c r="B854" s="49"/>
      <c r="C854" s="49"/>
      <c r="D854" s="49"/>
      <c r="E854" s="49"/>
      <c r="F854" s="49"/>
      <c r="G854" s="49"/>
      <c r="H854" s="49"/>
      <c r="I854" s="49"/>
      <c r="J854" s="49"/>
      <c r="K854" s="49"/>
      <c r="L854" s="49"/>
    </row>
    <row r="855">
      <c r="A855" s="63"/>
      <c r="B855" s="49"/>
      <c r="C855" s="49"/>
      <c r="D855" s="49"/>
      <c r="E855" s="49"/>
      <c r="F855" s="49"/>
      <c r="G855" s="49"/>
      <c r="H855" s="49"/>
      <c r="I855" s="49"/>
      <c r="J855" s="49"/>
      <c r="K855" s="49"/>
      <c r="L855" s="49"/>
    </row>
    <row r="856">
      <c r="A856" s="63"/>
      <c r="B856" s="49"/>
      <c r="C856" s="49"/>
      <c r="D856" s="49"/>
      <c r="E856" s="49"/>
      <c r="F856" s="49"/>
      <c r="G856" s="49"/>
      <c r="H856" s="49"/>
      <c r="I856" s="49"/>
      <c r="J856" s="49"/>
      <c r="K856" s="49"/>
      <c r="L856" s="49"/>
    </row>
    <row r="857">
      <c r="A857" s="63"/>
      <c r="B857" s="49"/>
      <c r="C857" s="49"/>
      <c r="D857" s="49"/>
      <c r="E857" s="49"/>
      <c r="F857" s="49"/>
      <c r="G857" s="49"/>
      <c r="H857" s="49"/>
      <c r="I857" s="49"/>
      <c r="J857" s="49"/>
      <c r="K857" s="49"/>
      <c r="L857" s="49"/>
    </row>
    <row r="858">
      <c r="A858" s="63"/>
      <c r="B858" s="49"/>
      <c r="C858" s="49"/>
      <c r="D858" s="49"/>
      <c r="E858" s="49"/>
      <c r="F858" s="49"/>
      <c r="G858" s="49"/>
      <c r="H858" s="49"/>
      <c r="I858" s="49"/>
      <c r="J858" s="49"/>
      <c r="K858" s="49"/>
      <c r="L858" s="49"/>
    </row>
    <row r="859">
      <c r="A859" s="63"/>
      <c r="B859" s="49"/>
      <c r="C859" s="49"/>
      <c r="D859" s="49"/>
      <c r="E859" s="49"/>
      <c r="F859" s="49"/>
      <c r="G859" s="49"/>
      <c r="H859" s="49"/>
      <c r="I859" s="49"/>
      <c r="J859" s="49"/>
      <c r="K859" s="49"/>
      <c r="L859" s="49"/>
    </row>
    <row r="860">
      <c r="A860" s="63"/>
      <c r="B860" s="49"/>
      <c r="C860" s="49"/>
      <c r="D860" s="49"/>
      <c r="E860" s="49"/>
      <c r="F860" s="49"/>
      <c r="G860" s="49"/>
      <c r="H860" s="49"/>
      <c r="I860" s="49"/>
      <c r="J860" s="49"/>
      <c r="K860" s="49"/>
      <c r="L860" s="49"/>
    </row>
    <row r="861">
      <c r="A861" s="63"/>
      <c r="B861" s="49"/>
      <c r="C861" s="49"/>
      <c r="D861" s="49"/>
      <c r="E861" s="49"/>
      <c r="F861" s="49"/>
      <c r="G861" s="49"/>
      <c r="H861" s="49"/>
      <c r="I861" s="49"/>
      <c r="J861" s="49"/>
      <c r="K861" s="49"/>
      <c r="L861" s="49"/>
    </row>
    <row r="862">
      <c r="A862" s="63"/>
      <c r="B862" s="49"/>
      <c r="C862" s="49"/>
      <c r="D862" s="49"/>
      <c r="E862" s="49"/>
      <c r="F862" s="49"/>
      <c r="G862" s="49"/>
      <c r="H862" s="49"/>
      <c r="I862" s="49"/>
      <c r="J862" s="49"/>
      <c r="K862" s="49"/>
      <c r="L862" s="49"/>
    </row>
    <row r="863">
      <c r="A863" s="63"/>
      <c r="B863" s="49"/>
      <c r="C863" s="49"/>
      <c r="D863" s="49"/>
      <c r="E863" s="49"/>
      <c r="F863" s="49"/>
      <c r="G863" s="49"/>
      <c r="H863" s="49"/>
      <c r="I863" s="49"/>
      <c r="J863" s="49"/>
      <c r="K863" s="49"/>
      <c r="L863" s="49"/>
    </row>
    <row r="864">
      <c r="A864" s="63"/>
      <c r="B864" s="49"/>
      <c r="C864" s="49"/>
      <c r="D864" s="49"/>
      <c r="E864" s="49"/>
      <c r="F864" s="49"/>
      <c r="G864" s="49"/>
      <c r="H864" s="49"/>
      <c r="I864" s="49"/>
      <c r="J864" s="49"/>
      <c r="K864" s="49"/>
      <c r="L864" s="49"/>
    </row>
    <row r="865">
      <c r="A865" s="63"/>
      <c r="B865" s="49"/>
      <c r="C865" s="49"/>
      <c r="D865" s="49"/>
      <c r="E865" s="49"/>
      <c r="F865" s="49"/>
      <c r="G865" s="49"/>
      <c r="H865" s="49"/>
      <c r="I865" s="49"/>
      <c r="J865" s="49"/>
      <c r="K865" s="49"/>
      <c r="L865" s="49"/>
    </row>
    <row r="866">
      <c r="A866" s="63"/>
      <c r="B866" s="49"/>
      <c r="C866" s="49"/>
      <c r="D866" s="49"/>
      <c r="E866" s="49"/>
      <c r="F866" s="49"/>
      <c r="G866" s="49"/>
      <c r="H866" s="49"/>
      <c r="I866" s="49"/>
      <c r="J866" s="49"/>
      <c r="K866" s="49"/>
      <c r="L866" s="49"/>
    </row>
    <row r="867">
      <c r="A867" s="63"/>
      <c r="B867" s="49"/>
      <c r="C867" s="49"/>
      <c r="D867" s="49"/>
      <c r="E867" s="49"/>
      <c r="F867" s="49"/>
      <c r="G867" s="49"/>
      <c r="H867" s="49"/>
      <c r="I867" s="49"/>
      <c r="J867" s="49"/>
      <c r="K867" s="49"/>
      <c r="L867" s="49"/>
    </row>
    <row r="868">
      <c r="A868" s="63"/>
      <c r="B868" s="49"/>
      <c r="C868" s="49"/>
      <c r="D868" s="49"/>
      <c r="E868" s="49"/>
      <c r="F868" s="49"/>
      <c r="G868" s="49"/>
      <c r="H868" s="49"/>
      <c r="I868" s="49"/>
      <c r="J868" s="49"/>
      <c r="K868" s="49"/>
      <c r="L868" s="49"/>
    </row>
    <row r="869">
      <c r="A869" s="63"/>
      <c r="B869" s="49"/>
      <c r="C869" s="49"/>
      <c r="D869" s="49"/>
      <c r="E869" s="49"/>
      <c r="F869" s="49"/>
      <c r="G869" s="49"/>
      <c r="H869" s="49"/>
      <c r="I869" s="49"/>
      <c r="J869" s="49"/>
      <c r="K869" s="49"/>
      <c r="L869" s="49"/>
    </row>
    <row r="870">
      <c r="A870" s="63"/>
      <c r="B870" s="49"/>
      <c r="C870" s="49"/>
      <c r="D870" s="49"/>
      <c r="E870" s="49"/>
      <c r="F870" s="49"/>
      <c r="G870" s="49"/>
      <c r="H870" s="49"/>
      <c r="I870" s="49"/>
      <c r="J870" s="49"/>
      <c r="K870" s="49"/>
      <c r="L870" s="49"/>
    </row>
    <row r="871">
      <c r="A871" s="63"/>
      <c r="B871" s="49"/>
      <c r="C871" s="49"/>
      <c r="D871" s="49"/>
      <c r="E871" s="49"/>
      <c r="F871" s="49"/>
      <c r="G871" s="49"/>
      <c r="H871" s="49"/>
      <c r="I871" s="49"/>
      <c r="J871" s="49"/>
      <c r="K871" s="49"/>
      <c r="L871" s="49"/>
    </row>
    <row r="872">
      <c r="A872" s="63"/>
      <c r="B872" s="49"/>
      <c r="C872" s="49"/>
      <c r="D872" s="49"/>
      <c r="E872" s="49"/>
      <c r="F872" s="49"/>
      <c r="G872" s="49"/>
      <c r="H872" s="49"/>
      <c r="I872" s="49"/>
      <c r="J872" s="49"/>
      <c r="K872" s="49"/>
      <c r="L872" s="49"/>
    </row>
    <row r="873">
      <c r="A873" s="63"/>
      <c r="B873" s="49"/>
      <c r="C873" s="49"/>
      <c r="D873" s="49"/>
      <c r="E873" s="49"/>
      <c r="F873" s="49"/>
      <c r="G873" s="49"/>
      <c r="H873" s="49"/>
      <c r="I873" s="49"/>
      <c r="J873" s="49"/>
      <c r="K873" s="49"/>
      <c r="L873" s="49"/>
    </row>
    <row r="874">
      <c r="A874" s="63"/>
      <c r="B874" s="49"/>
      <c r="C874" s="49"/>
      <c r="D874" s="49"/>
      <c r="E874" s="49"/>
      <c r="F874" s="49"/>
      <c r="G874" s="49"/>
      <c r="H874" s="49"/>
      <c r="I874" s="49"/>
      <c r="J874" s="49"/>
      <c r="K874" s="49"/>
      <c r="L874" s="49"/>
    </row>
    <row r="875">
      <c r="A875" s="63"/>
      <c r="B875" s="49"/>
      <c r="C875" s="49"/>
      <c r="D875" s="49"/>
      <c r="E875" s="49"/>
      <c r="F875" s="49"/>
      <c r="G875" s="49"/>
      <c r="H875" s="49"/>
      <c r="I875" s="49"/>
      <c r="J875" s="49"/>
      <c r="K875" s="49"/>
      <c r="L875" s="49"/>
    </row>
    <row r="876">
      <c r="A876" s="63"/>
      <c r="B876" s="49"/>
      <c r="C876" s="49"/>
      <c r="D876" s="49"/>
      <c r="E876" s="49"/>
      <c r="F876" s="49"/>
      <c r="G876" s="49"/>
      <c r="H876" s="49"/>
      <c r="I876" s="49"/>
      <c r="J876" s="49"/>
      <c r="K876" s="49"/>
      <c r="L876" s="49"/>
    </row>
    <row r="877">
      <c r="A877" s="63"/>
      <c r="B877" s="49"/>
      <c r="C877" s="49"/>
      <c r="D877" s="49"/>
      <c r="E877" s="49"/>
      <c r="F877" s="49"/>
      <c r="G877" s="49"/>
      <c r="H877" s="49"/>
      <c r="I877" s="49"/>
      <c r="J877" s="49"/>
      <c r="K877" s="49"/>
      <c r="L877" s="49"/>
    </row>
    <row r="878">
      <c r="A878" s="63"/>
      <c r="B878" s="49"/>
      <c r="C878" s="49"/>
      <c r="D878" s="49"/>
      <c r="E878" s="49"/>
      <c r="F878" s="49"/>
      <c r="G878" s="49"/>
      <c r="H878" s="49"/>
      <c r="I878" s="49"/>
      <c r="J878" s="49"/>
      <c r="K878" s="49"/>
      <c r="L878" s="49"/>
    </row>
    <row r="879">
      <c r="A879" s="63"/>
      <c r="B879" s="49"/>
      <c r="C879" s="49"/>
      <c r="D879" s="49"/>
      <c r="E879" s="49"/>
      <c r="F879" s="49"/>
      <c r="G879" s="49"/>
      <c r="H879" s="49"/>
      <c r="I879" s="49"/>
      <c r="J879" s="49"/>
      <c r="K879" s="49"/>
      <c r="L879" s="49"/>
    </row>
    <row r="880">
      <c r="A880" s="63"/>
      <c r="B880" s="49"/>
      <c r="C880" s="49"/>
      <c r="D880" s="49"/>
      <c r="E880" s="49"/>
      <c r="F880" s="49"/>
      <c r="G880" s="49"/>
      <c r="H880" s="49"/>
      <c r="I880" s="49"/>
      <c r="J880" s="49"/>
      <c r="K880" s="49"/>
      <c r="L880" s="49"/>
    </row>
    <row r="881">
      <c r="A881" s="63"/>
      <c r="B881" s="49"/>
      <c r="C881" s="49"/>
      <c r="D881" s="49"/>
      <c r="E881" s="49"/>
      <c r="F881" s="49"/>
      <c r="G881" s="49"/>
      <c r="H881" s="49"/>
      <c r="I881" s="49"/>
      <c r="J881" s="49"/>
      <c r="K881" s="49"/>
      <c r="L881" s="49"/>
    </row>
    <row r="882">
      <c r="A882" s="63"/>
      <c r="B882" s="49"/>
      <c r="C882" s="49"/>
      <c r="D882" s="49"/>
      <c r="E882" s="49"/>
      <c r="F882" s="49"/>
      <c r="G882" s="49"/>
      <c r="H882" s="49"/>
      <c r="I882" s="49"/>
      <c r="J882" s="49"/>
      <c r="K882" s="49"/>
      <c r="L882" s="49"/>
    </row>
    <row r="883">
      <c r="A883" s="63"/>
      <c r="B883" s="49"/>
      <c r="C883" s="49"/>
      <c r="D883" s="49"/>
      <c r="E883" s="49"/>
      <c r="F883" s="49"/>
      <c r="G883" s="49"/>
      <c r="H883" s="49"/>
      <c r="I883" s="49"/>
      <c r="J883" s="49"/>
      <c r="K883" s="49"/>
      <c r="L883" s="49"/>
    </row>
    <row r="884">
      <c r="A884" s="63"/>
      <c r="B884" s="49"/>
      <c r="C884" s="49"/>
      <c r="D884" s="49"/>
      <c r="E884" s="49"/>
      <c r="F884" s="49"/>
      <c r="G884" s="49"/>
      <c r="H884" s="49"/>
      <c r="I884" s="49"/>
      <c r="J884" s="49"/>
      <c r="K884" s="49"/>
      <c r="L884" s="49"/>
    </row>
    <row r="885">
      <c r="A885" s="63"/>
      <c r="B885" s="49"/>
      <c r="C885" s="49"/>
      <c r="D885" s="49"/>
      <c r="E885" s="49"/>
      <c r="F885" s="49"/>
      <c r="G885" s="49"/>
      <c r="H885" s="49"/>
      <c r="I885" s="49"/>
      <c r="J885" s="49"/>
      <c r="K885" s="49"/>
      <c r="L885" s="49"/>
    </row>
    <row r="886">
      <c r="A886" s="63"/>
      <c r="B886" s="49"/>
      <c r="C886" s="49"/>
      <c r="D886" s="49"/>
      <c r="E886" s="49"/>
      <c r="F886" s="49"/>
      <c r="G886" s="49"/>
      <c r="H886" s="49"/>
      <c r="I886" s="49"/>
      <c r="J886" s="49"/>
      <c r="K886" s="49"/>
      <c r="L886" s="49"/>
    </row>
    <row r="887">
      <c r="A887" s="63"/>
      <c r="B887" s="49"/>
      <c r="C887" s="49"/>
      <c r="D887" s="49"/>
      <c r="E887" s="49"/>
      <c r="F887" s="49"/>
      <c r="G887" s="49"/>
      <c r="H887" s="49"/>
      <c r="I887" s="49"/>
      <c r="J887" s="49"/>
      <c r="K887" s="49"/>
      <c r="L887" s="49"/>
    </row>
    <row r="888">
      <c r="A888" s="63"/>
      <c r="B888" s="49"/>
      <c r="C888" s="49"/>
      <c r="D888" s="49"/>
      <c r="E888" s="49"/>
      <c r="F888" s="49"/>
      <c r="G888" s="49"/>
      <c r="H888" s="49"/>
      <c r="I888" s="49"/>
      <c r="J888" s="49"/>
      <c r="K888" s="49"/>
      <c r="L888" s="49"/>
    </row>
    <row r="889">
      <c r="A889" s="63"/>
      <c r="B889" s="49"/>
      <c r="C889" s="49"/>
      <c r="D889" s="49"/>
      <c r="E889" s="49"/>
      <c r="F889" s="49"/>
      <c r="G889" s="49"/>
      <c r="H889" s="49"/>
      <c r="I889" s="49"/>
      <c r="J889" s="49"/>
      <c r="K889" s="49"/>
      <c r="L889" s="49"/>
    </row>
    <row r="890">
      <c r="A890" s="63"/>
      <c r="B890" s="49"/>
      <c r="C890" s="49"/>
      <c r="D890" s="49"/>
      <c r="E890" s="49"/>
      <c r="F890" s="49"/>
      <c r="G890" s="49"/>
      <c r="H890" s="49"/>
      <c r="I890" s="49"/>
      <c r="J890" s="49"/>
      <c r="K890" s="49"/>
      <c r="L890" s="49"/>
    </row>
    <row r="891">
      <c r="A891" s="63"/>
      <c r="B891" s="49"/>
      <c r="C891" s="49"/>
      <c r="D891" s="49"/>
      <c r="E891" s="49"/>
      <c r="F891" s="49"/>
      <c r="G891" s="49"/>
      <c r="H891" s="49"/>
      <c r="I891" s="49"/>
      <c r="J891" s="49"/>
      <c r="K891" s="49"/>
      <c r="L891" s="49"/>
    </row>
    <row r="892">
      <c r="A892" s="63"/>
      <c r="B892" s="49"/>
      <c r="C892" s="49"/>
      <c r="D892" s="49"/>
      <c r="E892" s="49"/>
      <c r="F892" s="49"/>
      <c r="G892" s="49"/>
      <c r="H892" s="49"/>
      <c r="I892" s="49"/>
      <c r="J892" s="49"/>
      <c r="K892" s="49"/>
      <c r="L892" s="49"/>
    </row>
    <row r="893">
      <c r="A893" s="63"/>
      <c r="B893" s="49"/>
      <c r="C893" s="49"/>
      <c r="D893" s="49"/>
      <c r="E893" s="49"/>
      <c r="F893" s="49"/>
      <c r="G893" s="49"/>
      <c r="H893" s="49"/>
      <c r="I893" s="49"/>
      <c r="J893" s="49"/>
      <c r="K893" s="49"/>
      <c r="L893" s="49"/>
    </row>
    <row r="894">
      <c r="A894" s="63"/>
      <c r="B894" s="49"/>
      <c r="C894" s="49"/>
      <c r="D894" s="49"/>
      <c r="E894" s="49"/>
      <c r="F894" s="49"/>
      <c r="G894" s="49"/>
      <c r="H894" s="49"/>
      <c r="I894" s="49"/>
      <c r="J894" s="49"/>
      <c r="K894" s="49"/>
      <c r="L894" s="49"/>
    </row>
    <row r="895">
      <c r="A895" s="63"/>
      <c r="B895" s="49"/>
      <c r="C895" s="49"/>
      <c r="D895" s="49"/>
      <c r="E895" s="49"/>
      <c r="F895" s="49"/>
      <c r="G895" s="49"/>
      <c r="H895" s="49"/>
      <c r="I895" s="49"/>
      <c r="J895" s="49"/>
      <c r="K895" s="49"/>
      <c r="L895" s="49"/>
    </row>
    <row r="896">
      <c r="A896" s="63"/>
      <c r="B896" s="49"/>
      <c r="C896" s="49"/>
      <c r="D896" s="49"/>
      <c r="E896" s="49"/>
      <c r="F896" s="49"/>
      <c r="G896" s="49"/>
      <c r="H896" s="49"/>
      <c r="I896" s="49"/>
      <c r="J896" s="49"/>
      <c r="K896" s="49"/>
      <c r="L896" s="49"/>
    </row>
    <row r="897">
      <c r="A897" s="63"/>
      <c r="B897" s="49"/>
      <c r="C897" s="49"/>
      <c r="D897" s="49"/>
      <c r="E897" s="49"/>
      <c r="F897" s="49"/>
      <c r="G897" s="49"/>
      <c r="H897" s="49"/>
      <c r="I897" s="49"/>
      <c r="J897" s="49"/>
      <c r="K897" s="49"/>
      <c r="L897" s="49"/>
    </row>
    <row r="898">
      <c r="A898" s="63"/>
      <c r="B898" s="49"/>
      <c r="C898" s="49"/>
      <c r="D898" s="49"/>
      <c r="E898" s="49"/>
      <c r="F898" s="49"/>
      <c r="G898" s="49"/>
      <c r="H898" s="49"/>
      <c r="I898" s="49"/>
      <c r="J898" s="49"/>
      <c r="K898" s="49"/>
      <c r="L898" s="49"/>
    </row>
    <row r="899">
      <c r="A899" s="63"/>
      <c r="B899" s="49"/>
      <c r="C899" s="49"/>
      <c r="D899" s="49"/>
      <c r="E899" s="49"/>
      <c r="F899" s="49"/>
      <c r="G899" s="49"/>
      <c r="H899" s="49"/>
      <c r="I899" s="49"/>
      <c r="J899" s="49"/>
      <c r="K899" s="49"/>
      <c r="L899" s="49"/>
    </row>
    <row r="900">
      <c r="A900" s="63"/>
      <c r="B900" s="49"/>
      <c r="C900" s="49"/>
      <c r="D900" s="49"/>
      <c r="E900" s="49"/>
      <c r="F900" s="49"/>
      <c r="G900" s="49"/>
      <c r="H900" s="49"/>
      <c r="I900" s="49"/>
      <c r="J900" s="49"/>
      <c r="K900" s="49"/>
      <c r="L900" s="49"/>
    </row>
    <row r="901">
      <c r="A901" s="63"/>
      <c r="B901" s="49"/>
      <c r="C901" s="49"/>
      <c r="D901" s="49"/>
      <c r="E901" s="49"/>
      <c r="F901" s="49"/>
      <c r="G901" s="49"/>
      <c r="H901" s="49"/>
      <c r="I901" s="49"/>
      <c r="J901" s="49"/>
      <c r="K901" s="49"/>
      <c r="L901" s="49"/>
    </row>
    <row r="902">
      <c r="A902" s="63"/>
      <c r="B902" s="49"/>
      <c r="C902" s="49"/>
      <c r="D902" s="49"/>
      <c r="E902" s="49"/>
      <c r="F902" s="49"/>
      <c r="G902" s="49"/>
      <c r="H902" s="49"/>
      <c r="I902" s="49"/>
      <c r="J902" s="49"/>
      <c r="K902" s="49"/>
      <c r="L902" s="49"/>
    </row>
    <row r="903">
      <c r="A903" s="63"/>
      <c r="B903" s="49"/>
      <c r="C903" s="49"/>
      <c r="D903" s="49"/>
      <c r="E903" s="49"/>
      <c r="F903" s="49"/>
      <c r="G903" s="49"/>
      <c r="H903" s="49"/>
      <c r="I903" s="49"/>
      <c r="J903" s="49"/>
      <c r="K903" s="49"/>
      <c r="L903" s="49"/>
    </row>
    <row r="904">
      <c r="A904" s="63"/>
      <c r="B904" s="49"/>
      <c r="C904" s="49"/>
      <c r="D904" s="49"/>
      <c r="E904" s="49"/>
      <c r="F904" s="49"/>
      <c r="G904" s="49"/>
      <c r="H904" s="49"/>
      <c r="I904" s="49"/>
      <c r="J904" s="49"/>
      <c r="K904" s="49"/>
      <c r="L904" s="49"/>
    </row>
    <row r="905">
      <c r="A905" s="63"/>
      <c r="B905" s="49"/>
      <c r="C905" s="49"/>
      <c r="D905" s="49"/>
      <c r="E905" s="49"/>
      <c r="F905" s="49"/>
      <c r="G905" s="49"/>
      <c r="H905" s="49"/>
      <c r="I905" s="49"/>
      <c r="J905" s="49"/>
      <c r="K905" s="49"/>
      <c r="L905" s="49"/>
    </row>
    <row r="906">
      <c r="A906" s="63"/>
      <c r="B906" s="49"/>
      <c r="C906" s="49"/>
      <c r="D906" s="49"/>
      <c r="E906" s="49"/>
      <c r="F906" s="49"/>
      <c r="G906" s="49"/>
      <c r="H906" s="49"/>
      <c r="I906" s="49"/>
      <c r="J906" s="49"/>
      <c r="K906" s="49"/>
      <c r="L906" s="49"/>
    </row>
    <row r="907">
      <c r="A907" s="63"/>
      <c r="B907" s="49"/>
      <c r="C907" s="49"/>
      <c r="D907" s="49"/>
      <c r="E907" s="49"/>
      <c r="F907" s="49"/>
      <c r="G907" s="49"/>
      <c r="H907" s="49"/>
      <c r="I907" s="49"/>
      <c r="J907" s="49"/>
      <c r="K907" s="49"/>
      <c r="L907" s="49"/>
    </row>
    <row r="908">
      <c r="A908" s="63"/>
      <c r="B908" s="49"/>
      <c r="C908" s="49"/>
      <c r="D908" s="49"/>
      <c r="E908" s="49"/>
      <c r="F908" s="49"/>
      <c r="G908" s="49"/>
      <c r="H908" s="49"/>
      <c r="I908" s="49"/>
      <c r="J908" s="49"/>
      <c r="K908" s="49"/>
      <c r="L908" s="49"/>
    </row>
    <row r="909">
      <c r="A909" s="63"/>
      <c r="B909" s="49"/>
      <c r="C909" s="49"/>
      <c r="D909" s="49"/>
      <c r="E909" s="49"/>
      <c r="F909" s="49"/>
      <c r="G909" s="49"/>
      <c r="H909" s="49"/>
      <c r="I909" s="49"/>
      <c r="J909" s="49"/>
      <c r="K909" s="49"/>
      <c r="L909" s="49"/>
    </row>
    <row r="910">
      <c r="A910" s="63"/>
      <c r="B910" s="49"/>
      <c r="C910" s="49"/>
      <c r="D910" s="49"/>
      <c r="E910" s="49"/>
      <c r="F910" s="49"/>
      <c r="G910" s="49"/>
      <c r="H910" s="49"/>
      <c r="I910" s="49"/>
      <c r="J910" s="49"/>
      <c r="K910" s="49"/>
      <c r="L910" s="49"/>
    </row>
    <row r="911">
      <c r="A911" s="63"/>
      <c r="B911" s="49"/>
      <c r="C911" s="49"/>
      <c r="D911" s="49"/>
      <c r="E911" s="49"/>
      <c r="F911" s="49"/>
      <c r="G911" s="49"/>
      <c r="H911" s="49"/>
      <c r="I911" s="49"/>
      <c r="J911" s="49"/>
      <c r="K911" s="49"/>
      <c r="L911" s="49"/>
    </row>
    <row r="912">
      <c r="A912" s="63"/>
      <c r="B912" s="49"/>
      <c r="C912" s="49"/>
      <c r="D912" s="49"/>
      <c r="E912" s="49"/>
      <c r="F912" s="49"/>
      <c r="G912" s="49"/>
      <c r="H912" s="49"/>
      <c r="I912" s="49"/>
      <c r="J912" s="49"/>
      <c r="K912" s="49"/>
      <c r="L912" s="49"/>
    </row>
    <row r="913">
      <c r="A913" s="63"/>
      <c r="B913" s="49"/>
      <c r="C913" s="49"/>
      <c r="D913" s="49"/>
      <c r="E913" s="49"/>
      <c r="F913" s="49"/>
      <c r="G913" s="49"/>
      <c r="H913" s="49"/>
      <c r="I913" s="49"/>
      <c r="J913" s="49"/>
      <c r="K913" s="49"/>
      <c r="L913" s="49"/>
    </row>
    <row r="914">
      <c r="A914" s="63"/>
      <c r="B914" s="49"/>
      <c r="C914" s="49"/>
      <c r="D914" s="49"/>
      <c r="E914" s="49"/>
      <c r="F914" s="49"/>
      <c r="G914" s="49"/>
      <c r="H914" s="49"/>
      <c r="I914" s="49"/>
      <c r="J914" s="49"/>
      <c r="K914" s="49"/>
      <c r="L914" s="49"/>
    </row>
    <row r="915">
      <c r="A915" s="63"/>
      <c r="B915" s="49"/>
      <c r="C915" s="49"/>
      <c r="D915" s="49"/>
      <c r="E915" s="49"/>
      <c r="F915" s="49"/>
      <c r="G915" s="49"/>
      <c r="H915" s="49"/>
      <c r="I915" s="49"/>
      <c r="J915" s="49"/>
      <c r="K915" s="49"/>
      <c r="L915" s="49"/>
    </row>
    <row r="916">
      <c r="A916" s="63"/>
      <c r="B916" s="49"/>
      <c r="C916" s="49"/>
      <c r="D916" s="49"/>
      <c r="E916" s="49"/>
      <c r="F916" s="49"/>
      <c r="G916" s="49"/>
      <c r="H916" s="49"/>
      <c r="I916" s="49"/>
      <c r="J916" s="49"/>
      <c r="K916" s="49"/>
      <c r="L916" s="49"/>
    </row>
    <row r="917">
      <c r="A917" s="63"/>
      <c r="B917" s="49"/>
      <c r="C917" s="49"/>
      <c r="D917" s="49"/>
      <c r="E917" s="49"/>
      <c r="F917" s="49"/>
      <c r="G917" s="49"/>
      <c r="H917" s="49"/>
      <c r="I917" s="49"/>
      <c r="J917" s="49"/>
      <c r="K917" s="49"/>
      <c r="L917" s="49"/>
    </row>
    <row r="918">
      <c r="A918" s="63"/>
      <c r="B918" s="49"/>
      <c r="C918" s="49"/>
      <c r="D918" s="49"/>
      <c r="E918" s="49"/>
      <c r="F918" s="49"/>
      <c r="G918" s="49"/>
      <c r="H918" s="49"/>
      <c r="I918" s="49"/>
      <c r="J918" s="49"/>
      <c r="K918" s="49"/>
      <c r="L918" s="49"/>
    </row>
    <row r="919">
      <c r="A919" s="63"/>
      <c r="B919" s="49"/>
      <c r="C919" s="49"/>
      <c r="D919" s="49"/>
      <c r="E919" s="49"/>
      <c r="F919" s="49"/>
      <c r="G919" s="49"/>
      <c r="H919" s="49"/>
      <c r="I919" s="49"/>
      <c r="J919" s="49"/>
      <c r="K919" s="49"/>
      <c r="L919" s="49"/>
    </row>
    <row r="920">
      <c r="A920" s="63"/>
      <c r="B920" s="49"/>
      <c r="C920" s="49"/>
      <c r="D920" s="49"/>
      <c r="E920" s="49"/>
      <c r="F920" s="49"/>
      <c r="G920" s="49"/>
      <c r="H920" s="49"/>
      <c r="I920" s="49"/>
      <c r="J920" s="49"/>
      <c r="K920" s="49"/>
      <c r="L920" s="49"/>
    </row>
    <row r="921">
      <c r="A921" s="63"/>
      <c r="B921" s="49"/>
      <c r="C921" s="49"/>
      <c r="D921" s="49"/>
      <c r="E921" s="49"/>
      <c r="F921" s="49"/>
      <c r="G921" s="49"/>
      <c r="H921" s="49"/>
      <c r="I921" s="49"/>
      <c r="J921" s="49"/>
      <c r="K921" s="49"/>
      <c r="L921" s="49"/>
    </row>
    <row r="922">
      <c r="A922" s="63"/>
      <c r="B922" s="49"/>
      <c r="C922" s="49"/>
      <c r="D922" s="49"/>
      <c r="E922" s="49"/>
      <c r="F922" s="49"/>
      <c r="G922" s="49"/>
      <c r="H922" s="49"/>
      <c r="I922" s="49"/>
      <c r="J922" s="49"/>
      <c r="K922" s="49"/>
      <c r="L922" s="49"/>
    </row>
    <row r="923">
      <c r="A923" s="63"/>
      <c r="B923" s="49"/>
      <c r="C923" s="49"/>
      <c r="D923" s="49"/>
      <c r="E923" s="49"/>
      <c r="F923" s="49"/>
      <c r="G923" s="49"/>
      <c r="H923" s="49"/>
      <c r="I923" s="49"/>
      <c r="J923" s="49"/>
      <c r="K923" s="49"/>
      <c r="L923" s="49"/>
    </row>
    <row r="924">
      <c r="A924" s="63"/>
      <c r="B924" s="49"/>
      <c r="C924" s="49"/>
      <c r="D924" s="49"/>
      <c r="E924" s="49"/>
      <c r="F924" s="49"/>
      <c r="G924" s="49"/>
      <c r="H924" s="49"/>
      <c r="I924" s="49"/>
      <c r="J924" s="49"/>
      <c r="K924" s="49"/>
      <c r="L924" s="49"/>
    </row>
    <row r="925">
      <c r="A925" s="63"/>
      <c r="B925" s="49"/>
      <c r="C925" s="49"/>
      <c r="D925" s="49"/>
      <c r="E925" s="49"/>
      <c r="F925" s="49"/>
      <c r="G925" s="49"/>
      <c r="H925" s="49"/>
      <c r="I925" s="49"/>
      <c r="J925" s="49"/>
      <c r="K925" s="49"/>
      <c r="L925" s="49"/>
    </row>
    <row r="926">
      <c r="A926" s="63"/>
      <c r="B926" s="49"/>
      <c r="C926" s="49"/>
      <c r="D926" s="49"/>
      <c r="E926" s="49"/>
      <c r="F926" s="49"/>
      <c r="G926" s="49"/>
      <c r="H926" s="49"/>
      <c r="I926" s="49"/>
      <c r="J926" s="49"/>
      <c r="K926" s="49"/>
      <c r="L926" s="49"/>
    </row>
    <row r="927">
      <c r="A927" s="63"/>
      <c r="B927" s="49"/>
      <c r="C927" s="49"/>
      <c r="D927" s="49"/>
      <c r="E927" s="49"/>
      <c r="F927" s="49"/>
      <c r="G927" s="49"/>
      <c r="H927" s="49"/>
      <c r="I927" s="49"/>
      <c r="J927" s="49"/>
      <c r="K927" s="49"/>
      <c r="L927" s="49"/>
    </row>
    <row r="928">
      <c r="A928" s="63"/>
      <c r="B928" s="49"/>
      <c r="C928" s="49"/>
      <c r="D928" s="49"/>
      <c r="E928" s="49"/>
      <c r="F928" s="49"/>
      <c r="G928" s="49"/>
      <c r="H928" s="49"/>
      <c r="I928" s="49"/>
      <c r="J928" s="49"/>
      <c r="K928" s="49"/>
      <c r="L928" s="49"/>
    </row>
    <row r="929">
      <c r="A929" s="63"/>
      <c r="B929" s="49"/>
      <c r="C929" s="49"/>
      <c r="D929" s="49"/>
      <c r="E929" s="49"/>
      <c r="F929" s="49"/>
      <c r="G929" s="49"/>
      <c r="H929" s="49"/>
      <c r="I929" s="49"/>
      <c r="J929" s="49"/>
      <c r="K929" s="49"/>
      <c r="L929" s="49"/>
    </row>
    <row r="930">
      <c r="A930" s="63"/>
      <c r="B930" s="49"/>
      <c r="C930" s="49"/>
      <c r="D930" s="49"/>
      <c r="E930" s="49"/>
      <c r="F930" s="49"/>
      <c r="G930" s="49"/>
      <c r="H930" s="49"/>
      <c r="I930" s="49"/>
      <c r="J930" s="49"/>
      <c r="K930" s="49"/>
      <c r="L930" s="49"/>
    </row>
    <row r="931">
      <c r="A931" s="63"/>
      <c r="B931" s="49"/>
      <c r="C931" s="49"/>
      <c r="D931" s="49"/>
      <c r="E931" s="49"/>
      <c r="F931" s="49"/>
      <c r="G931" s="49"/>
      <c r="H931" s="49"/>
      <c r="I931" s="49"/>
      <c r="J931" s="49"/>
      <c r="K931" s="49"/>
      <c r="L931" s="49"/>
    </row>
    <row r="932">
      <c r="A932" s="63"/>
      <c r="B932" s="49"/>
      <c r="C932" s="49"/>
      <c r="D932" s="49"/>
      <c r="E932" s="49"/>
      <c r="F932" s="49"/>
      <c r="G932" s="49"/>
      <c r="H932" s="49"/>
      <c r="I932" s="49"/>
      <c r="J932" s="49"/>
      <c r="K932" s="49"/>
      <c r="L932" s="49"/>
    </row>
    <row r="933">
      <c r="A933" s="63"/>
      <c r="B933" s="49"/>
      <c r="C933" s="49"/>
      <c r="D933" s="49"/>
      <c r="E933" s="49"/>
      <c r="F933" s="49"/>
      <c r="G933" s="49"/>
      <c r="H933" s="49"/>
      <c r="I933" s="49"/>
      <c r="J933" s="49"/>
      <c r="K933" s="49"/>
      <c r="L933" s="49"/>
    </row>
    <row r="934">
      <c r="A934" s="63"/>
      <c r="B934" s="49"/>
      <c r="C934" s="49"/>
      <c r="D934" s="49"/>
      <c r="E934" s="49"/>
      <c r="F934" s="49"/>
      <c r="G934" s="49"/>
      <c r="H934" s="49"/>
      <c r="I934" s="49"/>
      <c r="J934" s="49"/>
      <c r="K934" s="49"/>
      <c r="L934" s="49"/>
    </row>
    <row r="935">
      <c r="A935" s="63"/>
      <c r="B935" s="49"/>
      <c r="C935" s="49"/>
      <c r="D935" s="49"/>
      <c r="E935" s="49"/>
      <c r="F935" s="49"/>
      <c r="G935" s="49"/>
      <c r="H935" s="49"/>
      <c r="I935" s="49"/>
      <c r="J935" s="49"/>
      <c r="K935" s="49"/>
      <c r="L935" s="49"/>
    </row>
    <row r="936">
      <c r="A936" s="63"/>
      <c r="B936" s="49"/>
      <c r="C936" s="49"/>
      <c r="D936" s="49"/>
      <c r="E936" s="49"/>
      <c r="F936" s="49"/>
      <c r="G936" s="49"/>
      <c r="H936" s="49"/>
      <c r="I936" s="49"/>
      <c r="J936" s="49"/>
      <c r="K936" s="49"/>
      <c r="L936" s="49"/>
    </row>
    <row r="937">
      <c r="A937" s="63"/>
      <c r="B937" s="49"/>
      <c r="C937" s="49"/>
      <c r="D937" s="49"/>
      <c r="E937" s="49"/>
      <c r="F937" s="49"/>
      <c r="G937" s="49"/>
      <c r="H937" s="49"/>
      <c r="I937" s="49"/>
      <c r="J937" s="49"/>
      <c r="K937" s="49"/>
      <c r="L937" s="49"/>
    </row>
    <row r="938">
      <c r="A938" s="63"/>
      <c r="B938" s="49"/>
      <c r="C938" s="49"/>
      <c r="D938" s="49"/>
      <c r="E938" s="49"/>
      <c r="F938" s="49"/>
      <c r="G938" s="49"/>
      <c r="H938" s="49"/>
      <c r="I938" s="49"/>
      <c r="J938" s="49"/>
      <c r="K938" s="49"/>
      <c r="L938" s="49"/>
    </row>
    <row r="939">
      <c r="A939" s="63"/>
      <c r="B939" s="49"/>
      <c r="C939" s="49"/>
      <c r="D939" s="49"/>
      <c r="E939" s="49"/>
      <c r="F939" s="49"/>
      <c r="G939" s="49"/>
      <c r="H939" s="49"/>
      <c r="I939" s="49"/>
      <c r="J939" s="49"/>
      <c r="K939" s="49"/>
      <c r="L939" s="49"/>
    </row>
    <row r="940">
      <c r="A940" s="63"/>
      <c r="B940" s="49"/>
      <c r="C940" s="49"/>
      <c r="D940" s="49"/>
      <c r="E940" s="49"/>
      <c r="F940" s="49"/>
      <c r="G940" s="49"/>
      <c r="H940" s="49"/>
      <c r="I940" s="49"/>
      <c r="J940" s="49"/>
      <c r="K940" s="49"/>
      <c r="L940" s="49"/>
    </row>
    <row r="941">
      <c r="A941" s="63"/>
      <c r="B941" s="49"/>
      <c r="C941" s="49"/>
      <c r="D941" s="49"/>
      <c r="E941" s="49"/>
      <c r="F941" s="49"/>
      <c r="G941" s="49"/>
      <c r="H941" s="49"/>
      <c r="I941" s="49"/>
      <c r="J941" s="49"/>
      <c r="K941" s="49"/>
      <c r="L941" s="49"/>
    </row>
    <row r="942">
      <c r="A942" s="63"/>
      <c r="B942" s="49"/>
      <c r="C942" s="49"/>
      <c r="D942" s="49"/>
      <c r="E942" s="49"/>
      <c r="F942" s="49"/>
      <c r="G942" s="49"/>
      <c r="H942" s="49"/>
      <c r="I942" s="49"/>
      <c r="J942" s="49"/>
      <c r="K942" s="49"/>
      <c r="L942" s="49"/>
    </row>
    <row r="943">
      <c r="A943" s="63"/>
      <c r="B943" s="49"/>
      <c r="C943" s="49"/>
      <c r="D943" s="49"/>
      <c r="E943" s="49"/>
      <c r="F943" s="49"/>
      <c r="G943" s="49"/>
      <c r="H943" s="49"/>
      <c r="I943" s="49"/>
      <c r="J943" s="49"/>
      <c r="K943" s="49"/>
      <c r="L943" s="49"/>
    </row>
    <row r="944">
      <c r="A944" s="63"/>
      <c r="B944" s="49"/>
      <c r="C944" s="49"/>
      <c r="D944" s="49"/>
      <c r="E944" s="49"/>
      <c r="F944" s="49"/>
      <c r="G944" s="49"/>
      <c r="H944" s="49"/>
      <c r="I944" s="49"/>
      <c r="J944" s="49"/>
      <c r="K944" s="49"/>
      <c r="L944" s="49"/>
    </row>
    <row r="945">
      <c r="A945" s="63"/>
      <c r="B945" s="49"/>
      <c r="C945" s="49"/>
      <c r="D945" s="49"/>
      <c r="E945" s="49"/>
      <c r="F945" s="49"/>
      <c r="G945" s="49"/>
      <c r="H945" s="49"/>
      <c r="I945" s="49"/>
      <c r="J945" s="49"/>
      <c r="K945" s="49"/>
      <c r="L945" s="49"/>
    </row>
    <row r="946">
      <c r="A946" s="63"/>
      <c r="B946" s="49"/>
      <c r="C946" s="49"/>
      <c r="D946" s="49"/>
      <c r="E946" s="49"/>
      <c r="F946" s="49"/>
      <c r="G946" s="49"/>
      <c r="H946" s="49"/>
      <c r="I946" s="49"/>
      <c r="J946" s="49"/>
      <c r="K946" s="49"/>
      <c r="L946" s="49"/>
    </row>
    <row r="947">
      <c r="A947" s="63"/>
      <c r="B947" s="49"/>
      <c r="C947" s="49"/>
      <c r="D947" s="49"/>
      <c r="E947" s="49"/>
      <c r="F947" s="49"/>
      <c r="G947" s="49"/>
      <c r="H947" s="49"/>
      <c r="I947" s="49"/>
      <c r="J947" s="49"/>
      <c r="K947" s="49"/>
      <c r="L947" s="49"/>
    </row>
    <row r="948">
      <c r="A948" s="63"/>
      <c r="B948" s="49"/>
      <c r="C948" s="49"/>
      <c r="D948" s="49"/>
      <c r="E948" s="49"/>
      <c r="F948" s="49"/>
      <c r="G948" s="49"/>
      <c r="H948" s="49"/>
      <c r="I948" s="49"/>
      <c r="J948" s="49"/>
      <c r="K948" s="49"/>
      <c r="L948" s="49"/>
    </row>
    <row r="949">
      <c r="A949" s="63"/>
      <c r="B949" s="49"/>
      <c r="C949" s="49"/>
      <c r="D949" s="49"/>
      <c r="E949" s="49"/>
      <c r="F949" s="49"/>
      <c r="G949" s="49"/>
      <c r="H949" s="49"/>
      <c r="I949" s="49"/>
      <c r="J949" s="49"/>
      <c r="K949" s="49"/>
      <c r="L949" s="49"/>
    </row>
    <row r="950">
      <c r="A950" s="63"/>
      <c r="B950" s="49"/>
      <c r="C950" s="49"/>
      <c r="D950" s="49"/>
      <c r="E950" s="49"/>
      <c r="F950" s="49"/>
      <c r="G950" s="49"/>
      <c r="H950" s="49"/>
      <c r="I950" s="49"/>
      <c r="J950" s="49"/>
      <c r="K950" s="49"/>
      <c r="L950" s="49"/>
    </row>
    <row r="951">
      <c r="A951" s="63"/>
      <c r="B951" s="49"/>
      <c r="C951" s="49"/>
      <c r="D951" s="49"/>
      <c r="E951" s="49"/>
      <c r="F951" s="49"/>
      <c r="G951" s="49"/>
      <c r="H951" s="49"/>
      <c r="I951" s="49"/>
      <c r="J951" s="49"/>
      <c r="K951" s="49"/>
      <c r="L951" s="49"/>
    </row>
    <row r="952">
      <c r="A952" s="63"/>
      <c r="B952" s="49"/>
      <c r="C952" s="49"/>
      <c r="D952" s="49"/>
      <c r="E952" s="49"/>
      <c r="F952" s="49"/>
      <c r="G952" s="49"/>
      <c r="H952" s="49"/>
      <c r="I952" s="49"/>
      <c r="J952" s="49"/>
      <c r="K952" s="49"/>
      <c r="L952" s="49"/>
    </row>
    <row r="953">
      <c r="A953" s="63"/>
      <c r="B953" s="49"/>
      <c r="C953" s="49"/>
      <c r="D953" s="49"/>
      <c r="E953" s="49"/>
      <c r="F953" s="49"/>
      <c r="G953" s="49"/>
      <c r="H953" s="49"/>
      <c r="I953" s="49"/>
      <c r="J953" s="49"/>
      <c r="K953" s="49"/>
      <c r="L953" s="49"/>
    </row>
    <row r="954">
      <c r="A954" s="63"/>
      <c r="B954" s="49"/>
      <c r="C954" s="49"/>
      <c r="D954" s="49"/>
      <c r="E954" s="49"/>
      <c r="F954" s="49"/>
      <c r="G954" s="49"/>
      <c r="H954" s="49"/>
      <c r="I954" s="49"/>
      <c r="J954" s="49"/>
      <c r="K954" s="49"/>
      <c r="L954" s="49"/>
    </row>
    <row r="955">
      <c r="A955" s="63"/>
      <c r="B955" s="49"/>
      <c r="C955" s="49"/>
      <c r="D955" s="49"/>
      <c r="E955" s="49"/>
      <c r="F955" s="49"/>
      <c r="G955" s="49"/>
      <c r="H955" s="49"/>
      <c r="I955" s="49"/>
      <c r="J955" s="49"/>
      <c r="K955" s="49"/>
      <c r="L955" s="49"/>
    </row>
    <row r="956">
      <c r="A956" s="63"/>
      <c r="B956" s="49"/>
      <c r="C956" s="49"/>
      <c r="D956" s="49"/>
      <c r="E956" s="49"/>
      <c r="F956" s="49"/>
      <c r="G956" s="49"/>
      <c r="H956" s="49"/>
      <c r="I956" s="49"/>
      <c r="J956" s="49"/>
      <c r="K956" s="49"/>
      <c r="L956" s="49"/>
    </row>
    <row r="957">
      <c r="A957" s="63"/>
      <c r="B957" s="49"/>
      <c r="C957" s="49"/>
      <c r="D957" s="49"/>
      <c r="E957" s="49"/>
      <c r="F957" s="49"/>
      <c r="G957" s="49"/>
      <c r="H957" s="49"/>
      <c r="I957" s="49"/>
      <c r="J957" s="49"/>
      <c r="K957" s="49"/>
      <c r="L957" s="49"/>
    </row>
    <row r="958">
      <c r="A958" s="63"/>
      <c r="B958" s="49"/>
      <c r="C958" s="49"/>
      <c r="D958" s="49"/>
      <c r="E958" s="49"/>
      <c r="F958" s="49"/>
      <c r="G958" s="49"/>
      <c r="H958" s="49"/>
      <c r="I958" s="49"/>
      <c r="J958" s="49"/>
      <c r="K958" s="49"/>
      <c r="L958" s="49"/>
    </row>
    <row r="959">
      <c r="A959" s="63"/>
      <c r="B959" s="49"/>
      <c r="C959" s="49"/>
      <c r="D959" s="49"/>
      <c r="E959" s="49"/>
      <c r="F959" s="49"/>
      <c r="G959" s="49"/>
      <c r="H959" s="49"/>
      <c r="I959" s="49"/>
      <c r="J959" s="49"/>
      <c r="K959" s="49"/>
      <c r="L959" s="49"/>
    </row>
    <row r="960">
      <c r="A960" s="63"/>
      <c r="B960" s="49"/>
      <c r="C960" s="49"/>
      <c r="D960" s="49"/>
      <c r="E960" s="49"/>
      <c r="F960" s="49"/>
      <c r="G960" s="49"/>
      <c r="H960" s="49"/>
      <c r="I960" s="49"/>
      <c r="J960" s="49"/>
      <c r="K960" s="49"/>
      <c r="L960" s="49"/>
    </row>
    <row r="961">
      <c r="A961" s="63"/>
      <c r="B961" s="49"/>
      <c r="C961" s="49"/>
      <c r="D961" s="49"/>
      <c r="E961" s="49"/>
      <c r="F961" s="49"/>
      <c r="G961" s="49"/>
      <c r="H961" s="49"/>
      <c r="I961" s="49"/>
      <c r="J961" s="49"/>
      <c r="K961" s="49"/>
      <c r="L961" s="49"/>
    </row>
    <row r="962">
      <c r="A962" s="63"/>
      <c r="B962" s="49"/>
      <c r="C962" s="49"/>
      <c r="D962" s="49"/>
      <c r="E962" s="49"/>
      <c r="F962" s="49"/>
      <c r="G962" s="49"/>
      <c r="H962" s="49"/>
      <c r="I962" s="49"/>
      <c r="J962" s="49"/>
      <c r="K962" s="49"/>
      <c r="L962" s="49"/>
    </row>
    <row r="963">
      <c r="A963" s="63"/>
      <c r="B963" s="49"/>
      <c r="C963" s="49"/>
      <c r="D963" s="49"/>
      <c r="E963" s="49"/>
      <c r="F963" s="49"/>
      <c r="G963" s="49"/>
      <c r="H963" s="49"/>
      <c r="I963" s="49"/>
      <c r="J963" s="49"/>
      <c r="K963" s="49"/>
      <c r="L963" s="49"/>
    </row>
    <row r="964">
      <c r="A964" s="63"/>
      <c r="B964" s="49"/>
      <c r="C964" s="49"/>
      <c r="D964" s="49"/>
      <c r="E964" s="49"/>
      <c r="F964" s="49"/>
      <c r="G964" s="49"/>
      <c r="H964" s="49"/>
      <c r="I964" s="49"/>
      <c r="J964" s="49"/>
      <c r="K964" s="49"/>
      <c r="L964" s="49"/>
    </row>
    <row r="965">
      <c r="A965" s="63"/>
      <c r="B965" s="49"/>
      <c r="C965" s="49"/>
      <c r="D965" s="49"/>
      <c r="E965" s="49"/>
      <c r="F965" s="49"/>
      <c r="G965" s="49"/>
      <c r="H965" s="49"/>
      <c r="I965" s="49"/>
      <c r="J965" s="49"/>
      <c r="K965" s="49"/>
      <c r="L965" s="49"/>
    </row>
    <row r="966">
      <c r="A966" s="63"/>
      <c r="B966" s="49"/>
      <c r="C966" s="49"/>
      <c r="D966" s="49"/>
      <c r="E966" s="49"/>
      <c r="F966" s="49"/>
      <c r="G966" s="49"/>
      <c r="H966" s="49"/>
      <c r="I966" s="49"/>
      <c r="J966" s="49"/>
      <c r="K966" s="49"/>
      <c r="L966" s="49"/>
    </row>
    <row r="967">
      <c r="A967" s="63"/>
      <c r="B967" s="49"/>
      <c r="C967" s="49"/>
      <c r="D967" s="49"/>
      <c r="E967" s="49"/>
      <c r="F967" s="49"/>
      <c r="G967" s="49"/>
      <c r="H967" s="49"/>
      <c r="I967" s="49"/>
      <c r="J967" s="49"/>
      <c r="K967" s="49"/>
      <c r="L967" s="49"/>
    </row>
    <row r="968">
      <c r="A968" s="63"/>
      <c r="B968" s="49"/>
      <c r="C968" s="49"/>
      <c r="D968" s="49"/>
      <c r="E968" s="49"/>
      <c r="F968" s="49"/>
      <c r="G968" s="49"/>
      <c r="H968" s="49"/>
      <c r="I968" s="49"/>
      <c r="J968" s="49"/>
      <c r="K968" s="49"/>
      <c r="L968" s="49"/>
    </row>
    <row r="969">
      <c r="A969" s="63"/>
      <c r="B969" s="49"/>
      <c r="C969" s="49"/>
      <c r="D969" s="49"/>
      <c r="E969" s="49"/>
      <c r="F969" s="49"/>
      <c r="G969" s="49"/>
      <c r="H969" s="49"/>
      <c r="I969" s="49"/>
      <c r="J969" s="49"/>
      <c r="K969" s="49"/>
      <c r="L969" s="49"/>
    </row>
    <row r="970">
      <c r="A970" s="63"/>
      <c r="B970" s="49"/>
      <c r="C970" s="49"/>
      <c r="D970" s="49"/>
      <c r="E970" s="49"/>
      <c r="F970" s="49"/>
      <c r="G970" s="49"/>
      <c r="H970" s="49"/>
      <c r="I970" s="49"/>
      <c r="J970" s="49"/>
      <c r="K970" s="49"/>
      <c r="L970" s="49"/>
    </row>
    <row r="971">
      <c r="A971" s="63"/>
      <c r="B971" s="49"/>
      <c r="C971" s="49"/>
      <c r="D971" s="49"/>
      <c r="E971" s="49"/>
      <c r="F971" s="49"/>
      <c r="G971" s="49"/>
      <c r="H971" s="49"/>
      <c r="I971" s="49"/>
      <c r="J971" s="49"/>
      <c r="K971" s="49"/>
      <c r="L971" s="49"/>
    </row>
    <row r="972">
      <c r="A972" s="63"/>
      <c r="B972" s="49"/>
      <c r="C972" s="49"/>
      <c r="D972" s="49"/>
      <c r="E972" s="49"/>
      <c r="F972" s="49"/>
      <c r="G972" s="49"/>
      <c r="H972" s="49"/>
      <c r="I972" s="49"/>
      <c r="J972" s="49"/>
      <c r="K972" s="49"/>
      <c r="L972" s="49"/>
    </row>
    <row r="973">
      <c r="A973" s="63"/>
      <c r="B973" s="49"/>
      <c r="C973" s="49"/>
      <c r="D973" s="49"/>
      <c r="E973" s="49"/>
      <c r="F973" s="49"/>
      <c r="G973" s="49"/>
      <c r="H973" s="49"/>
      <c r="I973" s="49"/>
      <c r="J973" s="49"/>
      <c r="K973" s="49"/>
      <c r="L973" s="49"/>
    </row>
    <row r="974">
      <c r="A974" s="63"/>
      <c r="B974" s="49"/>
      <c r="C974" s="49"/>
      <c r="D974" s="49"/>
      <c r="E974" s="49"/>
      <c r="F974" s="49"/>
      <c r="G974" s="49"/>
      <c r="H974" s="49"/>
      <c r="I974" s="49"/>
      <c r="J974" s="49"/>
      <c r="K974" s="49"/>
      <c r="L974" s="49"/>
    </row>
    <row r="975">
      <c r="A975" s="63"/>
      <c r="B975" s="49"/>
      <c r="C975" s="49"/>
      <c r="D975" s="49"/>
      <c r="E975" s="49"/>
      <c r="F975" s="49"/>
      <c r="G975" s="49"/>
      <c r="H975" s="49"/>
      <c r="I975" s="49"/>
      <c r="J975" s="49"/>
      <c r="K975" s="49"/>
      <c r="L975" s="49"/>
    </row>
    <row r="976">
      <c r="A976" s="63"/>
      <c r="B976" s="49"/>
      <c r="C976" s="49"/>
      <c r="D976" s="49"/>
      <c r="E976" s="49"/>
      <c r="F976" s="49"/>
      <c r="G976" s="49"/>
      <c r="H976" s="49"/>
      <c r="I976" s="49"/>
      <c r="J976" s="49"/>
      <c r="K976" s="49"/>
      <c r="L976" s="49"/>
    </row>
    <row r="977">
      <c r="A977" s="63"/>
      <c r="B977" s="49"/>
      <c r="C977" s="49"/>
      <c r="D977" s="49"/>
      <c r="E977" s="49"/>
      <c r="F977" s="49"/>
      <c r="G977" s="49"/>
      <c r="H977" s="49"/>
      <c r="I977" s="49"/>
      <c r="J977" s="49"/>
      <c r="K977" s="49"/>
      <c r="L977" s="49"/>
    </row>
    <row r="978">
      <c r="A978" s="63"/>
      <c r="B978" s="49"/>
      <c r="C978" s="49"/>
      <c r="D978" s="49"/>
      <c r="E978" s="49"/>
      <c r="F978" s="49"/>
      <c r="G978" s="49"/>
      <c r="H978" s="49"/>
      <c r="I978" s="49"/>
      <c r="J978" s="49"/>
      <c r="K978" s="49"/>
      <c r="L978" s="49"/>
    </row>
    <row r="979">
      <c r="A979" s="63"/>
      <c r="B979" s="49"/>
      <c r="C979" s="49"/>
      <c r="D979" s="49"/>
      <c r="E979" s="49"/>
      <c r="F979" s="49"/>
      <c r="G979" s="49"/>
      <c r="H979" s="49"/>
      <c r="I979" s="49"/>
      <c r="J979" s="49"/>
      <c r="K979" s="49"/>
      <c r="L979" s="49"/>
    </row>
    <row r="980">
      <c r="A980" s="63"/>
      <c r="B980" s="49"/>
      <c r="C980" s="49"/>
      <c r="D980" s="49"/>
      <c r="E980" s="49"/>
      <c r="F980" s="49"/>
      <c r="G980" s="49"/>
      <c r="H980" s="49"/>
      <c r="I980" s="49"/>
      <c r="J980" s="49"/>
      <c r="K980" s="49"/>
      <c r="L980" s="49"/>
    </row>
    <row r="981">
      <c r="A981" s="63"/>
      <c r="B981" s="49"/>
      <c r="C981" s="49"/>
      <c r="D981" s="49"/>
      <c r="E981" s="49"/>
      <c r="F981" s="49"/>
      <c r="G981" s="49"/>
      <c r="H981" s="49"/>
      <c r="I981" s="49"/>
      <c r="J981" s="49"/>
      <c r="K981" s="49"/>
      <c r="L981" s="49"/>
    </row>
    <row r="982">
      <c r="A982" s="63"/>
      <c r="B982" s="49"/>
      <c r="C982" s="49"/>
      <c r="D982" s="49"/>
      <c r="E982" s="49"/>
      <c r="F982" s="49"/>
      <c r="G982" s="49"/>
      <c r="H982" s="49"/>
      <c r="I982" s="49"/>
      <c r="J982" s="49"/>
      <c r="K982" s="49"/>
      <c r="L982" s="49"/>
    </row>
    <row r="983">
      <c r="A983" s="63"/>
      <c r="B983" s="49"/>
      <c r="C983" s="49"/>
      <c r="D983" s="49"/>
      <c r="E983" s="49"/>
      <c r="F983" s="49"/>
      <c r="G983" s="49"/>
      <c r="H983" s="49"/>
      <c r="I983" s="49"/>
      <c r="J983" s="49"/>
      <c r="K983" s="49"/>
      <c r="L983" s="49"/>
    </row>
    <row r="984">
      <c r="A984" s="63"/>
      <c r="B984" s="49"/>
      <c r="C984" s="49"/>
      <c r="D984" s="49"/>
      <c r="E984" s="49"/>
      <c r="F984" s="49"/>
      <c r="G984" s="49"/>
      <c r="H984" s="49"/>
      <c r="I984" s="49"/>
      <c r="J984" s="49"/>
      <c r="K984" s="49"/>
      <c r="L984" s="49"/>
    </row>
    <row r="985">
      <c r="A985" s="63"/>
      <c r="B985" s="49"/>
      <c r="C985" s="49"/>
      <c r="D985" s="49"/>
      <c r="E985" s="49"/>
      <c r="F985" s="49"/>
      <c r="G985" s="49"/>
      <c r="H985" s="49"/>
      <c r="I985" s="49"/>
      <c r="J985" s="49"/>
      <c r="K985" s="49"/>
      <c r="L985" s="49"/>
    </row>
    <row r="986">
      <c r="A986" s="63"/>
      <c r="B986" s="49"/>
      <c r="C986" s="49"/>
      <c r="D986" s="49"/>
      <c r="E986" s="49"/>
      <c r="F986" s="49"/>
      <c r="G986" s="49"/>
      <c r="H986" s="49"/>
      <c r="I986" s="49"/>
      <c r="J986" s="49"/>
      <c r="K986" s="49"/>
      <c r="L986" s="49"/>
    </row>
    <row r="987">
      <c r="A987" s="63"/>
      <c r="B987" s="49"/>
      <c r="C987" s="49"/>
      <c r="D987" s="49"/>
      <c r="E987" s="49"/>
      <c r="F987" s="49"/>
      <c r="G987" s="49"/>
      <c r="H987" s="49"/>
      <c r="I987" s="49"/>
      <c r="J987" s="49"/>
      <c r="K987" s="49"/>
      <c r="L987" s="49"/>
    </row>
    <row r="988">
      <c r="A988" s="63"/>
      <c r="B988" s="49"/>
      <c r="C988" s="49"/>
      <c r="D988" s="49"/>
      <c r="E988" s="49"/>
      <c r="F988" s="49"/>
      <c r="G988" s="49"/>
      <c r="H988" s="49"/>
      <c r="I988" s="49"/>
      <c r="J988" s="49"/>
      <c r="K988" s="49"/>
      <c r="L988" s="49"/>
    </row>
    <row r="989">
      <c r="A989" s="63"/>
      <c r="B989" s="49"/>
      <c r="C989" s="49"/>
      <c r="D989" s="49"/>
      <c r="E989" s="49"/>
      <c r="F989" s="49"/>
      <c r="G989" s="49"/>
      <c r="H989" s="49"/>
      <c r="I989" s="49"/>
      <c r="J989" s="49"/>
      <c r="K989" s="49"/>
      <c r="L989" s="49"/>
    </row>
    <row r="990">
      <c r="A990" s="63"/>
      <c r="B990" s="49"/>
      <c r="C990" s="49"/>
      <c r="D990" s="49"/>
      <c r="E990" s="49"/>
      <c r="F990" s="49"/>
      <c r="G990" s="49"/>
      <c r="H990" s="49"/>
      <c r="I990" s="49"/>
      <c r="J990" s="49"/>
      <c r="K990" s="49"/>
      <c r="L990" s="49"/>
    </row>
    <row r="991">
      <c r="A991" s="63"/>
      <c r="B991" s="49"/>
      <c r="C991" s="49"/>
      <c r="D991" s="49"/>
      <c r="E991" s="49"/>
      <c r="F991" s="49"/>
      <c r="G991" s="49"/>
      <c r="H991" s="49"/>
      <c r="I991" s="49"/>
      <c r="J991" s="49"/>
      <c r="K991" s="49"/>
      <c r="L991" s="49"/>
    </row>
    <row r="992">
      <c r="A992" s="63"/>
      <c r="B992" s="49"/>
      <c r="C992" s="49"/>
      <c r="D992" s="49"/>
      <c r="E992" s="49"/>
      <c r="F992" s="49"/>
      <c r="G992" s="49"/>
      <c r="H992" s="49"/>
      <c r="I992" s="49"/>
      <c r="J992" s="49"/>
      <c r="K992" s="49"/>
      <c r="L992" s="49"/>
    </row>
    <row r="993">
      <c r="A993" s="63"/>
      <c r="B993" s="49"/>
      <c r="C993" s="49"/>
      <c r="D993" s="49"/>
      <c r="E993" s="49"/>
      <c r="F993" s="49"/>
      <c r="G993" s="49"/>
      <c r="H993" s="49"/>
      <c r="I993" s="49"/>
      <c r="J993" s="49"/>
      <c r="K993" s="49"/>
      <c r="L993" s="49"/>
    </row>
    <row r="994">
      <c r="A994" s="63"/>
      <c r="B994" s="49"/>
      <c r="C994" s="49"/>
      <c r="D994" s="49"/>
      <c r="E994" s="49"/>
      <c r="F994" s="49"/>
      <c r="G994" s="49"/>
      <c r="H994" s="49"/>
      <c r="I994" s="49"/>
      <c r="J994" s="49"/>
      <c r="K994" s="49"/>
      <c r="L994" s="49"/>
    </row>
    <row r="995">
      <c r="A995" s="63"/>
      <c r="B995" s="49"/>
      <c r="C995" s="49"/>
      <c r="D995" s="49"/>
      <c r="E995" s="49"/>
      <c r="F995" s="49"/>
      <c r="G995" s="49"/>
      <c r="H995" s="49"/>
      <c r="I995" s="49"/>
      <c r="J995" s="49"/>
      <c r="K995" s="49"/>
      <c r="L995" s="49"/>
    </row>
    <row r="996">
      <c r="A996" s="63"/>
      <c r="B996" s="49"/>
      <c r="C996" s="49"/>
      <c r="D996" s="49"/>
      <c r="E996" s="49"/>
      <c r="F996" s="49"/>
      <c r="G996" s="49"/>
      <c r="H996" s="49"/>
      <c r="I996" s="49"/>
      <c r="J996" s="49"/>
      <c r="K996" s="49"/>
      <c r="L996" s="49"/>
    </row>
    <row r="997">
      <c r="A997" s="63"/>
      <c r="B997" s="49"/>
      <c r="C997" s="49"/>
      <c r="D997" s="49"/>
      <c r="E997" s="49"/>
      <c r="F997" s="49"/>
      <c r="G997" s="49"/>
      <c r="H997" s="49"/>
      <c r="I997" s="49"/>
      <c r="J997" s="49"/>
      <c r="K997" s="49"/>
      <c r="L997" s="49"/>
    </row>
    <row r="998">
      <c r="A998" s="63"/>
      <c r="B998" s="49"/>
      <c r="C998" s="49"/>
      <c r="D998" s="49"/>
      <c r="E998" s="49"/>
      <c r="F998" s="49"/>
      <c r="G998" s="49"/>
      <c r="H998" s="49"/>
      <c r="I998" s="49"/>
      <c r="J998" s="49"/>
      <c r="K998" s="49"/>
      <c r="L998" s="49"/>
    </row>
    <row r="999">
      <c r="A999" s="63"/>
      <c r="B999" s="49"/>
      <c r="C999" s="49"/>
      <c r="D999" s="49"/>
      <c r="E999" s="49"/>
      <c r="F999" s="49"/>
      <c r="G999" s="49"/>
      <c r="H999" s="49"/>
      <c r="I999" s="49"/>
      <c r="J999" s="49"/>
      <c r="K999" s="49"/>
      <c r="L999" s="49"/>
    </row>
    <row r="1000">
      <c r="A1000" s="63"/>
      <c r="B1000" s="49"/>
      <c r="C1000" s="49"/>
      <c r="D1000" s="49"/>
      <c r="E1000" s="49"/>
      <c r="F1000" s="49"/>
      <c r="G1000" s="49"/>
      <c r="H1000" s="49"/>
      <c r="I1000" s="49"/>
      <c r="J1000" s="49"/>
      <c r="K1000" s="49"/>
      <c r="L1000" s="49"/>
    </row>
  </sheetData>
  <hyperlinks>
    <hyperlink display="RETURN TO DASHBOARD" location="Dashboard!A1" ref="A1"/>
    <hyperlink r:id="rId1" ref="L2"/>
    <hyperlink r:id="rId2" ref="L3"/>
    <hyperlink r:id="rId3" ref="L4"/>
    <hyperlink r:id="rId4" ref="L5"/>
    <hyperlink r:id="rId5" ref="L6"/>
  </hyperlinks>
  <drawing r:id="rId6"/>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6.63"/>
    <col customWidth="1" min="3" max="3" width="21.38"/>
    <col customWidth="1" min="4" max="4" width="17.13"/>
    <col customWidth="1" min="11" max="11" width="16.38"/>
    <col customWidth="1" min="12" max="12" width="24.88"/>
  </cols>
  <sheetData>
    <row r="1">
      <c r="A1" s="43" t="s">
        <v>1258</v>
      </c>
      <c r="B1" s="45" t="str">
        <f>IFERROR(__xludf.DUMMYFUNCTION("QUERY('Form Responses 1'!A:AAC, ""SELECT AD, AE, AF, AG, AH, AI, AJ, AK, AL, AM, AN WHERE C = 'Student Exchange'"", 1)"),"Incoming / Outgoing")</f>
        <v>Incoming / Outgoing</v>
      </c>
      <c r="C1" s="45" t="str">
        <f>IFERROR(__xludf.DUMMYFUNCTION("""COMPUTED_VALUE"""),"Students Name")</f>
        <v>Students Name</v>
      </c>
      <c r="D1" s="45" t="str">
        <f>IFERROR(__xludf.DUMMYFUNCTION("""COMPUTED_VALUE"""),"Course ")</f>
        <v>Course </v>
      </c>
      <c r="E1" s="45" t="str">
        <f>IFERROR(__xludf.DUMMYFUNCTION("""COMPUTED_VALUE"""),"Semester /Year")</f>
        <v>Semester /Year</v>
      </c>
      <c r="F1" s="45" t="str">
        <f>IFERROR(__xludf.DUMMYFUNCTION("""COMPUTED_VALUE"""),"USN NO")</f>
        <v>USN NO</v>
      </c>
      <c r="G1" s="45" t="str">
        <f>IFERROR(__xludf.DUMMYFUNCTION("""COMPUTED_VALUE"""),"Exchange University")</f>
        <v>Exchange University</v>
      </c>
      <c r="H1" s="45" t="str">
        <f>IFERROR(__xludf.DUMMYFUNCTION("""COMPUTED_VALUE"""),"From Date")</f>
        <v>From Date</v>
      </c>
      <c r="I1" s="45" t="str">
        <f>IFERROR(__xludf.DUMMYFUNCTION("""COMPUTED_VALUE"""),"To Date")</f>
        <v>To Date</v>
      </c>
      <c r="J1" s="45" t="str">
        <f>IFERROR(__xludf.DUMMYFUNCTION("""COMPUTED_VALUE"""),"Status")</f>
        <v>Status</v>
      </c>
      <c r="K1" s="45" t="str">
        <f>IFERROR(__xludf.DUMMYFUNCTION("""COMPUTED_VALUE"""),"Student Exchange -   Upload Zip FIle")</f>
        <v>Student Exchange -   Upload Zip FIle</v>
      </c>
      <c r="L1" s="45" t="str">
        <f>IFERROR(__xludf.DUMMYFUNCTION("""COMPUTED_VALUE"""),"Student Exchange -  Upload Zip FIle")</f>
        <v>Student Exchange -  Upload Zip FIle</v>
      </c>
      <c r="M1" s="46"/>
      <c r="N1" s="46"/>
      <c r="O1" s="46"/>
      <c r="P1" s="46"/>
      <c r="Q1" s="46"/>
      <c r="R1" s="46"/>
      <c r="S1" s="46"/>
      <c r="T1" s="46"/>
      <c r="U1" s="46"/>
      <c r="V1" s="46"/>
      <c r="W1" s="46"/>
      <c r="X1" s="46"/>
      <c r="Y1" s="46"/>
      <c r="Z1" s="46"/>
      <c r="AA1" s="46"/>
    </row>
    <row r="2">
      <c r="A2" s="49"/>
      <c r="B2" s="49" t="str">
        <f>IFERROR(__xludf.DUMMYFUNCTION("""COMPUTED_VALUE"""),"Incoming")</f>
        <v>Incoming</v>
      </c>
      <c r="C2" s="49" t="str">
        <f>IFERROR(__xludf.DUMMYFUNCTION("""COMPUTED_VALUE"""),"Mr. Maxim Skobelev")</f>
        <v>Mr. Maxim Skobelev</v>
      </c>
      <c r="D2" s="49" t="str">
        <f>IFERROR(__xludf.DUMMYFUNCTION("""COMPUTED_VALUE"""),"Engineering - ECE")</f>
        <v>Engineering - ECE</v>
      </c>
      <c r="E2" s="49">
        <f>IFERROR(__xludf.DUMMYFUNCTION("""COMPUTED_VALUE"""),2024.0)</f>
        <v>2024</v>
      </c>
      <c r="F2" s="49" t="str">
        <f>IFERROR(__xludf.DUMMYFUNCTION("""COMPUTED_VALUE"""),"-")</f>
        <v>-</v>
      </c>
      <c r="G2" s="49" t="str">
        <f>IFERROR(__xludf.DUMMYFUNCTION("""COMPUTED_VALUE"""),"MIET - Russia")</f>
        <v>MIET - Russia</v>
      </c>
      <c r="H2" s="53">
        <f>IFERROR(__xludf.DUMMYFUNCTION("""COMPUTED_VALUE"""),45301.0)</f>
        <v>45301</v>
      </c>
      <c r="I2" s="53">
        <f>IFERROR(__xludf.DUMMYFUNCTION("""COMPUTED_VALUE"""),45443.0)</f>
        <v>45443</v>
      </c>
      <c r="J2" s="49" t="str">
        <f>IFERROR(__xludf.DUMMYFUNCTION("""COMPUTED_VALUE"""),"Completed")</f>
        <v>Completed</v>
      </c>
      <c r="K2" s="49"/>
      <c r="L2" s="50" t="str">
        <f>IFERROR(__xludf.DUMMYFUNCTION("""COMPUTED_VALUE"""),"https://drive.google.com/open?id=1bMPfWG4mDFNCSFkmMHpoinJVr3_NkF86")</f>
        <v>https://drive.google.com/open?id=1bMPfWG4mDFNCSFkmMHpoinJVr3_NkF86</v>
      </c>
    </row>
    <row r="3">
      <c r="A3" s="49"/>
      <c r="B3" s="49" t="str">
        <f>IFERROR(__xludf.DUMMYFUNCTION("""COMPUTED_VALUE"""),"Incoming")</f>
        <v>Incoming</v>
      </c>
      <c r="C3" s="49" t="str">
        <f>IFERROR(__xludf.DUMMYFUNCTION("""COMPUTED_VALUE"""),"Mr. Vladimir Markov")</f>
        <v>Mr. Vladimir Markov</v>
      </c>
      <c r="D3" s="49" t="str">
        <f>IFERROR(__xludf.DUMMYFUNCTION("""COMPUTED_VALUE"""),"Engineering - ECE")</f>
        <v>Engineering - ECE</v>
      </c>
      <c r="E3" s="49">
        <f>IFERROR(__xludf.DUMMYFUNCTION("""COMPUTED_VALUE"""),2024.0)</f>
        <v>2024</v>
      </c>
      <c r="F3" s="49" t="str">
        <f>IFERROR(__xludf.DUMMYFUNCTION("""COMPUTED_VALUE"""),"-")</f>
        <v>-</v>
      </c>
      <c r="G3" s="49" t="str">
        <f>IFERROR(__xludf.DUMMYFUNCTION("""COMPUTED_VALUE"""),"MIET - Russia")</f>
        <v>MIET - Russia</v>
      </c>
      <c r="H3" s="53">
        <f>IFERROR(__xludf.DUMMYFUNCTION("""COMPUTED_VALUE"""),45312.0)</f>
        <v>45312</v>
      </c>
      <c r="I3" s="53">
        <f>IFERROR(__xludf.DUMMYFUNCTION("""COMPUTED_VALUE"""),45443.0)</f>
        <v>45443</v>
      </c>
      <c r="J3" s="49" t="str">
        <f>IFERROR(__xludf.DUMMYFUNCTION("""COMPUTED_VALUE"""),"Completed")</f>
        <v>Completed</v>
      </c>
      <c r="K3" s="49"/>
      <c r="L3" s="50" t="str">
        <f>IFERROR(__xludf.DUMMYFUNCTION("""COMPUTED_VALUE"""),"https://drive.google.com/open?id=1QwfzFnzB_33UpB8Ya92aUUvSgxpZCPzP")</f>
        <v>https://drive.google.com/open?id=1QwfzFnzB_33UpB8Ya92aUUvSgxpZCPzP</v>
      </c>
    </row>
    <row r="4">
      <c r="A4" s="49"/>
      <c r="B4" s="49" t="str">
        <f>IFERROR(__xludf.DUMMYFUNCTION("""COMPUTED_VALUE"""),"Incoming")</f>
        <v>Incoming</v>
      </c>
      <c r="C4" s="49" t="str">
        <f>IFERROR(__xludf.DUMMYFUNCTION("""COMPUTED_VALUE"""),"Akimov Sergei ")</f>
        <v>Akimov Sergei </v>
      </c>
      <c r="D4" s="49" t="str">
        <f>IFERROR(__xludf.DUMMYFUNCTION("""COMPUTED_VALUE"""),"Engineering - CSE Mtech")</f>
        <v>Engineering - CSE Mtech</v>
      </c>
      <c r="E4" s="49">
        <f>IFERROR(__xludf.DUMMYFUNCTION("""COMPUTED_VALUE"""),2024.0)</f>
        <v>2024</v>
      </c>
      <c r="F4" s="49" t="str">
        <f>IFERROR(__xludf.DUMMYFUNCTION("""COMPUTED_VALUE"""),"-")</f>
        <v>-</v>
      </c>
      <c r="G4" s="49" t="str">
        <f>IFERROR(__xludf.DUMMYFUNCTION("""COMPUTED_VALUE"""),"MIET - Russia")</f>
        <v>MIET - Russia</v>
      </c>
      <c r="H4" s="53">
        <f>IFERROR(__xludf.DUMMYFUNCTION("""COMPUTED_VALUE"""),45556.0)</f>
        <v>45556</v>
      </c>
      <c r="I4" s="53">
        <f>IFERROR(__xludf.DUMMYFUNCTION("""COMPUTED_VALUE"""),45689.0)</f>
        <v>45689</v>
      </c>
      <c r="J4" s="49" t="str">
        <f>IFERROR(__xludf.DUMMYFUNCTION("""COMPUTED_VALUE"""),"Completed")</f>
        <v>Completed</v>
      </c>
      <c r="K4" s="49"/>
      <c r="L4" s="50" t="str">
        <f>IFERROR(__xludf.DUMMYFUNCTION("""COMPUTED_VALUE"""),"https://drive.google.com/open?id=1z-V3Ia_4vmBtXBQlpaKMNN5uxsBx1C2_")</f>
        <v>https://drive.google.com/open?id=1z-V3Ia_4vmBtXBQlpaKMNN5uxsBx1C2_</v>
      </c>
    </row>
    <row r="5">
      <c r="A5" s="49"/>
      <c r="B5" s="49" t="str">
        <f>IFERROR(__xludf.DUMMYFUNCTION("""COMPUTED_VALUE"""),"Incoming")</f>
        <v>Incoming</v>
      </c>
      <c r="C5" s="49" t="str">
        <f>IFERROR(__xludf.DUMMYFUNCTION("""COMPUTED_VALUE"""),"Ometov Alexandr")</f>
        <v>Ometov Alexandr</v>
      </c>
      <c r="D5" s="49" t="str">
        <f>IFERROR(__xludf.DUMMYFUNCTION("""COMPUTED_VALUE"""),"Engineering - CSE Mtech")</f>
        <v>Engineering - CSE Mtech</v>
      </c>
      <c r="E5" s="49">
        <f>IFERROR(__xludf.DUMMYFUNCTION("""COMPUTED_VALUE"""),2024.0)</f>
        <v>2024</v>
      </c>
      <c r="F5" s="49" t="str">
        <f>IFERROR(__xludf.DUMMYFUNCTION("""COMPUTED_VALUE"""),"-")</f>
        <v>-</v>
      </c>
      <c r="G5" s="49" t="str">
        <f>IFERROR(__xludf.DUMMYFUNCTION("""COMPUTED_VALUE"""),"MIET - Russia")</f>
        <v>MIET - Russia</v>
      </c>
      <c r="H5" s="53">
        <f>IFERROR(__xludf.DUMMYFUNCTION("""COMPUTED_VALUE"""),45331.0)</f>
        <v>45331</v>
      </c>
      <c r="I5" s="53">
        <f>IFERROR(__xludf.DUMMYFUNCTION("""COMPUTED_VALUE"""),45659.0)</f>
        <v>45659</v>
      </c>
      <c r="J5" s="49" t="str">
        <f>IFERROR(__xludf.DUMMYFUNCTION("""COMPUTED_VALUE"""),"Completed")</f>
        <v>Completed</v>
      </c>
      <c r="K5" s="49"/>
      <c r="L5" s="50" t="str">
        <f>IFERROR(__xludf.DUMMYFUNCTION("""COMPUTED_VALUE"""),"https://drive.google.com/open?id=14xFS9dPGDz2RsrkFBlk76GLkgqf6gruj")</f>
        <v>https://drive.google.com/open?id=14xFS9dPGDz2RsrkFBlk76GLkgqf6gruj</v>
      </c>
    </row>
    <row r="6">
      <c r="A6" s="49"/>
      <c r="B6" s="49" t="str">
        <f>IFERROR(__xludf.DUMMYFUNCTION("""COMPUTED_VALUE"""),"Incoming")</f>
        <v>Incoming</v>
      </c>
      <c r="C6" s="49" t="str">
        <f>IFERROR(__xludf.DUMMYFUNCTION("""COMPUTED_VALUE"""),"Salkov Iurii")</f>
        <v>Salkov Iurii</v>
      </c>
      <c r="D6" s="49" t="str">
        <f>IFERROR(__xludf.DUMMYFUNCTION("""COMPUTED_VALUE"""),"Engineering - CSE Mtech")</f>
        <v>Engineering - CSE Mtech</v>
      </c>
      <c r="E6" s="49">
        <f>IFERROR(__xludf.DUMMYFUNCTION("""COMPUTED_VALUE"""),2024.0)</f>
        <v>2024</v>
      </c>
      <c r="F6" s="49" t="str">
        <f>IFERROR(__xludf.DUMMYFUNCTION("""COMPUTED_VALUE"""),"-")</f>
        <v>-</v>
      </c>
      <c r="G6" s="49" t="str">
        <f>IFERROR(__xludf.DUMMYFUNCTION("""COMPUTED_VALUE"""),"MIET - Russia")</f>
        <v>MIET - Russia</v>
      </c>
      <c r="H6" s="53">
        <f>IFERROR(__xludf.DUMMYFUNCTION("""COMPUTED_VALUE"""),45331.0)</f>
        <v>45331</v>
      </c>
      <c r="I6" s="53">
        <f>IFERROR(__xludf.DUMMYFUNCTION("""COMPUTED_VALUE"""),45659.0)</f>
        <v>45659</v>
      </c>
      <c r="J6" s="49" t="str">
        <f>IFERROR(__xludf.DUMMYFUNCTION("""COMPUTED_VALUE"""),"Completed")</f>
        <v>Completed</v>
      </c>
      <c r="K6" s="49"/>
      <c r="L6" s="50" t="str">
        <f>IFERROR(__xludf.DUMMYFUNCTION("""COMPUTED_VALUE"""),"https://drive.google.com/open?id=16fP2qxYLyrpK4NJDgEnLaDu49WlGdfFa")</f>
        <v>https://drive.google.com/open?id=16fP2qxYLyrpK4NJDgEnLaDu49WlGdfFa</v>
      </c>
    </row>
    <row r="7">
      <c r="A7" s="49"/>
      <c r="B7" s="49" t="str">
        <f>IFERROR(__xludf.DUMMYFUNCTION("""COMPUTED_VALUE"""),"Incoming")</f>
        <v>Incoming</v>
      </c>
      <c r="C7" s="49" t="str">
        <f>IFERROR(__xludf.DUMMYFUNCTION("""COMPUTED_VALUE"""),"Voronin Dmitrii")</f>
        <v>Voronin Dmitrii</v>
      </c>
      <c r="D7" s="49" t="str">
        <f>IFERROR(__xludf.DUMMYFUNCTION("""COMPUTED_VALUE"""),"Engineering - Btech AI&amp;Robotics")</f>
        <v>Engineering - Btech AI&amp;Robotics</v>
      </c>
      <c r="E7" s="49">
        <f>IFERROR(__xludf.DUMMYFUNCTION("""COMPUTED_VALUE"""),2025.0)</f>
        <v>2025</v>
      </c>
      <c r="F7" s="49" t="str">
        <f>IFERROR(__xludf.DUMMYFUNCTION("""COMPUTED_VALUE"""),"-")</f>
        <v>-</v>
      </c>
      <c r="G7" s="49" t="str">
        <f>IFERROR(__xludf.DUMMYFUNCTION("""COMPUTED_VALUE"""),"MIET, Russia")</f>
        <v>MIET, Russia</v>
      </c>
      <c r="H7" s="53">
        <f>IFERROR(__xludf.DUMMYFUNCTION("""COMPUTED_VALUE"""),45992.0)</f>
        <v>45992</v>
      </c>
      <c r="I7" s="53">
        <f>IFERROR(__xludf.DUMMYFUNCTION("""COMPUTED_VALUE"""),45721.0)</f>
        <v>45721</v>
      </c>
      <c r="J7" s="49" t="str">
        <f>IFERROR(__xludf.DUMMYFUNCTION("""COMPUTED_VALUE"""),"Completed")</f>
        <v>Completed</v>
      </c>
      <c r="K7" s="49"/>
      <c r="L7" s="50" t="str">
        <f>IFERROR(__xludf.DUMMYFUNCTION("""COMPUTED_VALUE"""),"https://drive.google.com/open?id=19cTkVS16s1pE7uku40vc19eO_26Bgvq-")</f>
        <v>https://drive.google.com/open?id=19cTkVS16s1pE7uku40vc19eO_26Bgvq-</v>
      </c>
    </row>
    <row r="8">
      <c r="A8" s="49"/>
      <c r="B8" s="49" t="str">
        <f>IFERROR(__xludf.DUMMYFUNCTION("""COMPUTED_VALUE"""),"Incoming")</f>
        <v>Incoming</v>
      </c>
      <c r="C8" s="49" t="str">
        <f>IFERROR(__xludf.DUMMYFUNCTION("""COMPUTED_VALUE"""),"Ulukhanov Andrey")</f>
        <v>Ulukhanov Andrey</v>
      </c>
      <c r="D8" s="49" t="str">
        <f>IFERROR(__xludf.DUMMYFUNCTION("""COMPUTED_VALUE"""),"Btech AI&amp;Robotics")</f>
        <v>Btech AI&amp;Robotics</v>
      </c>
      <c r="E8" s="49">
        <f>IFERROR(__xludf.DUMMYFUNCTION("""COMPUTED_VALUE"""),2025.0)</f>
        <v>2025</v>
      </c>
      <c r="F8" s="49" t="str">
        <f>IFERROR(__xludf.DUMMYFUNCTION("""COMPUTED_VALUE"""),"-")</f>
        <v>-</v>
      </c>
      <c r="G8" s="49" t="str">
        <f>IFERROR(__xludf.DUMMYFUNCTION("""COMPUTED_VALUE"""),"MIET, Russia")</f>
        <v>MIET, Russia</v>
      </c>
      <c r="H8" s="53">
        <f>IFERROR(__xludf.DUMMYFUNCTION("""COMPUTED_VALUE"""),45689.0)</f>
        <v>45689</v>
      </c>
      <c r="I8" s="53">
        <f>IFERROR(__xludf.DUMMYFUNCTION("""COMPUTED_VALUE"""),45721.0)</f>
        <v>45721</v>
      </c>
      <c r="J8" s="49" t="str">
        <f>IFERROR(__xludf.DUMMYFUNCTION("""COMPUTED_VALUE"""),"Completed")</f>
        <v>Completed</v>
      </c>
      <c r="K8" s="49"/>
      <c r="L8" s="50" t="str">
        <f>IFERROR(__xludf.DUMMYFUNCTION("""COMPUTED_VALUE"""),"https://drive.google.com/open?id=1dzn8pDm2Ni5IvNqz8hNHW0DlG1E71cb-")</f>
        <v>https://drive.google.com/open?id=1dzn8pDm2Ni5IvNqz8hNHW0DlG1E71cb-</v>
      </c>
    </row>
    <row r="9">
      <c r="A9" s="49"/>
      <c r="B9" s="49" t="str">
        <f>IFERROR(__xludf.DUMMYFUNCTION("""COMPUTED_VALUE"""),"Outgoing")</f>
        <v>Outgoing</v>
      </c>
      <c r="C9" s="49" t="str">
        <f>IFERROR(__xludf.DUMMYFUNCTION("""COMPUTED_VALUE"""),"Mr. Anuj Dwivedi")</f>
        <v>Mr. Anuj Dwivedi</v>
      </c>
      <c r="D9" s="49" t="str">
        <f>IFERROR(__xludf.DUMMYFUNCTION("""COMPUTED_VALUE"""),"Btech CS(AI &amp; ML) ")</f>
        <v>Btech CS(AI &amp; ML) </v>
      </c>
      <c r="E9" s="49">
        <f>IFERROR(__xludf.DUMMYFUNCTION("""COMPUTED_VALUE"""),2024.0)</f>
        <v>2024</v>
      </c>
      <c r="F9" s="49" t="str">
        <f>IFERROR(__xludf.DUMMYFUNCTION("""COMPUTED_VALUE"""),"ENG21AM0011")</f>
        <v>ENG21AM0011</v>
      </c>
      <c r="G9" s="49" t="str">
        <f>IFERROR(__xludf.DUMMYFUNCTION("""COMPUTED_VALUE"""),"Lethourneau University - Texas")</f>
        <v>Lethourneau University - Texas</v>
      </c>
      <c r="H9" s="53">
        <f>IFERROR(__xludf.DUMMYFUNCTION("""COMPUTED_VALUE"""),45292.0)</f>
        <v>45292</v>
      </c>
      <c r="I9" s="53">
        <f>IFERROR(__xludf.DUMMYFUNCTION("""COMPUTED_VALUE"""),45443.0)</f>
        <v>45443</v>
      </c>
      <c r="J9" s="49" t="str">
        <f>IFERROR(__xludf.DUMMYFUNCTION("""COMPUTED_VALUE"""),"Completed")</f>
        <v>Completed</v>
      </c>
      <c r="K9" s="49"/>
      <c r="L9" s="50" t="str">
        <f>IFERROR(__xludf.DUMMYFUNCTION("""COMPUTED_VALUE"""),"https://drive.google.com/open?id=1yL08T8QHrb8jzn4McKwh1zr69xqC8Xe7")</f>
        <v>https://drive.google.com/open?id=1yL08T8QHrb8jzn4McKwh1zr69xqC8Xe7</v>
      </c>
    </row>
    <row r="10">
      <c r="A10" s="49"/>
      <c r="B10" s="49" t="str">
        <f>IFERROR(__xludf.DUMMYFUNCTION("""COMPUTED_VALUE"""),"Outgoing")</f>
        <v>Outgoing</v>
      </c>
      <c r="C10" s="49" t="str">
        <f>IFERROR(__xludf.DUMMYFUNCTION("""COMPUTED_VALUE"""),"Ms. Hasini Chowdary")</f>
        <v>Ms. Hasini Chowdary</v>
      </c>
      <c r="D10" s="49" t="str">
        <f>IFERROR(__xludf.DUMMYFUNCTION("""COMPUTED_VALUE"""),"Btech CS(AI &amp; ML) - 3rd sem")</f>
        <v>Btech CS(AI &amp; ML) - 3rd sem</v>
      </c>
      <c r="E10" s="49">
        <f>IFERROR(__xludf.DUMMYFUNCTION("""COMPUTED_VALUE"""),2024.0)</f>
        <v>2024</v>
      </c>
      <c r="F10" s="49" t="str">
        <f>IFERROR(__xludf.DUMMYFUNCTION("""COMPUTED_VALUE"""),"ENG22AM0176")</f>
        <v>ENG22AM0176</v>
      </c>
      <c r="G10" s="49" t="str">
        <f>IFERROR(__xludf.DUMMYFUNCTION("""COMPUTED_VALUE"""),"Lethourneau University - Texas")</f>
        <v>Lethourneau University - Texas</v>
      </c>
      <c r="H10" s="53">
        <f>IFERROR(__xludf.DUMMYFUNCTION("""COMPUTED_VALUE"""),45330.0)</f>
        <v>45330</v>
      </c>
      <c r="I10" s="53">
        <f>IFERROR(__xludf.DUMMYFUNCTION("""COMPUTED_VALUE"""),45658.0)</f>
        <v>45658</v>
      </c>
      <c r="J10" s="49" t="str">
        <f>IFERROR(__xludf.DUMMYFUNCTION("""COMPUTED_VALUE"""),"Completed")</f>
        <v>Completed</v>
      </c>
      <c r="K10" s="49"/>
      <c r="L10" s="50" t="str">
        <f>IFERROR(__xludf.DUMMYFUNCTION("""COMPUTED_VALUE"""),"https://drive.google.com/open?id=1jT3pv_cwOCYX9wlPDu3leMrBVJMlLEbP")</f>
        <v>https://drive.google.com/open?id=1jT3pv_cwOCYX9wlPDu3leMrBVJMlLEbP</v>
      </c>
    </row>
    <row r="11">
      <c r="A11" s="49"/>
      <c r="B11" s="49" t="str">
        <f>IFERROR(__xludf.DUMMYFUNCTION("""COMPUTED_VALUE"""),"Outgoing")</f>
        <v>Outgoing</v>
      </c>
      <c r="C11" s="49" t="str">
        <f>IFERROR(__xludf.DUMMYFUNCTION("""COMPUTED_VALUE"""),"Mr. Kailash Patel")</f>
        <v>Mr. Kailash Patel</v>
      </c>
      <c r="D11" s="49" t="str">
        <f>IFERROR(__xludf.DUMMYFUNCTION("""COMPUTED_VALUE"""),"B.Tech Mechanical Engineering")</f>
        <v>B.Tech Mechanical Engineering</v>
      </c>
      <c r="E11" s="49">
        <f>IFERROR(__xludf.DUMMYFUNCTION("""COMPUTED_VALUE"""),2024.0)</f>
        <v>2024</v>
      </c>
      <c r="F11" s="49" t="str">
        <f>IFERROR(__xludf.DUMMYFUNCTION("""COMPUTED_VALUE"""),"ENG21ME0007")</f>
        <v>ENG21ME0007</v>
      </c>
      <c r="G11" s="49" t="str">
        <f>IFERROR(__xludf.DUMMYFUNCTION("""COMPUTED_VALUE"""),"EAH Jena University, Germany")</f>
        <v>EAH Jena University, Germany</v>
      </c>
      <c r="H11" s="53">
        <f>IFERROR(__xludf.DUMMYFUNCTION("""COMPUTED_VALUE"""),45332.0)</f>
        <v>45332</v>
      </c>
      <c r="I11" s="53">
        <f>IFERROR(__xludf.DUMMYFUNCTION("""COMPUTED_VALUE"""),45691.0)</f>
        <v>45691</v>
      </c>
      <c r="J11" s="49" t="str">
        <f>IFERROR(__xludf.DUMMYFUNCTION("""COMPUTED_VALUE"""),"Completed")</f>
        <v>Completed</v>
      </c>
      <c r="K11" s="49"/>
      <c r="L11" s="50" t="str">
        <f>IFERROR(__xludf.DUMMYFUNCTION("""COMPUTED_VALUE"""),"https://drive.google.com/open?id=1RyIkhyKIiL3DAsuJTGCEvve9rdwb36NN")</f>
        <v>https://drive.google.com/open?id=1RyIkhyKIiL3DAsuJTGCEvve9rdwb36NN</v>
      </c>
    </row>
    <row r="12">
      <c r="A12" s="49"/>
      <c r="B12" s="49" t="str">
        <f>IFERROR(__xludf.DUMMYFUNCTION("""COMPUTED_VALUE"""),"Outgoing")</f>
        <v>Outgoing</v>
      </c>
      <c r="C12" s="49" t="str">
        <f>IFERROR(__xludf.DUMMYFUNCTION("""COMPUTED_VALUE"""),"Ms. Aaradhya ")</f>
        <v>Ms. Aaradhya </v>
      </c>
      <c r="D12" s="49" t="str">
        <f>IFERROR(__xludf.DUMMYFUNCTION("""COMPUTED_VALUE"""),"BBA Regular")</f>
        <v>BBA Regular</v>
      </c>
      <c r="E12" s="49">
        <f>IFERROR(__xludf.DUMMYFUNCTION("""COMPUTED_VALUE"""),2025.0)</f>
        <v>2025</v>
      </c>
      <c r="F12" s="49" t="str">
        <f>IFERROR(__xludf.DUMMYFUNCTION("""COMPUTED_VALUE"""),"CMS22BB0001")</f>
        <v>CMS22BB0001</v>
      </c>
      <c r="G12" s="49" t="str">
        <f>IFERROR(__xludf.DUMMYFUNCTION("""COMPUTED_VALUE"""),"University of Stafforshire, UK")</f>
        <v>University of Stafforshire, UK</v>
      </c>
      <c r="H12" s="53">
        <f>IFERROR(__xludf.DUMMYFUNCTION("""COMPUTED_VALUE"""),45689.0)</f>
        <v>45689</v>
      </c>
      <c r="I12" s="53">
        <f>IFERROR(__xludf.DUMMYFUNCTION("""COMPUTED_VALUE"""),45721.0)</f>
        <v>45721</v>
      </c>
      <c r="J12" s="49" t="str">
        <f>IFERROR(__xludf.DUMMYFUNCTION("""COMPUTED_VALUE"""),"Completed")</f>
        <v>Completed</v>
      </c>
      <c r="K12" s="49"/>
      <c r="L12" s="50" t="str">
        <f>IFERROR(__xludf.DUMMYFUNCTION("""COMPUTED_VALUE"""),"https://drive.google.com/open?id=1N6eJfCwwt-JdNQPp5JPIHqxv4Kf1eUr2")</f>
        <v>https://drive.google.com/open?id=1N6eJfCwwt-JdNQPp5JPIHqxv4Kf1eUr2</v>
      </c>
    </row>
    <row r="13">
      <c r="A13" s="49"/>
      <c r="B13" s="49" t="str">
        <f>IFERROR(__xludf.DUMMYFUNCTION("""COMPUTED_VALUE"""),"Outgoing")</f>
        <v>Outgoing</v>
      </c>
      <c r="C13" s="49" t="str">
        <f>IFERROR(__xludf.DUMMYFUNCTION("""COMPUTED_VALUE"""),"University of Stafforshire, UK")</f>
        <v>University of Stafforshire, UK</v>
      </c>
      <c r="D13" s="49" t="str">
        <f>IFERROR(__xludf.DUMMYFUNCTION("""COMPUTED_VALUE"""),"BBA Regular")</f>
        <v>BBA Regular</v>
      </c>
      <c r="E13" s="49">
        <f>IFERROR(__xludf.DUMMYFUNCTION("""COMPUTED_VALUE"""),2025.0)</f>
        <v>2025</v>
      </c>
      <c r="F13" s="49" t="str">
        <f>IFERROR(__xludf.DUMMYFUNCTION("""COMPUTED_VALUE"""),"CMS22BB0076")</f>
        <v>CMS22BB0076</v>
      </c>
      <c r="G13" s="49" t="str">
        <f>IFERROR(__xludf.DUMMYFUNCTION("""COMPUTED_VALUE"""),"University of Stafforshire, UK")</f>
        <v>University of Stafforshire, UK</v>
      </c>
      <c r="H13" s="53">
        <f>IFERROR(__xludf.DUMMYFUNCTION("""COMPUTED_VALUE"""),45658.0)</f>
        <v>45658</v>
      </c>
      <c r="I13" s="53">
        <f>IFERROR(__xludf.DUMMYFUNCTION("""COMPUTED_VALUE"""),45721.0)</f>
        <v>45721</v>
      </c>
      <c r="J13" s="49" t="str">
        <f>IFERROR(__xludf.DUMMYFUNCTION("""COMPUTED_VALUE"""),"Completed")</f>
        <v>Completed</v>
      </c>
      <c r="K13" s="49"/>
      <c r="L13" s="50" t="str">
        <f>IFERROR(__xludf.DUMMYFUNCTION("""COMPUTED_VALUE"""),"https://drive.google.com/open?id=1ZWuxe7CshNvt7D2dIq4Ge061tdxwObLW")</f>
        <v>https://drive.google.com/open?id=1ZWuxe7CshNvt7D2dIq4Ge061tdxwObLW</v>
      </c>
    </row>
    <row r="14">
      <c r="A14" s="49"/>
      <c r="B14" s="49"/>
      <c r="C14" s="49"/>
      <c r="D14" s="49"/>
      <c r="E14" s="49"/>
      <c r="F14" s="49"/>
      <c r="G14" s="49"/>
      <c r="H14" s="49"/>
      <c r="I14" s="49"/>
      <c r="J14" s="49"/>
      <c r="K14" s="49"/>
      <c r="L14" s="49"/>
    </row>
    <row r="15">
      <c r="A15" s="49"/>
      <c r="B15" s="49"/>
      <c r="C15" s="49"/>
      <c r="D15" s="49"/>
      <c r="E15" s="49"/>
      <c r="F15" s="49"/>
      <c r="G15" s="49"/>
      <c r="H15" s="49"/>
      <c r="I15" s="49"/>
      <c r="J15" s="49"/>
      <c r="K15" s="49"/>
      <c r="L15" s="49"/>
    </row>
    <row r="16">
      <c r="A16" s="49"/>
      <c r="B16" s="49"/>
      <c r="C16" s="49"/>
      <c r="D16" s="49"/>
      <c r="E16" s="49"/>
      <c r="F16" s="49"/>
      <c r="G16" s="49"/>
      <c r="H16" s="49"/>
      <c r="I16" s="49"/>
      <c r="J16" s="49"/>
      <c r="K16" s="49"/>
      <c r="L16" s="49"/>
    </row>
    <row r="17">
      <c r="A17" s="49"/>
      <c r="B17" s="49"/>
      <c r="C17" s="49"/>
      <c r="D17" s="49"/>
      <c r="E17" s="49"/>
      <c r="F17" s="49"/>
      <c r="G17" s="49"/>
      <c r="H17" s="49"/>
      <c r="I17" s="49"/>
      <c r="J17" s="49"/>
      <c r="K17" s="49"/>
      <c r="L17" s="49"/>
    </row>
    <row r="18">
      <c r="A18" s="49"/>
      <c r="B18" s="49"/>
      <c r="C18" s="49"/>
      <c r="D18" s="49"/>
      <c r="E18" s="49"/>
      <c r="F18" s="49"/>
      <c r="G18" s="49"/>
      <c r="H18" s="49"/>
      <c r="I18" s="49"/>
      <c r="J18" s="49"/>
      <c r="K18" s="49"/>
      <c r="L18" s="49"/>
    </row>
    <row r="19">
      <c r="A19" s="49"/>
      <c r="B19" s="49"/>
      <c r="C19" s="49"/>
      <c r="D19" s="49"/>
      <c r="E19" s="49"/>
      <c r="F19" s="49"/>
      <c r="G19" s="49"/>
      <c r="H19" s="49"/>
      <c r="I19" s="49"/>
      <c r="J19" s="49"/>
      <c r="K19" s="49"/>
      <c r="L19" s="49"/>
    </row>
    <row r="20">
      <c r="A20" s="49"/>
      <c r="B20" s="49"/>
      <c r="C20" s="49"/>
      <c r="D20" s="49"/>
      <c r="E20" s="49"/>
      <c r="F20" s="49"/>
      <c r="G20" s="49"/>
      <c r="H20" s="49"/>
      <c r="I20" s="49"/>
      <c r="J20" s="49"/>
      <c r="K20" s="49"/>
      <c r="L20" s="49"/>
    </row>
    <row r="21">
      <c r="A21" s="49"/>
      <c r="B21" s="49"/>
      <c r="C21" s="49"/>
      <c r="D21" s="49"/>
      <c r="E21" s="49"/>
      <c r="F21" s="49"/>
      <c r="G21" s="49"/>
      <c r="H21" s="49"/>
      <c r="I21" s="49"/>
      <c r="J21" s="49"/>
      <c r="K21" s="49"/>
      <c r="L21" s="49"/>
    </row>
    <row r="22">
      <c r="A22" s="49"/>
      <c r="B22" s="49"/>
      <c r="C22" s="49"/>
      <c r="D22" s="49"/>
      <c r="E22" s="49"/>
      <c r="F22" s="49"/>
      <c r="G22" s="49"/>
      <c r="H22" s="49"/>
      <c r="I22" s="49"/>
      <c r="J22" s="49"/>
      <c r="K22" s="49"/>
      <c r="L22" s="49"/>
    </row>
    <row r="23">
      <c r="A23" s="49"/>
      <c r="B23" s="49"/>
      <c r="C23" s="49"/>
      <c r="D23" s="49"/>
      <c r="E23" s="49"/>
      <c r="F23" s="49"/>
      <c r="G23" s="49"/>
      <c r="H23" s="49"/>
      <c r="I23" s="49"/>
      <c r="J23" s="49"/>
      <c r="K23" s="49"/>
      <c r="L23" s="49"/>
    </row>
    <row r="24">
      <c r="A24" s="49"/>
      <c r="B24" s="49"/>
      <c r="C24" s="49"/>
      <c r="D24" s="49"/>
      <c r="E24" s="49"/>
      <c r="F24" s="49"/>
      <c r="G24" s="49"/>
      <c r="H24" s="49"/>
      <c r="I24" s="49"/>
      <c r="J24" s="49"/>
      <c r="K24" s="49"/>
      <c r="L24" s="49"/>
    </row>
    <row r="25">
      <c r="A25" s="49"/>
      <c r="B25" s="49"/>
      <c r="C25" s="49"/>
      <c r="D25" s="49"/>
      <c r="E25" s="49"/>
      <c r="F25" s="49"/>
      <c r="G25" s="49"/>
      <c r="H25" s="49"/>
      <c r="I25" s="49"/>
      <c r="J25" s="49"/>
      <c r="K25" s="49"/>
      <c r="L25" s="49"/>
    </row>
    <row r="26">
      <c r="A26" s="49"/>
      <c r="B26" s="49"/>
      <c r="C26" s="49"/>
      <c r="D26" s="49"/>
      <c r="E26" s="49"/>
      <c r="F26" s="49"/>
      <c r="G26" s="49"/>
      <c r="H26" s="49"/>
      <c r="I26" s="49"/>
      <c r="J26" s="49"/>
      <c r="K26" s="49"/>
      <c r="L26" s="49"/>
    </row>
    <row r="27">
      <c r="A27" s="49"/>
      <c r="B27" s="49"/>
      <c r="C27" s="49"/>
      <c r="D27" s="49"/>
      <c r="E27" s="49"/>
      <c r="F27" s="49"/>
      <c r="G27" s="49"/>
      <c r="H27" s="49"/>
      <c r="I27" s="49"/>
      <c r="J27" s="49"/>
      <c r="K27" s="49"/>
      <c r="L27" s="49"/>
    </row>
    <row r="28">
      <c r="A28" s="49"/>
      <c r="B28" s="49"/>
      <c r="C28" s="49"/>
      <c r="D28" s="49"/>
      <c r="E28" s="49"/>
      <c r="F28" s="49"/>
      <c r="G28" s="49"/>
      <c r="H28" s="49"/>
      <c r="I28" s="49"/>
      <c r="J28" s="49"/>
      <c r="K28" s="49"/>
      <c r="L28" s="49"/>
    </row>
    <row r="29">
      <c r="A29" s="49"/>
      <c r="B29" s="49"/>
      <c r="C29" s="49"/>
      <c r="D29" s="49"/>
      <c r="E29" s="49"/>
      <c r="F29" s="49"/>
      <c r="G29" s="49"/>
      <c r="H29" s="49"/>
      <c r="I29" s="49"/>
      <c r="J29" s="49"/>
      <c r="K29" s="49"/>
      <c r="L29" s="49"/>
    </row>
    <row r="30">
      <c r="A30" s="49"/>
      <c r="B30" s="49"/>
      <c r="C30" s="49"/>
      <c r="D30" s="49"/>
      <c r="E30" s="49"/>
      <c r="F30" s="49"/>
      <c r="G30" s="49"/>
      <c r="H30" s="49"/>
      <c r="I30" s="49"/>
      <c r="J30" s="49"/>
      <c r="K30" s="49"/>
      <c r="L30" s="49"/>
    </row>
    <row r="31">
      <c r="A31" s="49"/>
      <c r="B31" s="49"/>
      <c r="C31" s="49"/>
      <c r="D31" s="49"/>
      <c r="E31" s="49"/>
      <c r="F31" s="49"/>
      <c r="G31" s="49"/>
      <c r="H31" s="49"/>
      <c r="I31" s="49"/>
      <c r="J31" s="49"/>
      <c r="K31" s="49"/>
      <c r="L31" s="49"/>
    </row>
    <row r="32">
      <c r="A32" s="49"/>
      <c r="B32" s="49"/>
      <c r="C32" s="49"/>
      <c r="D32" s="49"/>
      <c r="E32" s="49"/>
      <c r="F32" s="49"/>
      <c r="G32" s="49"/>
      <c r="H32" s="49"/>
      <c r="I32" s="49"/>
      <c r="J32" s="49"/>
      <c r="K32" s="49"/>
      <c r="L32" s="49"/>
    </row>
    <row r="33">
      <c r="A33" s="49"/>
      <c r="B33" s="49"/>
      <c r="C33" s="49"/>
      <c r="D33" s="49"/>
      <c r="E33" s="49"/>
      <c r="F33" s="49"/>
      <c r="G33" s="49"/>
      <c r="H33" s="49"/>
      <c r="I33" s="49"/>
      <c r="J33" s="49"/>
      <c r="K33" s="49"/>
      <c r="L33" s="49"/>
    </row>
    <row r="34">
      <c r="A34" s="49"/>
      <c r="B34" s="49"/>
      <c r="C34" s="49"/>
      <c r="D34" s="49"/>
      <c r="E34" s="49"/>
      <c r="F34" s="49"/>
      <c r="G34" s="49"/>
      <c r="H34" s="49"/>
      <c r="I34" s="49"/>
      <c r="J34" s="49"/>
      <c r="K34" s="49"/>
      <c r="L34" s="49"/>
    </row>
    <row r="35">
      <c r="A35" s="49"/>
      <c r="B35" s="49"/>
      <c r="C35" s="49"/>
      <c r="D35" s="49"/>
      <c r="E35" s="49"/>
      <c r="F35" s="49"/>
      <c r="G35" s="49"/>
      <c r="H35" s="49"/>
      <c r="I35" s="49"/>
      <c r="J35" s="49"/>
      <c r="K35" s="49"/>
      <c r="L35" s="49"/>
    </row>
    <row r="36">
      <c r="A36" s="49"/>
      <c r="B36" s="49"/>
      <c r="C36" s="49"/>
      <c r="D36" s="49"/>
      <c r="E36" s="49"/>
      <c r="F36" s="49"/>
      <c r="G36" s="49"/>
      <c r="H36" s="49"/>
      <c r="I36" s="49"/>
      <c r="J36" s="49"/>
      <c r="K36" s="49"/>
      <c r="L36" s="49"/>
    </row>
    <row r="37">
      <c r="A37" s="49"/>
      <c r="B37" s="49"/>
      <c r="C37" s="49"/>
      <c r="D37" s="49"/>
      <c r="E37" s="49"/>
      <c r="F37" s="49"/>
      <c r="G37" s="49"/>
      <c r="H37" s="49"/>
      <c r="I37" s="49"/>
      <c r="J37" s="49"/>
      <c r="K37" s="49"/>
      <c r="L37" s="49"/>
    </row>
    <row r="38">
      <c r="A38" s="49"/>
      <c r="B38" s="49"/>
      <c r="C38" s="49"/>
      <c r="D38" s="49"/>
      <c r="E38" s="49"/>
      <c r="F38" s="49"/>
      <c r="G38" s="49"/>
      <c r="H38" s="49"/>
      <c r="I38" s="49"/>
      <c r="J38" s="49"/>
      <c r="K38" s="49"/>
      <c r="L38" s="49"/>
    </row>
    <row r="39">
      <c r="A39" s="49"/>
      <c r="B39" s="49"/>
      <c r="C39" s="49"/>
      <c r="D39" s="49"/>
      <c r="E39" s="49"/>
      <c r="F39" s="49"/>
      <c r="G39" s="49"/>
      <c r="H39" s="49"/>
      <c r="I39" s="49"/>
      <c r="J39" s="49"/>
      <c r="K39" s="49"/>
      <c r="L39" s="49"/>
    </row>
    <row r="40">
      <c r="A40" s="49"/>
      <c r="B40" s="49"/>
      <c r="C40" s="49"/>
      <c r="D40" s="49"/>
      <c r="E40" s="49"/>
      <c r="F40" s="49"/>
      <c r="G40" s="49"/>
      <c r="H40" s="49"/>
      <c r="I40" s="49"/>
      <c r="J40" s="49"/>
      <c r="K40" s="49"/>
      <c r="L40" s="49"/>
    </row>
    <row r="41">
      <c r="A41" s="49"/>
      <c r="B41" s="49"/>
      <c r="C41" s="49"/>
      <c r="D41" s="49"/>
      <c r="E41" s="49"/>
      <c r="F41" s="49"/>
      <c r="G41" s="49"/>
      <c r="H41" s="49"/>
      <c r="I41" s="49"/>
      <c r="J41" s="49"/>
      <c r="K41" s="49"/>
      <c r="L41" s="49"/>
    </row>
    <row r="42">
      <c r="A42" s="49"/>
      <c r="B42" s="49"/>
      <c r="C42" s="49"/>
      <c r="D42" s="49"/>
      <c r="E42" s="49"/>
      <c r="F42" s="49"/>
      <c r="G42" s="49"/>
      <c r="H42" s="49"/>
      <c r="I42" s="49"/>
      <c r="J42" s="49"/>
      <c r="K42" s="49"/>
      <c r="L42" s="49"/>
    </row>
    <row r="43">
      <c r="A43" s="49"/>
      <c r="B43" s="49"/>
      <c r="C43" s="49"/>
      <c r="D43" s="49"/>
      <c r="E43" s="49"/>
      <c r="F43" s="49"/>
      <c r="G43" s="49"/>
      <c r="H43" s="49"/>
      <c r="I43" s="49"/>
      <c r="J43" s="49"/>
      <c r="K43" s="49"/>
      <c r="L43" s="49"/>
    </row>
    <row r="44">
      <c r="A44" s="49"/>
      <c r="B44" s="49"/>
      <c r="C44" s="49"/>
      <c r="D44" s="49"/>
      <c r="E44" s="49"/>
      <c r="F44" s="49"/>
      <c r="G44" s="49"/>
      <c r="H44" s="49"/>
      <c r="I44" s="49"/>
      <c r="J44" s="49"/>
      <c r="K44" s="49"/>
      <c r="L44" s="49"/>
    </row>
    <row r="45">
      <c r="A45" s="49"/>
      <c r="B45" s="49"/>
      <c r="C45" s="49"/>
      <c r="D45" s="49"/>
      <c r="E45" s="49"/>
      <c r="F45" s="49"/>
      <c r="G45" s="49"/>
      <c r="H45" s="49"/>
      <c r="I45" s="49"/>
      <c r="J45" s="49"/>
      <c r="K45" s="49"/>
      <c r="L45" s="49"/>
    </row>
    <row r="46">
      <c r="A46" s="49"/>
      <c r="B46" s="49"/>
      <c r="C46" s="49"/>
      <c r="D46" s="49"/>
      <c r="E46" s="49"/>
      <c r="F46" s="49"/>
      <c r="G46" s="49"/>
      <c r="H46" s="49"/>
      <c r="I46" s="49"/>
      <c r="J46" s="49"/>
      <c r="K46" s="49"/>
      <c r="L46" s="49"/>
    </row>
    <row r="47">
      <c r="A47" s="49"/>
      <c r="B47" s="49"/>
      <c r="C47" s="49"/>
      <c r="D47" s="49"/>
      <c r="E47" s="49"/>
      <c r="F47" s="49"/>
      <c r="G47" s="49"/>
      <c r="H47" s="49"/>
      <c r="I47" s="49"/>
      <c r="J47" s="49"/>
      <c r="K47" s="49"/>
      <c r="L47" s="49"/>
    </row>
    <row r="48">
      <c r="A48" s="49"/>
      <c r="B48" s="49"/>
      <c r="C48" s="49"/>
      <c r="D48" s="49"/>
      <c r="E48" s="49"/>
      <c r="F48" s="49"/>
      <c r="G48" s="49"/>
      <c r="H48" s="49"/>
      <c r="I48" s="49"/>
      <c r="J48" s="49"/>
      <c r="K48" s="49"/>
      <c r="L48" s="49"/>
    </row>
    <row r="49">
      <c r="A49" s="49"/>
      <c r="B49" s="49"/>
      <c r="C49" s="49"/>
      <c r="D49" s="49"/>
      <c r="E49" s="49"/>
      <c r="F49" s="49"/>
      <c r="G49" s="49"/>
      <c r="H49" s="49"/>
      <c r="I49" s="49"/>
      <c r="J49" s="49"/>
      <c r="K49" s="49"/>
      <c r="L49" s="49"/>
    </row>
    <row r="50">
      <c r="A50" s="49"/>
      <c r="B50" s="49"/>
      <c r="C50" s="49"/>
      <c r="D50" s="49"/>
      <c r="E50" s="49"/>
      <c r="F50" s="49"/>
      <c r="G50" s="49"/>
      <c r="H50" s="49"/>
      <c r="I50" s="49"/>
      <c r="J50" s="49"/>
      <c r="K50" s="49"/>
      <c r="L50" s="49"/>
    </row>
    <row r="51">
      <c r="A51" s="49"/>
      <c r="B51" s="49"/>
      <c r="C51" s="49"/>
      <c r="D51" s="49"/>
      <c r="E51" s="49"/>
      <c r="F51" s="49"/>
      <c r="G51" s="49"/>
      <c r="H51" s="49"/>
      <c r="I51" s="49"/>
      <c r="J51" s="49"/>
      <c r="K51" s="49"/>
      <c r="L51" s="49"/>
    </row>
    <row r="52">
      <c r="A52" s="49"/>
      <c r="B52" s="49"/>
      <c r="C52" s="49"/>
      <c r="D52" s="49"/>
      <c r="E52" s="49"/>
      <c r="F52" s="49"/>
      <c r="G52" s="49"/>
      <c r="H52" s="49"/>
      <c r="I52" s="49"/>
      <c r="J52" s="49"/>
      <c r="K52" s="49"/>
      <c r="L52" s="49"/>
    </row>
    <row r="53">
      <c r="A53" s="49"/>
      <c r="B53" s="49"/>
      <c r="C53" s="49"/>
      <c r="D53" s="49"/>
      <c r="E53" s="49"/>
      <c r="F53" s="49"/>
      <c r="G53" s="49"/>
      <c r="H53" s="49"/>
      <c r="I53" s="49"/>
      <c r="J53" s="49"/>
      <c r="K53" s="49"/>
      <c r="L53" s="49"/>
    </row>
    <row r="54">
      <c r="A54" s="49"/>
      <c r="B54" s="49"/>
      <c r="C54" s="49"/>
      <c r="D54" s="49"/>
      <c r="E54" s="49"/>
      <c r="F54" s="49"/>
      <c r="G54" s="49"/>
      <c r="H54" s="49"/>
      <c r="I54" s="49"/>
      <c r="J54" s="49"/>
      <c r="K54" s="49"/>
      <c r="L54" s="49"/>
    </row>
    <row r="55">
      <c r="A55" s="49"/>
      <c r="B55" s="49"/>
      <c r="C55" s="49"/>
      <c r="D55" s="49"/>
      <c r="E55" s="49"/>
      <c r="F55" s="49"/>
      <c r="G55" s="49"/>
      <c r="H55" s="49"/>
      <c r="I55" s="49"/>
      <c r="J55" s="49"/>
      <c r="K55" s="49"/>
      <c r="L55" s="49"/>
    </row>
    <row r="56">
      <c r="A56" s="49"/>
      <c r="B56" s="49"/>
      <c r="C56" s="49"/>
      <c r="D56" s="49"/>
      <c r="E56" s="49"/>
      <c r="F56" s="49"/>
      <c r="G56" s="49"/>
      <c r="H56" s="49"/>
      <c r="I56" s="49"/>
      <c r="J56" s="49"/>
      <c r="K56" s="49"/>
      <c r="L56" s="49"/>
    </row>
    <row r="57">
      <c r="A57" s="49"/>
      <c r="B57" s="49"/>
      <c r="C57" s="49"/>
      <c r="D57" s="49"/>
      <c r="E57" s="49"/>
      <c r="F57" s="49"/>
      <c r="G57" s="49"/>
      <c r="H57" s="49"/>
      <c r="I57" s="49"/>
      <c r="J57" s="49"/>
      <c r="K57" s="49"/>
      <c r="L57" s="49"/>
    </row>
    <row r="58">
      <c r="A58" s="49"/>
      <c r="B58" s="49"/>
      <c r="C58" s="49"/>
      <c r="D58" s="49"/>
      <c r="E58" s="49"/>
      <c r="F58" s="49"/>
      <c r="G58" s="49"/>
      <c r="H58" s="49"/>
      <c r="I58" s="49"/>
      <c r="J58" s="49"/>
      <c r="K58" s="49"/>
      <c r="L58" s="49"/>
    </row>
    <row r="59">
      <c r="A59" s="49"/>
      <c r="B59" s="49"/>
      <c r="C59" s="49"/>
      <c r="D59" s="49"/>
      <c r="E59" s="49"/>
      <c r="F59" s="49"/>
      <c r="G59" s="49"/>
      <c r="H59" s="49"/>
      <c r="I59" s="49"/>
      <c r="J59" s="49"/>
      <c r="K59" s="49"/>
      <c r="L59" s="49"/>
    </row>
    <row r="60">
      <c r="A60" s="49"/>
      <c r="B60" s="49"/>
      <c r="C60" s="49"/>
      <c r="D60" s="49"/>
      <c r="E60" s="49"/>
      <c r="F60" s="49"/>
      <c r="G60" s="49"/>
      <c r="H60" s="49"/>
      <c r="I60" s="49"/>
      <c r="J60" s="49"/>
      <c r="K60" s="49"/>
      <c r="L60" s="49"/>
    </row>
    <row r="61">
      <c r="A61" s="49"/>
      <c r="B61" s="49"/>
      <c r="C61" s="49"/>
      <c r="D61" s="49"/>
      <c r="E61" s="49"/>
      <c r="F61" s="49"/>
      <c r="G61" s="49"/>
      <c r="H61" s="49"/>
      <c r="I61" s="49"/>
      <c r="J61" s="49"/>
      <c r="K61" s="49"/>
      <c r="L61" s="49"/>
    </row>
    <row r="62">
      <c r="A62" s="49"/>
      <c r="B62" s="49"/>
      <c r="C62" s="49"/>
      <c r="D62" s="49"/>
      <c r="E62" s="49"/>
      <c r="F62" s="49"/>
      <c r="G62" s="49"/>
      <c r="H62" s="49"/>
      <c r="I62" s="49"/>
      <c r="J62" s="49"/>
      <c r="K62" s="49"/>
      <c r="L62" s="49"/>
    </row>
    <row r="63">
      <c r="A63" s="49"/>
      <c r="B63" s="49"/>
      <c r="C63" s="49"/>
      <c r="D63" s="49"/>
      <c r="E63" s="49"/>
      <c r="F63" s="49"/>
      <c r="G63" s="49"/>
      <c r="H63" s="49"/>
      <c r="I63" s="49"/>
      <c r="J63" s="49"/>
      <c r="K63" s="49"/>
      <c r="L63" s="49"/>
    </row>
    <row r="64">
      <c r="A64" s="49"/>
      <c r="B64" s="49"/>
      <c r="C64" s="49"/>
      <c r="D64" s="49"/>
      <c r="E64" s="49"/>
      <c r="F64" s="49"/>
      <c r="G64" s="49"/>
      <c r="H64" s="49"/>
      <c r="I64" s="49"/>
      <c r="J64" s="49"/>
      <c r="K64" s="49"/>
      <c r="L64" s="49"/>
    </row>
    <row r="65">
      <c r="A65" s="49"/>
      <c r="B65" s="49"/>
      <c r="C65" s="49"/>
      <c r="D65" s="49"/>
      <c r="E65" s="49"/>
      <c r="F65" s="49"/>
      <c r="G65" s="49"/>
      <c r="H65" s="49"/>
      <c r="I65" s="49"/>
      <c r="J65" s="49"/>
      <c r="K65" s="49"/>
      <c r="L65" s="49"/>
    </row>
    <row r="66">
      <c r="A66" s="49"/>
      <c r="B66" s="49"/>
      <c r="C66" s="49"/>
      <c r="D66" s="49"/>
      <c r="E66" s="49"/>
      <c r="F66" s="49"/>
      <c r="G66" s="49"/>
      <c r="H66" s="49"/>
      <c r="I66" s="49"/>
      <c r="J66" s="49"/>
      <c r="K66" s="49"/>
      <c r="L66" s="49"/>
    </row>
    <row r="67">
      <c r="A67" s="49"/>
      <c r="B67" s="49"/>
      <c r="C67" s="49"/>
      <c r="D67" s="49"/>
      <c r="E67" s="49"/>
      <c r="F67" s="49"/>
      <c r="G67" s="49"/>
      <c r="H67" s="49"/>
      <c r="I67" s="49"/>
      <c r="J67" s="49"/>
      <c r="K67" s="49"/>
      <c r="L67" s="49"/>
    </row>
    <row r="68">
      <c r="A68" s="49"/>
      <c r="B68" s="49"/>
      <c r="C68" s="49"/>
      <c r="D68" s="49"/>
      <c r="E68" s="49"/>
      <c r="F68" s="49"/>
      <c r="G68" s="49"/>
      <c r="H68" s="49"/>
      <c r="I68" s="49"/>
      <c r="J68" s="49"/>
      <c r="K68" s="49"/>
      <c r="L68" s="49"/>
    </row>
    <row r="69">
      <c r="A69" s="49"/>
      <c r="B69" s="49"/>
      <c r="C69" s="49"/>
      <c r="D69" s="49"/>
      <c r="E69" s="49"/>
      <c r="F69" s="49"/>
      <c r="G69" s="49"/>
      <c r="H69" s="49"/>
      <c r="I69" s="49"/>
      <c r="J69" s="49"/>
      <c r="K69" s="49"/>
      <c r="L69" s="49"/>
    </row>
    <row r="70">
      <c r="A70" s="49"/>
      <c r="B70" s="49"/>
      <c r="C70" s="49"/>
      <c r="D70" s="49"/>
      <c r="E70" s="49"/>
      <c r="F70" s="49"/>
      <c r="G70" s="49"/>
      <c r="H70" s="49"/>
      <c r="I70" s="49"/>
      <c r="J70" s="49"/>
      <c r="K70" s="49"/>
      <c r="L70" s="49"/>
    </row>
    <row r="71">
      <c r="A71" s="49"/>
      <c r="B71" s="49"/>
      <c r="C71" s="49"/>
      <c r="D71" s="49"/>
      <c r="E71" s="49"/>
      <c r="F71" s="49"/>
      <c r="G71" s="49"/>
      <c r="H71" s="49"/>
      <c r="I71" s="49"/>
      <c r="J71" s="49"/>
      <c r="K71" s="49"/>
      <c r="L71" s="49"/>
    </row>
    <row r="72">
      <c r="A72" s="49"/>
      <c r="B72" s="49"/>
      <c r="C72" s="49"/>
      <c r="D72" s="49"/>
      <c r="E72" s="49"/>
      <c r="F72" s="49"/>
      <c r="G72" s="49"/>
      <c r="H72" s="49"/>
      <c r="I72" s="49"/>
      <c r="J72" s="49"/>
      <c r="K72" s="49"/>
      <c r="L72" s="49"/>
    </row>
    <row r="73">
      <c r="A73" s="49"/>
      <c r="B73" s="49"/>
      <c r="C73" s="49"/>
      <c r="D73" s="49"/>
      <c r="E73" s="49"/>
      <c r="F73" s="49"/>
      <c r="G73" s="49"/>
      <c r="H73" s="49"/>
      <c r="I73" s="49"/>
      <c r="J73" s="49"/>
      <c r="K73" s="49"/>
      <c r="L73" s="49"/>
    </row>
    <row r="74">
      <c r="A74" s="49"/>
      <c r="B74" s="49"/>
      <c r="C74" s="49"/>
      <c r="D74" s="49"/>
      <c r="E74" s="49"/>
      <c r="F74" s="49"/>
      <c r="G74" s="49"/>
      <c r="H74" s="49"/>
      <c r="I74" s="49"/>
      <c r="J74" s="49"/>
      <c r="K74" s="49"/>
      <c r="L74" s="49"/>
    </row>
    <row r="75">
      <c r="A75" s="49"/>
      <c r="B75" s="49"/>
      <c r="C75" s="49"/>
      <c r="D75" s="49"/>
      <c r="E75" s="49"/>
      <c r="F75" s="49"/>
      <c r="G75" s="49"/>
      <c r="H75" s="49"/>
      <c r="I75" s="49"/>
      <c r="J75" s="49"/>
      <c r="K75" s="49"/>
      <c r="L75" s="49"/>
    </row>
    <row r="76">
      <c r="A76" s="49"/>
      <c r="B76" s="49"/>
      <c r="C76" s="49"/>
      <c r="D76" s="49"/>
      <c r="E76" s="49"/>
      <c r="F76" s="49"/>
      <c r="G76" s="49"/>
      <c r="H76" s="49"/>
      <c r="I76" s="49"/>
      <c r="J76" s="49"/>
      <c r="K76" s="49"/>
      <c r="L76" s="49"/>
    </row>
    <row r="77">
      <c r="A77" s="49"/>
      <c r="B77" s="49"/>
      <c r="C77" s="49"/>
      <c r="D77" s="49"/>
      <c r="E77" s="49"/>
      <c r="F77" s="49"/>
      <c r="G77" s="49"/>
      <c r="H77" s="49"/>
      <c r="I77" s="49"/>
      <c r="J77" s="49"/>
      <c r="K77" s="49"/>
      <c r="L77" s="49"/>
    </row>
    <row r="78">
      <c r="A78" s="49"/>
      <c r="B78" s="49"/>
      <c r="C78" s="49"/>
      <c r="D78" s="49"/>
      <c r="E78" s="49"/>
      <c r="F78" s="49"/>
      <c r="G78" s="49"/>
      <c r="H78" s="49"/>
      <c r="I78" s="49"/>
      <c r="J78" s="49"/>
      <c r="K78" s="49"/>
      <c r="L78" s="49"/>
    </row>
    <row r="79">
      <c r="A79" s="49"/>
      <c r="B79" s="49"/>
      <c r="C79" s="49"/>
      <c r="D79" s="49"/>
      <c r="E79" s="49"/>
      <c r="F79" s="49"/>
      <c r="G79" s="49"/>
      <c r="H79" s="49"/>
      <c r="I79" s="49"/>
      <c r="J79" s="49"/>
      <c r="K79" s="49"/>
      <c r="L79" s="49"/>
    </row>
    <row r="80">
      <c r="A80" s="49"/>
      <c r="B80" s="49"/>
      <c r="C80" s="49"/>
      <c r="D80" s="49"/>
      <c r="E80" s="49"/>
      <c r="F80" s="49"/>
      <c r="G80" s="49"/>
      <c r="H80" s="49"/>
      <c r="I80" s="49"/>
      <c r="J80" s="49"/>
      <c r="K80" s="49"/>
      <c r="L80" s="49"/>
    </row>
    <row r="81">
      <c r="A81" s="49"/>
      <c r="B81" s="49"/>
      <c r="C81" s="49"/>
      <c r="D81" s="49"/>
      <c r="E81" s="49"/>
      <c r="F81" s="49"/>
      <c r="G81" s="49"/>
      <c r="H81" s="49"/>
      <c r="I81" s="49"/>
      <c r="J81" s="49"/>
      <c r="K81" s="49"/>
      <c r="L81" s="49"/>
    </row>
    <row r="82">
      <c r="A82" s="49"/>
      <c r="B82" s="49"/>
      <c r="C82" s="49"/>
      <c r="D82" s="49"/>
      <c r="E82" s="49"/>
      <c r="F82" s="49"/>
      <c r="G82" s="49"/>
      <c r="H82" s="49"/>
      <c r="I82" s="49"/>
      <c r="J82" s="49"/>
      <c r="K82" s="49"/>
      <c r="L82" s="49"/>
    </row>
    <row r="83">
      <c r="A83" s="49"/>
      <c r="B83" s="49"/>
      <c r="C83" s="49"/>
      <c r="D83" s="49"/>
      <c r="E83" s="49"/>
      <c r="F83" s="49"/>
      <c r="G83" s="49"/>
      <c r="H83" s="49"/>
      <c r="I83" s="49"/>
      <c r="J83" s="49"/>
      <c r="K83" s="49"/>
      <c r="L83" s="49"/>
    </row>
    <row r="84">
      <c r="A84" s="49"/>
      <c r="B84" s="49"/>
      <c r="C84" s="49"/>
      <c r="D84" s="49"/>
      <c r="E84" s="49"/>
      <c r="F84" s="49"/>
      <c r="G84" s="49"/>
      <c r="H84" s="49"/>
      <c r="I84" s="49"/>
      <c r="J84" s="49"/>
      <c r="K84" s="49"/>
      <c r="L84" s="49"/>
    </row>
    <row r="85">
      <c r="A85" s="49"/>
      <c r="B85" s="49"/>
      <c r="C85" s="49"/>
      <c r="D85" s="49"/>
      <c r="E85" s="49"/>
      <c r="F85" s="49"/>
      <c r="G85" s="49"/>
      <c r="H85" s="49"/>
      <c r="I85" s="49"/>
      <c r="J85" s="49"/>
      <c r="K85" s="49"/>
      <c r="L85" s="49"/>
    </row>
    <row r="86">
      <c r="A86" s="49"/>
      <c r="B86" s="49"/>
      <c r="C86" s="49"/>
      <c r="D86" s="49"/>
      <c r="E86" s="49"/>
      <c r="F86" s="49"/>
      <c r="G86" s="49"/>
      <c r="H86" s="49"/>
      <c r="I86" s="49"/>
      <c r="J86" s="49"/>
      <c r="K86" s="49"/>
      <c r="L86" s="49"/>
    </row>
    <row r="87">
      <c r="A87" s="49"/>
      <c r="B87" s="49"/>
      <c r="C87" s="49"/>
      <c r="D87" s="49"/>
      <c r="E87" s="49"/>
      <c r="F87" s="49"/>
      <c r="G87" s="49"/>
      <c r="H87" s="49"/>
      <c r="I87" s="49"/>
      <c r="J87" s="49"/>
      <c r="K87" s="49"/>
      <c r="L87" s="49"/>
    </row>
    <row r="88">
      <c r="A88" s="49"/>
      <c r="B88" s="49"/>
      <c r="C88" s="49"/>
      <c r="D88" s="49"/>
      <c r="E88" s="49"/>
      <c r="F88" s="49"/>
      <c r="G88" s="49"/>
      <c r="H88" s="49"/>
      <c r="I88" s="49"/>
      <c r="J88" s="49"/>
      <c r="K88" s="49"/>
      <c r="L88" s="49"/>
    </row>
    <row r="89">
      <c r="A89" s="49"/>
      <c r="B89" s="49"/>
      <c r="C89" s="49"/>
      <c r="D89" s="49"/>
      <c r="E89" s="49"/>
      <c r="F89" s="49"/>
      <c r="G89" s="49"/>
      <c r="H89" s="49"/>
      <c r="I89" s="49"/>
      <c r="J89" s="49"/>
      <c r="K89" s="49"/>
      <c r="L89" s="49"/>
    </row>
    <row r="90">
      <c r="A90" s="49"/>
      <c r="B90" s="49"/>
      <c r="C90" s="49"/>
      <c r="D90" s="49"/>
      <c r="E90" s="49"/>
      <c r="F90" s="49"/>
      <c r="G90" s="49"/>
      <c r="H90" s="49"/>
      <c r="I90" s="49"/>
      <c r="J90" s="49"/>
      <c r="K90" s="49"/>
      <c r="L90" s="49"/>
    </row>
    <row r="91">
      <c r="A91" s="49"/>
      <c r="B91" s="49"/>
      <c r="C91" s="49"/>
      <c r="D91" s="49"/>
      <c r="E91" s="49"/>
      <c r="F91" s="49"/>
      <c r="G91" s="49"/>
      <c r="H91" s="49"/>
      <c r="I91" s="49"/>
      <c r="J91" s="49"/>
      <c r="K91" s="49"/>
      <c r="L91" s="49"/>
    </row>
    <row r="92">
      <c r="A92" s="49"/>
      <c r="B92" s="49"/>
      <c r="C92" s="49"/>
      <c r="D92" s="49"/>
      <c r="E92" s="49"/>
      <c r="F92" s="49"/>
      <c r="G92" s="49"/>
      <c r="H92" s="49"/>
      <c r="I92" s="49"/>
      <c r="J92" s="49"/>
      <c r="K92" s="49"/>
      <c r="L92" s="49"/>
    </row>
    <row r="93">
      <c r="A93" s="49"/>
      <c r="B93" s="49"/>
      <c r="C93" s="49"/>
      <c r="D93" s="49"/>
      <c r="E93" s="49"/>
      <c r="F93" s="49"/>
      <c r="G93" s="49"/>
      <c r="H93" s="49"/>
      <c r="I93" s="49"/>
      <c r="J93" s="49"/>
      <c r="K93" s="49"/>
      <c r="L93" s="49"/>
    </row>
    <row r="94">
      <c r="A94" s="49"/>
      <c r="B94" s="49"/>
      <c r="C94" s="49"/>
      <c r="D94" s="49"/>
      <c r="E94" s="49"/>
      <c r="F94" s="49"/>
      <c r="G94" s="49"/>
      <c r="H94" s="49"/>
      <c r="I94" s="49"/>
      <c r="J94" s="49"/>
      <c r="K94" s="49"/>
      <c r="L94" s="49"/>
    </row>
    <row r="95">
      <c r="A95" s="49"/>
      <c r="B95" s="49"/>
      <c r="C95" s="49"/>
      <c r="D95" s="49"/>
      <c r="E95" s="49"/>
      <c r="F95" s="49"/>
      <c r="G95" s="49"/>
      <c r="H95" s="49"/>
      <c r="I95" s="49"/>
      <c r="J95" s="49"/>
      <c r="K95" s="49"/>
      <c r="L95" s="49"/>
    </row>
    <row r="96">
      <c r="A96" s="49"/>
      <c r="B96" s="49"/>
      <c r="C96" s="49"/>
      <c r="D96" s="49"/>
      <c r="E96" s="49"/>
      <c r="F96" s="49"/>
      <c r="G96" s="49"/>
      <c r="H96" s="49"/>
      <c r="I96" s="49"/>
      <c r="J96" s="49"/>
      <c r="K96" s="49"/>
      <c r="L96" s="49"/>
    </row>
    <row r="97">
      <c r="A97" s="49"/>
      <c r="B97" s="49"/>
      <c r="C97" s="49"/>
      <c r="D97" s="49"/>
      <c r="E97" s="49"/>
      <c r="F97" s="49"/>
      <c r="G97" s="49"/>
      <c r="H97" s="49"/>
      <c r="I97" s="49"/>
      <c r="J97" s="49"/>
      <c r="K97" s="49"/>
      <c r="L97" s="49"/>
    </row>
    <row r="98">
      <c r="A98" s="49"/>
      <c r="B98" s="49"/>
      <c r="C98" s="49"/>
      <c r="D98" s="49"/>
      <c r="E98" s="49"/>
      <c r="F98" s="49"/>
      <c r="G98" s="49"/>
      <c r="H98" s="49"/>
      <c r="I98" s="49"/>
      <c r="J98" s="49"/>
      <c r="K98" s="49"/>
      <c r="L98" s="49"/>
    </row>
    <row r="99">
      <c r="A99" s="49"/>
      <c r="B99" s="49"/>
      <c r="C99" s="49"/>
      <c r="D99" s="49"/>
      <c r="E99" s="49"/>
      <c r="F99" s="49"/>
      <c r="G99" s="49"/>
      <c r="H99" s="49"/>
      <c r="I99" s="49"/>
      <c r="J99" s="49"/>
      <c r="K99" s="49"/>
      <c r="L99" s="49"/>
    </row>
    <row r="100">
      <c r="A100" s="49"/>
      <c r="B100" s="49"/>
      <c r="C100" s="49"/>
      <c r="D100" s="49"/>
      <c r="E100" s="49"/>
      <c r="F100" s="49"/>
      <c r="G100" s="49"/>
      <c r="H100" s="49"/>
      <c r="I100" s="49"/>
      <c r="J100" s="49"/>
      <c r="K100" s="49"/>
      <c r="L100" s="49"/>
    </row>
    <row r="101">
      <c r="A101" s="49"/>
      <c r="B101" s="49"/>
      <c r="C101" s="49"/>
      <c r="D101" s="49"/>
      <c r="E101" s="49"/>
      <c r="F101" s="49"/>
      <c r="G101" s="49"/>
      <c r="H101" s="49"/>
      <c r="I101" s="49"/>
      <c r="J101" s="49"/>
      <c r="K101" s="49"/>
      <c r="L101" s="49"/>
    </row>
    <row r="102">
      <c r="A102" s="49"/>
      <c r="B102" s="49"/>
      <c r="C102" s="49"/>
      <c r="D102" s="49"/>
      <c r="E102" s="49"/>
      <c r="F102" s="49"/>
      <c r="G102" s="49"/>
      <c r="H102" s="49"/>
      <c r="I102" s="49"/>
      <c r="J102" s="49"/>
      <c r="K102" s="49"/>
      <c r="L102" s="49"/>
    </row>
    <row r="103">
      <c r="A103" s="49"/>
      <c r="B103" s="49"/>
      <c r="C103" s="49"/>
      <c r="D103" s="49"/>
      <c r="E103" s="49"/>
      <c r="F103" s="49"/>
      <c r="G103" s="49"/>
      <c r="H103" s="49"/>
      <c r="I103" s="49"/>
      <c r="J103" s="49"/>
      <c r="K103" s="49"/>
      <c r="L103" s="49"/>
    </row>
    <row r="104">
      <c r="A104" s="49"/>
      <c r="B104" s="49"/>
      <c r="C104" s="49"/>
      <c r="D104" s="49"/>
      <c r="E104" s="49"/>
      <c r="F104" s="49"/>
      <c r="G104" s="49"/>
      <c r="H104" s="49"/>
      <c r="I104" s="49"/>
      <c r="J104" s="49"/>
      <c r="K104" s="49"/>
      <c r="L104" s="49"/>
    </row>
    <row r="105">
      <c r="A105" s="49"/>
      <c r="B105" s="49"/>
      <c r="C105" s="49"/>
      <c r="D105" s="49"/>
      <c r="E105" s="49"/>
      <c r="F105" s="49"/>
      <c r="G105" s="49"/>
      <c r="H105" s="49"/>
      <c r="I105" s="49"/>
      <c r="J105" s="49"/>
      <c r="K105" s="49"/>
      <c r="L105" s="49"/>
    </row>
    <row r="106">
      <c r="A106" s="49"/>
      <c r="B106" s="49"/>
      <c r="C106" s="49"/>
      <c r="D106" s="49"/>
      <c r="E106" s="49"/>
      <c r="F106" s="49"/>
      <c r="G106" s="49"/>
      <c r="H106" s="49"/>
      <c r="I106" s="49"/>
      <c r="J106" s="49"/>
      <c r="K106" s="49"/>
      <c r="L106" s="49"/>
    </row>
    <row r="107">
      <c r="A107" s="49"/>
      <c r="B107" s="49"/>
      <c r="C107" s="49"/>
      <c r="D107" s="49"/>
      <c r="E107" s="49"/>
      <c r="F107" s="49"/>
      <c r="G107" s="49"/>
      <c r="H107" s="49"/>
      <c r="I107" s="49"/>
      <c r="J107" s="49"/>
      <c r="K107" s="49"/>
      <c r="L107" s="49"/>
    </row>
    <row r="108">
      <c r="A108" s="49"/>
      <c r="B108" s="49"/>
      <c r="C108" s="49"/>
      <c r="D108" s="49"/>
      <c r="E108" s="49"/>
      <c r="F108" s="49"/>
      <c r="G108" s="49"/>
      <c r="H108" s="49"/>
      <c r="I108" s="49"/>
      <c r="J108" s="49"/>
      <c r="K108" s="49"/>
      <c r="L108" s="49"/>
    </row>
    <row r="109">
      <c r="A109" s="49"/>
      <c r="B109" s="49"/>
      <c r="C109" s="49"/>
      <c r="D109" s="49"/>
      <c r="E109" s="49"/>
      <c r="F109" s="49"/>
      <c r="G109" s="49"/>
      <c r="H109" s="49"/>
      <c r="I109" s="49"/>
      <c r="J109" s="49"/>
      <c r="K109" s="49"/>
      <c r="L109" s="49"/>
    </row>
    <row r="110">
      <c r="A110" s="49"/>
      <c r="B110" s="49"/>
      <c r="C110" s="49"/>
      <c r="D110" s="49"/>
      <c r="E110" s="49"/>
      <c r="F110" s="49"/>
      <c r="G110" s="49"/>
      <c r="H110" s="49"/>
      <c r="I110" s="49"/>
      <c r="J110" s="49"/>
      <c r="K110" s="49"/>
      <c r="L110" s="49"/>
    </row>
    <row r="111">
      <c r="A111" s="49"/>
      <c r="B111" s="49"/>
      <c r="C111" s="49"/>
      <c r="D111" s="49"/>
      <c r="E111" s="49"/>
      <c r="F111" s="49"/>
      <c r="G111" s="49"/>
      <c r="H111" s="49"/>
      <c r="I111" s="49"/>
      <c r="J111" s="49"/>
      <c r="K111" s="49"/>
      <c r="L111" s="49"/>
    </row>
    <row r="112">
      <c r="A112" s="49"/>
      <c r="B112" s="49"/>
      <c r="C112" s="49"/>
      <c r="D112" s="49"/>
      <c r="E112" s="49"/>
      <c r="F112" s="49"/>
      <c r="G112" s="49"/>
      <c r="H112" s="49"/>
      <c r="I112" s="49"/>
      <c r="J112" s="49"/>
      <c r="K112" s="49"/>
      <c r="L112" s="49"/>
    </row>
    <row r="113">
      <c r="A113" s="49"/>
      <c r="B113" s="49"/>
      <c r="C113" s="49"/>
      <c r="D113" s="49"/>
      <c r="E113" s="49"/>
      <c r="F113" s="49"/>
      <c r="G113" s="49"/>
      <c r="H113" s="49"/>
      <c r="I113" s="49"/>
      <c r="J113" s="49"/>
      <c r="K113" s="49"/>
      <c r="L113" s="49"/>
    </row>
    <row r="114">
      <c r="A114" s="49"/>
      <c r="B114" s="49"/>
      <c r="C114" s="49"/>
      <c r="D114" s="49"/>
      <c r="E114" s="49"/>
      <c r="F114" s="49"/>
      <c r="G114" s="49"/>
      <c r="H114" s="49"/>
      <c r="I114" s="49"/>
      <c r="J114" s="49"/>
      <c r="K114" s="49"/>
      <c r="L114" s="49"/>
    </row>
    <row r="115">
      <c r="A115" s="49"/>
      <c r="B115" s="49"/>
      <c r="C115" s="49"/>
      <c r="D115" s="49"/>
      <c r="E115" s="49"/>
      <c r="F115" s="49"/>
      <c r="G115" s="49"/>
      <c r="H115" s="49"/>
      <c r="I115" s="49"/>
      <c r="J115" s="49"/>
      <c r="K115" s="49"/>
      <c r="L115" s="49"/>
    </row>
    <row r="116">
      <c r="A116" s="49"/>
      <c r="B116" s="49"/>
      <c r="C116" s="49"/>
      <c r="D116" s="49"/>
      <c r="E116" s="49"/>
      <c r="F116" s="49"/>
      <c r="G116" s="49"/>
      <c r="H116" s="49"/>
      <c r="I116" s="49"/>
      <c r="J116" s="49"/>
      <c r="K116" s="49"/>
      <c r="L116" s="49"/>
    </row>
    <row r="117">
      <c r="A117" s="49"/>
      <c r="B117" s="49"/>
      <c r="C117" s="49"/>
      <c r="D117" s="49"/>
      <c r="E117" s="49"/>
      <c r="F117" s="49"/>
      <c r="G117" s="49"/>
      <c r="H117" s="49"/>
      <c r="I117" s="49"/>
      <c r="J117" s="49"/>
      <c r="K117" s="49"/>
      <c r="L117" s="49"/>
    </row>
    <row r="118">
      <c r="A118" s="49"/>
      <c r="B118" s="49"/>
      <c r="C118" s="49"/>
      <c r="D118" s="49"/>
      <c r="E118" s="49"/>
      <c r="F118" s="49"/>
      <c r="G118" s="49"/>
      <c r="H118" s="49"/>
      <c r="I118" s="49"/>
      <c r="J118" s="49"/>
      <c r="K118" s="49"/>
      <c r="L118" s="49"/>
    </row>
    <row r="119">
      <c r="A119" s="49"/>
      <c r="B119" s="49"/>
      <c r="C119" s="49"/>
      <c r="D119" s="49"/>
      <c r="E119" s="49"/>
      <c r="F119" s="49"/>
      <c r="G119" s="49"/>
      <c r="H119" s="49"/>
      <c r="I119" s="49"/>
      <c r="J119" s="49"/>
      <c r="K119" s="49"/>
      <c r="L119" s="49"/>
    </row>
    <row r="120">
      <c r="A120" s="49"/>
      <c r="B120" s="49"/>
      <c r="C120" s="49"/>
      <c r="D120" s="49"/>
      <c r="E120" s="49"/>
      <c r="F120" s="49"/>
      <c r="G120" s="49"/>
      <c r="H120" s="49"/>
      <c r="I120" s="49"/>
      <c r="J120" s="49"/>
      <c r="K120" s="49"/>
      <c r="L120" s="49"/>
    </row>
    <row r="121">
      <c r="A121" s="49"/>
      <c r="B121" s="49"/>
      <c r="C121" s="49"/>
      <c r="D121" s="49"/>
      <c r="E121" s="49"/>
      <c r="F121" s="49"/>
      <c r="G121" s="49"/>
      <c r="H121" s="49"/>
      <c r="I121" s="49"/>
      <c r="J121" s="49"/>
      <c r="K121" s="49"/>
      <c r="L121" s="49"/>
    </row>
    <row r="122">
      <c r="A122" s="49"/>
      <c r="B122" s="49"/>
      <c r="C122" s="49"/>
      <c r="D122" s="49"/>
      <c r="E122" s="49"/>
      <c r="F122" s="49"/>
      <c r="G122" s="49"/>
      <c r="H122" s="49"/>
      <c r="I122" s="49"/>
      <c r="J122" s="49"/>
      <c r="K122" s="49"/>
      <c r="L122" s="49"/>
    </row>
    <row r="123">
      <c r="A123" s="49"/>
      <c r="B123" s="49"/>
      <c r="C123" s="49"/>
      <c r="D123" s="49"/>
      <c r="E123" s="49"/>
      <c r="F123" s="49"/>
      <c r="G123" s="49"/>
      <c r="H123" s="49"/>
      <c r="I123" s="49"/>
      <c r="J123" s="49"/>
      <c r="K123" s="49"/>
      <c r="L123" s="49"/>
    </row>
    <row r="124">
      <c r="A124" s="49"/>
      <c r="B124" s="49"/>
      <c r="C124" s="49"/>
      <c r="D124" s="49"/>
      <c r="E124" s="49"/>
      <c r="F124" s="49"/>
      <c r="G124" s="49"/>
      <c r="H124" s="49"/>
      <c r="I124" s="49"/>
      <c r="J124" s="49"/>
      <c r="K124" s="49"/>
      <c r="L124" s="49"/>
    </row>
    <row r="125">
      <c r="A125" s="49"/>
      <c r="B125" s="49"/>
      <c r="C125" s="49"/>
      <c r="D125" s="49"/>
      <c r="E125" s="49"/>
      <c r="F125" s="49"/>
      <c r="G125" s="49"/>
      <c r="H125" s="49"/>
      <c r="I125" s="49"/>
      <c r="J125" s="49"/>
      <c r="K125" s="49"/>
      <c r="L125" s="49"/>
    </row>
    <row r="126">
      <c r="A126" s="49"/>
      <c r="B126" s="49"/>
      <c r="C126" s="49"/>
      <c r="D126" s="49"/>
      <c r="E126" s="49"/>
      <c r="F126" s="49"/>
      <c r="G126" s="49"/>
      <c r="H126" s="49"/>
      <c r="I126" s="49"/>
      <c r="J126" s="49"/>
      <c r="K126" s="49"/>
      <c r="L126" s="49"/>
    </row>
    <row r="127">
      <c r="A127" s="49"/>
      <c r="B127" s="49"/>
      <c r="C127" s="49"/>
      <c r="D127" s="49"/>
      <c r="E127" s="49"/>
      <c r="F127" s="49"/>
      <c r="G127" s="49"/>
      <c r="H127" s="49"/>
      <c r="I127" s="49"/>
      <c r="J127" s="49"/>
      <c r="K127" s="49"/>
      <c r="L127" s="49"/>
    </row>
    <row r="128">
      <c r="A128" s="49"/>
      <c r="B128" s="49"/>
      <c r="C128" s="49"/>
      <c r="D128" s="49"/>
      <c r="E128" s="49"/>
      <c r="F128" s="49"/>
      <c r="G128" s="49"/>
      <c r="H128" s="49"/>
      <c r="I128" s="49"/>
      <c r="J128" s="49"/>
      <c r="K128" s="49"/>
      <c r="L128" s="49"/>
    </row>
    <row r="129">
      <c r="A129" s="49"/>
      <c r="B129" s="49"/>
      <c r="C129" s="49"/>
      <c r="D129" s="49"/>
      <c r="E129" s="49"/>
      <c r="F129" s="49"/>
      <c r="G129" s="49"/>
      <c r="H129" s="49"/>
      <c r="I129" s="49"/>
      <c r="J129" s="49"/>
      <c r="K129" s="49"/>
      <c r="L129" s="49"/>
    </row>
    <row r="130">
      <c r="A130" s="49"/>
      <c r="B130" s="49"/>
      <c r="C130" s="49"/>
      <c r="D130" s="49"/>
      <c r="E130" s="49"/>
      <c r="F130" s="49"/>
      <c r="G130" s="49"/>
      <c r="H130" s="49"/>
      <c r="I130" s="49"/>
      <c r="J130" s="49"/>
      <c r="K130" s="49"/>
      <c r="L130" s="49"/>
    </row>
    <row r="131">
      <c r="A131" s="49"/>
      <c r="B131" s="49"/>
      <c r="C131" s="49"/>
      <c r="D131" s="49"/>
      <c r="E131" s="49"/>
      <c r="F131" s="49"/>
      <c r="G131" s="49"/>
      <c r="H131" s="49"/>
      <c r="I131" s="49"/>
      <c r="J131" s="49"/>
      <c r="K131" s="49"/>
      <c r="L131" s="49"/>
    </row>
    <row r="132">
      <c r="A132" s="49"/>
      <c r="B132" s="49"/>
      <c r="C132" s="49"/>
      <c r="D132" s="49"/>
      <c r="E132" s="49"/>
      <c r="F132" s="49"/>
      <c r="G132" s="49"/>
      <c r="H132" s="49"/>
      <c r="I132" s="49"/>
      <c r="J132" s="49"/>
      <c r="K132" s="49"/>
      <c r="L132" s="49"/>
    </row>
    <row r="133">
      <c r="A133" s="49"/>
      <c r="B133" s="49"/>
      <c r="C133" s="49"/>
      <c r="D133" s="49"/>
      <c r="E133" s="49"/>
      <c r="F133" s="49"/>
      <c r="G133" s="49"/>
      <c r="H133" s="49"/>
      <c r="I133" s="49"/>
      <c r="J133" s="49"/>
      <c r="K133" s="49"/>
      <c r="L133" s="49"/>
    </row>
    <row r="134">
      <c r="A134" s="49"/>
      <c r="B134" s="49"/>
      <c r="C134" s="49"/>
      <c r="D134" s="49"/>
      <c r="E134" s="49"/>
      <c r="F134" s="49"/>
      <c r="G134" s="49"/>
      <c r="H134" s="49"/>
      <c r="I134" s="49"/>
      <c r="J134" s="49"/>
      <c r="K134" s="49"/>
      <c r="L134" s="49"/>
    </row>
    <row r="135">
      <c r="A135" s="49"/>
      <c r="B135" s="49"/>
      <c r="C135" s="49"/>
      <c r="D135" s="49"/>
      <c r="E135" s="49"/>
      <c r="F135" s="49"/>
      <c r="G135" s="49"/>
      <c r="H135" s="49"/>
      <c r="I135" s="49"/>
      <c r="J135" s="49"/>
      <c r="K135" s="49"/>
      <c r="L135" s="49"/>
    </row>
    <row r="136">
      <c r="A136" s="49"/>
      <c r="B136" s="49"/>
      <c r="C136" s="49"/>
      <c r="D136" s="49"/>
      <c r="E136" s="49"/>
      <c r="F136" s="49"/>
      <c r="G136" s="49"/>
      <c r="H136" s="49"/>
      <c r="I136" s="49"/>
      <c r="J136" s="49"/>
      <c r="K136" s="49"/>
      <c r="L136" s="49"/>
    </row>
    <row r="137">
      <c r="A137" s="49"/>
      <c r="B137" s="49"/>
      <c r="C137" s="49"/>
      <c r="D137" s="49"/>
      <c r="E137" s="49"/>
      <c r="F137" s="49"/>
      <c r="G137" s="49"/>
      <c r="H137" s="49"/>
      <c r="I137" s="49"/>
      <c r="J137" s="49"/>
      <c r="K137" s="49"/>
      <c r="L137" s="49"/>
    </row>
    <row r="138">
      <c r="A138" s="49"/>
      <c r="B138" s="49"/>
      <c r="C138" s="49"/>
      <c r="D138" s="49"/>
      <c r="E138" s="49"/>
      <c r="F138" s="49"/>
      <c r="G138" s="49"/>
      <c r="H138" s="49"/>
      <c r="I138" s="49"/>
      <c r="J138" s="49"/>
      <c r="K138" s="49"/>
      <c r="L138" s="49"/>
    </row>
    <row r="139">
      <c r="A139" s="49"/>
      <c r="B139" s="49"/>
      <c r="C139" s="49"/>
      <c r="D139" s="49"/>
      <c r="E139" s="49"/>
      <c r="F139" s="49"/>
      <c r="G139" s="49"/>
      <c r="H139" s="49"/>
      <c r="I139" s="49"/>
      <c r="J139" s="49"/>
      <c r="K139" s="49"/>
      <c r="L139" s="49"/>
    </row>
    <row r="140">
      <c r="A140" s="49"/>
      <c r="B140" s="49"/>
      <c r="C140" s="49"/>
      <c r="D140" s="49"/>
      <c r="E140" s="49"/>
      <c r="F140" s="49"/>
      <c r="G140" s="49"/>
      <c r="H140" s="49"/>
      <c r="I140" s="49"/>
      <c r="J140" s="49"/>
      <c r="K140" s="49"/>
      <c r="L140" s="49"/>
    </row>
    <row r="141">
      <c r="A141" s="49"/>
      <c r="B141" s="49"/>
      <c r="C141" s="49"/>
      <c r="D141" s="49"/>
      <c r="E141" s="49"/>
      <c r="F141" s="49"/>
      <c r="G141" s="49"/>
      <c r="H141" s="49"/>
      <c r="I141" s="49"/>
      <c r="J141" s="49"/>
      <c r="K141" s="49"/>
      <c r="L141" s="49"/>
    </row>
    <row r="142">
      <c r="A142" s="49"/>
      <c r="B142" s="49"/>
      <c r="C142" s="49"/>
      <c r="D142" s="49"/>
      <c r="E142" s="49"/>
      <c r="F142" s="49"/>
      <c r="G142" s="49"/>
      <c r="H142" s="49"/>
      <c r="I142" s="49"/>
      <c r="J142" s="49"/>
      <c r="K142" s="49"/>
      <c r="L142" s="49"/>
    </row>
    <row r="143">
      <c r="A143" s="49"/>
      <c r="B143" s="49"/>
      <c r="C143" s="49"/>
      <c r="D143" s="49"/>
      <c r="E143" s="49"/>
      <c r="F143" s="49"/>
      <c r="G143" s="49"/>
      <c r="H143" s="49"/>
      <c r="I143" s="49"/>
      <c r="J143" s="49"/>
      <c r="K143" s="49"/>
      <c r="L143" s="49"/>
    </row>
    <row r="144">
      <c r="A144" s="49"/>
      <c r="B144" s="49"/>
      <c r="C144" s="49"/>
      <c r="D144" s="49"/>
      <c r="E144" s="49"/>
      <c r="F144" s="49"/>
      <c r="G144" s="49"/>
      <c r="H144" s="49"/>
      <c r="I144" s="49"/>
      <c r="J144" s="49"/>
      <c r="K144" s="49"/>
      <c r="L144" s="49"/>
    </row>
    <row r="145">
      <c r="A145" s="49"/>
      <c r="B145" s="49"/>
      <c r="C145" s="49"/>
      <c r="D145" s="49"/>
      <c r="E145" s="49"/>
      <c r="F145" s="49"/>
      <c r="G145" s="49"/>
      <c r="H145" s="49"/>
      <c r="I145" s="49"/>
      <c r="J145" s="49"/>
      <c r="K145" s="49"/>
      <c r="L145" s="49"/>
    </row>
    <row r="146">
      <c r="A146" s="49"/>
      <c r="B146" s="49"/>
      <c r="C146" s="49"/>
      <c r="D146" s="49"/>
      <c r="E146" s="49"/>
      <c r="F146" s="49"/>
      <c r="G146" s="49"/>
      <c r="H146" s="49"/>
      <c r="I146" s="49"/>
      <c r="J146" s="49"/>
      <c r="K146" s="49"/>
      <c r="L146" s="49"/>
    </row>
    <row r="147">
      <c r="A147" s="49"/>
      <c r="B147" s="49"/>
      <c r="C147" s="49"/>
      <c r="D147" s="49"/>
      <c r="E147" s="49"/>
      <c r="F147" s="49"/>
      <c r="G147" s="49"/>
      <c r="H147" s="49"/>
      <c r="I147" s="49"/>
      <c r="J147" s="49"/>
      <c r="K147" s="49"/>
      <c r="L147" s="49"/>
    </row>
    <row r="148">
      <c r="A148" s="49"/>
      <c r="B148" s="49"/>
      <c r="C148" s="49"/>
      <c r="D148" s="49"/>
      <c r="E148" s="49"/>
      <c r="F148" s="49"/>
      <c r="G148" s="49"/>
      <c r="H148" s="49"/>
      <c r="I148" s="49"/>
      <c r="J148" s="49"/>
      <c r="K148" s="49"/>
      <c r="L148" s="49"/>
    </row>
    <row r="149">
      <c r="A149" s="49"/>
      <c r="B149" s="49"/>
      <c r="C149" s="49"/>
      <c r="D149" s="49"/>
      <c r="E149" s="49"/>
      <c r="F149" s="49"/>
      <c r="G149" s="49"/>
      <c r="H149" s="49"/>
      <c r="I149" s="49"/>
      <c r="J149" s="49"/>
      <c r="K149" s="49"/>
      <c r="L149" s="49"/>
    </row>
    <row r="150">
      <c r="A150" s="49"/>
      <c r="B150" s="49"/>
      <c r="C150" s="49"/>
      <c r="D150" s="49"/>
      <c r="E150" s="49"/>
      <c r="F150" s="49"/>
      <c r="G150" s="49"/>
      <c r="H150" s="49"/>
      <c r="I150" s="49"/>
      <c r="J150" s="49"/>
      <c r="K150" s="49"/>
      <c r="L150" s="49"/>
    </row>
    <row r="151">
      <c r="A151" s="49"/>
      <c r="B151" s="49"/>
      <c r="C151" s="49"/>
      <c r="D151" s="49"/>
      <c r="E151" s="49"/>
      <c r="F151" s="49"/>
      <c r="G151" s="49"/>
      <c r="H151" s="49"/>
      <c r="I151" s="49"/>
      <c r="J151" s="49"/>
      <c r="K151" s="49"/>
      <c r="L151" s="49"/>
    </row>
    <row r="152">
      <c r="A152" s="49"/>
      <c r="B152" s="49"/>
      <c r="C152" s="49"/>
      <c r="D152" s="49"/>
      <c r="E152" s="49"/>
      <c r="F152" s="49"/>
      <c r="G152" s="49"/>
      <c r="H152" s="49"/>
      <c r="I152" s="49"/>
      <c r="J152" s="49"/>
      <c r="K152" s="49"/>
      <c r="L152" s="49"/>
    </row>
    <row r="153">
      <c r="A153" s="49"/>
      <c r="B153" s="49"/>
      <c r="C153" s="49"/>
      <c r="D153" s="49"/>
      <c r="E153" s="49"/>
      <c r="F153" s="49"/>
      <c r="G153" s="49"/>
      <c r="H153" s="49"/>
      <c r="I153" s="49"/>
      <c r="J153" s="49"/>
      <c r="K153" s="49"/>
      <c r="L153" s="49"/>
    </row>
    <row r="154">
      <c r="A154" s="49"/>
      <c r="B154" s="49"/>
      <c r="C154" s="49"/>
      <c r="D154" s="49"/>
      <c r="E154" s="49"/>
      <c r="F154" s="49"/>
      <c r="G154" s="49"/>
      <c r="H154" s="49"/>
      <c r="I154" s="49"/>
      <c r="J154" s="49"/>
      <c r="K154" s="49"/>
      <c r="L154" s="49"/>
    </row>
    <row r="155">
      <c r="A155" s="49"/>
      <c r="B155" s="49"/>
      <c r="C155" s="49"/>
      <c r="D155" s="49"/>
      <c r="E155" s="49"/>
      <c r="F155" s="49"/>
      <c r="G155" s="49"/>
      <c r="H155" s="49"/>
      <c r="I155" s="49"/>
      <c r="J155" s="49"/>
      <c r="K155" s="49"/>
      <c r="L155" s="49"/>
    </row>
    <row r="156">
      <c r="A156" s="49"/>
      <c r="B156" s="49"/>
      <c r="C156" s="49"/>
      <c r="D156" s="49"/>
      <c r="E156" s="49"/>
      <c r="F156" s="49"/>
      <c r="G156" s="49"/>
      <c r="H156" s="49"/>
      <c r="I156" s="49"/>
      <c r="J156" s="49"/>
      <c r="K156" s="49"/>
      <c r="L156" s="49"/>
    </row>
    <row r="157">
      <c r="A157" s="49"/>
      <c r="B157" s="49"/>
      <c r="C157" s="49"/>
      <c r="D157" s="49"/>
      <c r="E157" s="49"/>
      <c r="F157" s="49"/>
      <c r="G157" s="49"/>
      <c r="H157" s="49"/>
      <c r="I157" s="49"/>
      <c r="J157" s="49"/>
      <c r="K157" s="49"/>
      <c r="L157" s="49"/>
    </row>
    <row r="158">
      <c r="A158" s="49"/>
      <c r="B158" s="49"/>
      <c r="C158" s="49"/>
      <c r="D158" s="49"/>
      <c r="E158" s="49"/>
      <c r="F158" s="49"/>
      <c r="G158" s="49"/>
      <c r="H158" s="49"/>
      <c r="I158" s="49"/>
      <c r="J158" s="49"/>
      <c r="K158" s="49"/>
      <c r="L158" s="49"/>
    </row>
    <row r="159">
      <c r="A159" s="49"/>
      <c r="B159" s="49"/>
      <c r="C159" s="49"/>
      <c r="D159" s="49"/>
      <c r="E159" s="49"/>
      <c r="F159" s="49"/>
      <c r="G159" s="49"/>
      <c r="H159" s="49"/>
      <c r="I159" s="49"/>
      <c r="J159" s="49"/>
      <c r="K159" s="49"/>
      <c r="L159" s="49"/>
    </row>
    <row r="160">
      <c r="A160" s="49"/>
      <c r="B160" s="49"/>
      <c r="C160" s="49"/>
      <c r="D160" s="49"/>
      <c r="E160" s="49"/>
      <c r="F160" s="49"/>
      <c r="G160" s="49"/>
      <c r="H160" s="49"/>
      <c r="I160" s="49"/>
      <c r="J160" s="49"/>
      <c r="K160" s="49"/>
      <c r="L160" s="49"/>
    </row>
    <row r="161">
      <c r="A161" s="49"/>
      <c r="B161" s="49"/>
      <c r="C161" s="49"/>
      <c r="D161" s="49"/>
      <c r="E161" s="49"/>
      <c r="F161" s="49"/>
      <c r="G161" s="49"/>
      <c r="H161" s="49"/>
      <c r="I161" s="49"/>
      <c r="J161" s="49"/>
      <c r="K161" s="49"/>
      <c r="L161" s="49"/>
    </row>
    <row r="162">
      <c r="A162" s="49"/>
      <c r="B162" s="49"/>
      <c r="C162" s="49"/>
      <c r="D162" s="49"/>
      <c r="E162" s="49"/>
      <c r="F162" s="49"/>
      <c r="G162" s="49"/>
      <c r="H162" s="49"/>
      <c r="I162" s="49"/>
      <c r="J162" s="49"/>
      <c r="K162" s="49"/>
      <c r="L162" s="49"/>
    </row>
    <row r="163">
      <c r="A163" s="49"/>
      <c r="B163" s="49"/>
      <c r="C163" s="49"/>
      <c r="D163" s="49"/>
      <c r="E163" s="49"/>
      <c r="F163" s="49"/>
      <c r="G163" s="49"/>
      <c r="H163" s="49"/>
      <c r="I163" s="49"/>
      <c r="J163" s="49"/>
      <c r="K163" s="49"/>
      <c r="L163" s="49"/>
    </row>
    <row r="164">
      <c r="A164" s="49"/>
      <c r="B164" s="49"/>
      <c r="C164" s="49"/>
      <c r="D164" s="49"/>
      <c r="E164" s="49"/>
      <c r="F164" s="49"/>
      <c r="G164" s="49"/>
      <c r="H164" s="49"/>
      <c r="I164" s="49"/>
      <c r="J164" s="49"/>
      <c r="K164" s="49"/>
      <c r="L164" s="49"/>
    </row>
    <row r="165">
      <c r="A165" s="49"/>
      <c r="B165" s="49"/>
      <c r="C165" s="49"/>
      <c r="D165" s="49"/>
      <c r="E165" s="49"/>
      <c r="F165" s="49"/>
      <c r="G165" s="49"/>
      <c r="H165" s="49"/>
      <c r="I165" s="49"/>
      <c r="J165" s="49"/>
      <c r="K165" s="49"/>
      <c r="L165" s="49"/>
    </row>
    <row r="166">
      <c r="A166" s="49"/>
      <c r="B166" s="49"/>
      <c r="C166" s="49"/>
      <c r="D166" s="49"/>
      <c r="E166" s="49"/>
      <c r="F166" s="49"/>
      <c r="G166" s="49"/>
      <c r="H166" s="49"/>
      <c r="I166" s="49"/>
      <c r="J166" s="49"/>
      <c r="K166" s="49"/>
      <c r="L166" s="49"/>
    </row>
    <row r="167">
      <c r="A167" s="49"/>
      <c r="B167" s="49"/>
      <c r="C167" s="49"/>
      <c r="D167" s="49"/>
      <c r="E167" s="49"/>
      <c r="F167" s="49"/>
      <c r="G167" s="49"/>
      <c r="H167" s="49"/>
      <c r="I167" s="49"/>
      <c r="J167" s="49"/>
      <c r="K167" s="49"/>
      <c r="L167" s="49"/>
    </row>
    <row r="168">
      <c r="A168" s="49"/>
      <c r="B168" s="49"/>
      <c r="C168" s="49"/>
      <c r="D168" s="49"/>
      <c r="E168" s="49"/>
      <c r="F168" s="49"/>
      <c r="G168" s="49"/>
      <c r="H168" s="49"/>
      <c r="I168" s="49"/>
      <c r="J168" s="49"/>
      <c r="K168" s="49"/>
      <c r="L168" s="49"/>
    </row>
    <row r="169">
      <c r="A169" s="49"/>
      <c r="B169" s="49"/>
      <c r="C169" s="49"/>
      <c r="D169" s="49"/>
      <c r="E169" s="49"/>
      <c r="F169" s="49"/>
      <c r="G169" s="49"/>
      <c r="H169" s="49"/>
      <c r="I169" s="49"/>
      <c r="J169" s="49"/>
      <c r="K169" s="49"/>
      <c r="L169" s="49"/>
    </row>
    <row r="170">
      <c r="A170" s="49"/>
      <c r="B170" s="49"/>
      <c r="C170" s="49"/>
      <c r="D170" s="49"/>
      <c r="E170" s="49"/>
      <c r="F170" s="49"/>
      <c r="G170" s="49"/>
      <c r="H170" s="49"/>
      <c r="I170" s="49"/>
      <c r="J170" s="49"/>
      <c r="K170" s="49"/>
      <c r="L170" s="49"/>
    </row>
    <row r="171">
      <c r="A171" s="49"/>
      <c r="B171" s="49"/>
      <c r="C171" s="49"/>
      <c r="D171" s="49"/>
      <c r="E171" s="49"/>
      <c r="F171" s="49"/>
      <c r="G171" s="49"/>
      <c r="H171" s="49"/>
      <c r="I171" s="49"/>
      <c r="J171" s="49"/>
      <c r="K171" s="49"/>
      <c r="L171" s="49"/>
    </row>
    <row r="172">
      <c r="A172" s="49"/>
      <c r="B172" s="49"/>
      <c r="C172" s="49"/>
      <c r="D172" s="49"/>
      <c r="E172" s="49"/>
      <c r="F172" s="49"/>
      <c r="G172" s="49"/>
      <c r="H172" s="49"/>
      <c r="I172" s="49"/>
      <c r="J172" s="49"/>
      <c r="K172" s="49"/>
      <c r="L172" s="49"/>
    </row>
    <row r="173">
      <c r="A173" s="49"/>
      <c r="B173" s="49"/>
      <c r="C173" s="49"/>
      <c r="D173" s="49"/>
      <c r="E173" s="49"/>
      <c r="F173" s="49"/>
      <c r="G173" s="49"/>
      <c r="H173" s="49"/>
      <c r="I173" s="49"/>
      <c r="J173" s="49"/>
      <c r="K173" s="49"/>
      <c r="L173" s="49"/>
    </row>
    <row r="174">
      <c r="A174" s="49"/>
      <c r="B174" s="49"/>
      <c r="C174" s="49"/>
      <c r="D174" s="49"/>
      <c r="E174" s="49"/>
      <c r="F174" s="49"/>
      <c r="G174" s="49"/>
      <c r="H174" s="49"/>
      <c r="I174" s="49"/>
      <c r="J174" s="49"/>
      <c r="K174" s="49"/>
      <c r="L174" s="49"/>
    </row>
    <row r="175">
      <c r="A175" s="49"/>
      <c r="B175" s="49"/>
      <c r="C175" s="49"/>
      <c r="D175" s="49"/>
      <c r="E175" s="49"/>
      <c r="F175" s="49"/>
      <c r="G175" s="49"/>
      <c r="H175" s="49"/>
      <c r="I175" s="49"/>
      <c r="J175" s="49"/>
      <c r="K175" s="49"/>
      <c r="L175" s="49"/>
    </row>
    <row r="176">
      <c r="A176" s="49"/>
      <c r="B176" s="49"/>
      <c r="C176" s="49"/>
      <c r="D176" s="49"/>
      <c r="E176" s="49"/>
      <c r="F176" s="49"/>
      <c r="G176" s="49"/>
      <c r="H176" s="49"/>
      <c r="I176" s="49"/>
      <c r="J176" s="49"/>
      <c r="K176" s="49"/>
      <c r="L176" s="49"/>
    </row>
    <row r="177">
      <c r="A177" s="49"/>
      <c r="B177" s="49"/>
      <c r="C177" s="49"/>
      <c r="D177" s="49"/>
      <c r="E177" s="49"/>
      <c r="F177" s="49"/>
      <c r="G177" s="49"/>
      <c r="H177" s="49"/>
      <c r="I177" s="49"/>
      <c r="J177" s="49"/>
      <c r="K177" s="49"/>
      <c r="L177" s="49"/>
    </row>
    <row r="178">
      <c r="A178" s="49"/>
      <c r="B178" s="49"/>
      <c r="C178" s="49"/>
      <c r="D178" s="49"/>
      <c r="E178" s="49"/>
      <c r="F178" s="49"/>
      <c r="G178" s="49"/>
      <c r="H178" s="49"/>
      <c r="I178" s="49"/>
      <c r="J178" s="49"/>
      <c r="K178" s="49"/>
      <c r="L178" s="49"/>
    </row>
    <row r="179">
      <c r="A179" s="49"/>
      <c r="B179" s="49"/>
      <c r="C179" s="49"/>
      <c r="D179" s="49"/>
      <c r="E179" s="49"/>
      <c r="F179" s="49"/>
      <c r="G179" s="49"/>
      <c r="H179" s="49"/>
      <c r="I179" s="49"/>
      <c r="J179" s="49"/>
      <c r="K179" s="49"/>
      <c r="L179" s="49"/>
    </row>
    <row r="180">
      <c r="A180" s="49"/>
      <c r="B180" s="49"/>
      <c r="C180" s="49"/>
      <c r="D180" s="49"/>
      <c r="E180" s="49"/>
      <c r="F180" s="49"/>
      <c r="G180" s="49"/>
      <c r="H180" s="49"/>
      <c r="I180" s="49"/>
      <c r="J180" s="49"/>
      <c r="K180" s="49"/>
      <c r="L180" s="49"/>
    </row>
    <row r="181">
      <c r="A181" s="49"/>
      <c r="B181" s="49"/>
      <c r="C181" s="49"/>
      <c r="D181" s="49"/>
      <c r="E181" s="49"/>
      <c r="F181" s="49"/>
      <c r="G181" s="49"/>
      <c r="H181" s="49"/>
      <c r="I181" s="49"/>
      <c r="J181" s="49"/>
      <c r="K181" s="49"/>
      <c r="L181" s="49"/>
    </row>
    <row r="182">
      <c r="A182" s="49"/>
      <c r="B182" s="49"/>
      <c r="C182" s="49"/>
      <c r="D182" s="49"/>
      <c r="E182" s="49"/>
      <c r="F182" s="49"/>
      <c r="G182" s="49"/>
      <c r="H182" s="49"/>
      <c r="I182" s="49"/>
      <c r="J182" s="49"/>
      <c r="K182" s="49"/>
      <c r="L182" s="49"/>
    </row>
    <row r="183">
      <c r="A183" s="49"/>
      <c r="B183" s="49"/>
      <c r="C183" s="49"/>
      <c r="D183" s="49"/>
      <c r="E183" s="49"/>
      <c r="F183" s="49"/>
      <c r="G183" s="49"/>
      <c r="H183" s="49"/>
      <c r="I183" s="49"/>
      <c r="J183" s="49"/>
      <c r="K183" s="49"/>
      <c r="L183" s="49"/>
    </row>
    <row r="184">
      <c r="A184" s="49"/>
      <c r="B184" s="49"/>
      <c r="C184" s="49"/>
      <c r="D184" s="49"/>
      <c r="E184" s="49"/>
      <c r="F184" s="49"/>
      <c r="G184" s="49"/>
      <c r="H184" s="49"/>
      <c r="I184" s="49"/>
      <c r="J184" s="49"/>
      <c r="K184" s="49"/>
      <c r="L184" s="49"/>
    </row>
    <row r="185">
      <c r="A185" s="49"/>
      <c r="B185" s="49"/>
      <c r="C185" s="49"/>
      <c r="D185" s="49"/>
      <c r="E185" s="49"/>
      <c r="F185" s="49"/>
      <c r="G185" s="49"/>
      <c r="H185" s="49"/>
      <c r="I185" s="49"/>
      <c r="J185" s="49"/>
      <c r="K185" s="49"/>
      <c r="L185" s="49"/>
    </row>
    <row r="186">
      <c r="A186" s="49"/>
      <c r="B186" s="49"/>
      <c r="C186" s="49"/>
      <c r="D186" s="49"/>
      <c r="E186" s="49"/>
      <c r="F186" s="49"/>
      <c r="G186" s="49"/>
      <c r="H186" s="49"/>
      <c r="I186" s="49"/>
      <c r="J186" s="49"/>
      <c r="K186" s="49"/>
      <c r="L186" s="49"/>
    </row>
    <row r="187">
      <c r="A187" s="49"/>
      <c r="B187" s="49"/>
      <c r="C187" s="49"/>
      <c r="D187" s="49"/>
      <c r="E187" s="49"/>
      <c r="F187" s="49"/>
      <c r="G187" s="49"/>
      <c r="H187" s="49"/>
      <c r="I187" s="49"/>
      <c r="J187" s="49"/>
      <c r="K187" s="49"/>
      <c r="L187" s="49"/>
    </row>
    <row r="188">
      <c r="A188" s="49"/>
      <c r="B188" s="49"/>
      <c r="C188" s="49"/>
      <c r="D188" s="49"/>
      <c r="E188" s="49"/>
      <c r="F188" s="49"/>
      <c r="G188" s="49"/>
      <c r="H188" s="49"/>
      <c r="I188" s="49"/>
      <c r="J188" s="49"/>
      <c r="K188" s="49"/>
      <c r="L188" s="49"/>
    </row>
    <row r="189">
      <c r="A189" s="49"/>
      <c r="B189" s="49"/>
      <c r="C189" s="49"/>
      <c r="D189" s="49"/>
      <c r="E189" s="49"/>
      <c r="F189" s="49"/>
      <c r="G189" s="49"/>
      <c r="H189" s="49"/>
      <c r="I189" s="49"/>
      <c r="J189" s="49"/>
      <c r="K189" s="49"/>
      <c r="L189" s="49"/>
    </row>
    <row r="190">
      <c r="A190" s="49"/>
      <c r="B190" s="49"/>
      <c r="C190" s="49"/>
      <c r="D190" s="49"/>
      <c r="E190" s="49"/>
      <c r="F190" s="49"/>
      <c r="G190" s="49"/>
      <c r="H190" s="49"/>
      <c r="I190" s="49"/>
      <c r="J190" s="49"/>
      <c r="K190" s="49"/>
      <c r="L190" s="49"/>
    </row>
    <row r="191">
      <c r="A191" s="49"/>
      <c r="B191" s="49"/>
      <c r="C191" s="49"/>
      <c r="D191" s="49"/>
      <c r="E191" s="49"/>
      <c r="F191" s="49"/>
      <c r="G191" s="49"/>
      <c r="H191" s="49"/>
      <c r="I191" s="49"/>
      <c r="J191" s="49"/>
      <c r="K191" s="49"/>
      <c r="L191" s="49"/>
    </row>
    <row r="192">
      <c r="A192" s="49"/>
      <c r="B192" s="49"/>
      <c r="C192" s="49"/>
      <c r="D192" s="49"/>
      <c r="E192" s="49"/>
      <c r="F192" s="49"/>
      <c r="G192" s="49"/>
      <c r="H192" s="49"/>
      <c r="I192" s="49"/>
      <c r="J192" s="49"/>
      <c r="K192" s="49"/>
      <c r="L192" s="49"/>
    </row>
    <row r="193">
      <c r="A193" s="49"/>
      <c r="B193" s="49"/>
      <c r="C193" s="49"/>
      <c r="D193" s="49"/>
      <c r="E193" s="49"/>
      <c r="F193" s="49"/>
      <c r="G193" s="49"/>
      <c r="H193" s="49"/>
      <c r="I193" s="49"/>
      <c r="J193" s="49"/>
      <c r="K193" s="49"/>
      <c r="L193" s="49"/>
    </row>
    <row r="194">
      <c r="A194" s="49"/>
      <c r="B194" s="49"/>
      <c r="C194" s="49"/>
      <c r="D194" s="49"/>
      <c r="E194" s="49"/>
      <c r="F194" s="49"/>
      <c r="G194" s="49"/>
      <c r="H194" s="49"/>
      <c r="I194" s="49"/>
      <c r="J194" s="49"/>
      <c r="K194" s="49"/>
      <c r="L194" s="49"/>
    </row>
    <row r="195">
      <c r="A195" s="49"/>
      <c r="B195" s="49"/>
      <c r="C195" s="49"/>
      <c r="D195" s="49"/>
      <c r="E195" s="49"/>
      <c r="F195" s="49"/>
      <c r="G195" s="49"/>
      <c r="H195" s="49"/>
      <c r="I195" s="49"/>
      <c r="J195" s="49"/>
      <c r="K195" s="49"/>
      <c r="L195" s="49"/>
    </row>
    <row r="196">
      <c r="A196" s="49"/>
      <c r="B196" s="49"/>
      <c r="C196" s="49"/>
      <c r="D196" s="49"/>
      <c r="E196" s="49"/>
      <c r="F196" s="49"/>
      <c r="G196" s="49"/>
      <c r="H196" s="49"/>
      <c r="I196" s="49"/>
      <c r="J196" s="49"/>
      <c r="K196" s="49"/>
      <c r="L196" s="49"/>
    </row>
    <row r="197">
      <c r="A197" s="49"/>
      <c r="B197" s="49"/>
      <c r="C197" s="49"/>
      <c r="D197" s="49"/>
      <c r="E197" s="49"/>
      <c r="F197" s="49"/>
      <c r="G197" s="49"/>
      <c r="H197" s="49"/>
      <c r="I197" s="49"/>
      <c r="J197" s="49"/>
      <c r="K197" s="49"/>
      <c r="L197" s="49"/>
    </row>
    <row r="198">
      <c r="A198" s="49"/>
      <c r="B198" s="49"/>
      <c r="C198" s="49"/>
      <c r="D198" s="49"/>
      <c r="E198" s="49"/>
      <c r="F198" s="49"/>
      <c r="G198" s="49"/>
      <c r="H198" s="49"/>
      <c r="I198" s="49"/>
      <c r="J198" s="49"/>
      <c r="K198" s="49"/>
      <c r="L198" s="49"/>
    </row>
    <row r="199">
      <c r="A199" s="49"/>
      <c r="B199" s="49"/>
      <c r="C199" s="49"/>
      <c r="D199" s="49"/>
      <c r="E199" s="49"/>
      <c r="F199" s="49"/>
      <c r="G199" s="49"/>
      <c r="H199" s="49"/>
      <c r="I199" s="49"/>
      <c r="J199" s="49"/>
      <c r="K199" s="49"/>
      <c r="L199" s="49"/>
    </row>
    <row r="200">
      <c r="A200" s="49"/>
      <c r="B200" s="49"/>
      <c r="C200" s="49"/>
      <c r="D200" s="49"/>
      <c r="E200" s="49"/>
      <c r="F200" s="49"/>
      <c r="G200" s="49"/>
      <c r="H200" s="49"/>
      <c r="I200" s="49"/>
      <c r="J200" s="49"/>
      <c r="K200" s="49"/>
      <c r="L200" s="49"/>
    </row>
    <row r="201">
      <c r="A201" s="49"/>
      <c r="B201" s="49"/>
      <c r="C201" s="49"/>
      <c r="D201" s="49"/>
      <c r="E201" s="49"/>
      <c r="F201" s="49"/>
      <c r="G201" s="49"/>
      <c r="H201" s="49"/>
      <c r="I201" s="49"/>
      <c r="J201" s="49"/>
      <c r="K201" s="49"/>
      <c r="L201" s="49"/>
    </row>
    <row r="202">
      <c r="A202" s="49"/>
      <c r="B202" s="49"/>
      <c r="C202" s="49"/>
      <c r="D202" s="49"/>
      <c r="E202" s="49"/>
      <c r="F202" s="49"/>
      <c r="G202" s="49"/>
      <c r="H202" s="49"/>
      <c r="I202" s="49"/>
      <c r="J202" s="49"/>
      <c r="K202" s="49"/>
      <c r="L202" s="49"/>
    </row>
    <row r="203">
      <c r="A203" s="49"/>
      <c r="B203" s="49"/>
      <c r="C203" s="49"/>
      <c r="D203" s="49"/>
      <c r="E203" s="49"/>
      <c r="F203" s="49"/>
      <c r="G203" s="49"/>
      <c r="H203" s="49"/>
      <c r="I203" s="49"/>
      <c r="J203" s="49"/>
      <c r="K203" s="49"/>
      <c r="L203" s="49"/>
    </row>
    <row r="204">
      <c r="A204" s="49"/>
      <c r="B204" s="49"/>
      <c r="C204" s="49"/>
      <c r="D204" s="49"/>
      <c r="E204" s="49"/>
      <c r="F204" s="49"/>
      <c r="G204" s="49"/>
      <c r="H204" s="49"/>
      <c r="I204" s="49"/>
      <c r="J204" s="49"/>
      <c r="K204" s="49"/>
      <c r="L204" s="49"/>
    </row>
    <row r="205">
      <c r="A205" s="49"/>
      <c r="B205" s="49"/>
      <c r="C205" s="49"/>
      <c r="D205" s="49"/>
      <c r="E205" s="49"/>
      <c r="F205" s="49"/>
      <c r="G205" s="49"/>
      <c r="H205" s="49"/>
      <c r="I205" s="49"/>
      <c r="J205" s="49"/>
      <c r="K205" s="49"/>
      <c r="L205" s="49"/>
    </row>
    <row r="206">
      <c r="A206" s="49"/>
      <c r="B206" s="49"/>
      <c r="C206" s="49"/>
      <c r="D206" s="49"/>
      <c r="E206" s="49"/>
      <c r="F206" s="49"/>
      <c r="G206" s="49"/>
      <c r="H206" s="49"/>
      <c r="I206" s="49"/>
      <c r="J206" s="49"/>
      <c r="K206" s="49"/>
      <c r="L206" s="49"/>
    </row>
    <row r="207">
      <c r="A207" s="49"/>
      <c r="B207" s="49"/>
      <c r="C207" s="49"/>
      <c r="D207" s="49"/>
      <c r="E207" s="49"/>
      <c r="F207" s="49"/>
      <c r="G207" s="49"/>
      <c r="H207" s="49"/>
      <c r="I207" s="49"/>
      <c r="J207" s="49"/>
      <c r="K207" s="49"/>
      <c r="L207" s="49"/>
    </row>
    <row r="208">
      <c r="A208" s="49"/>
      <c r="B208" s="49"/>
      <c r="C208" s="49"/>
      <c r="D208" s="49"/>
      <c r="E208" s="49"/>
      <c r="F208" s="49"/>
      <c r="G208" s="49"/>
      <c r="H208" s="49"/>
      <c r="I208" s="49"/>
      <c r="J208" s="49"/>
      <c r="K208" s="49"/>
      <c r="L208" s="49"/>
    </row>
    <row r="209">
      <c r="A209" s="49"/>
      <c r="B209" s="49"/>
      <c r="C209" s="49"/>
      <c r="D209" s="49"/>
      <c r="E209" s="49"/>
      <c r="F209" s="49"/>
      <c r="G209" s="49"/>
      <c r="H209" s="49"/>
      <c r="I209" s="49"/>
      <c r="J209" s="49"/>
      <c r="K209" s="49"/>
      <c r="L209" s="49"/>
    </row>
    <row r="210">
      <c r="A210" s="49"/>
      <c r="B210" s="49"/>
      <c r="C210" s="49"/>
      <c r="D210" s="49"/>
      <c r="E210" s="49"/>
      <c r="F210" s="49"/>
      <c r="G210" s="49"/>
      <c r="H210" s="49"/>
      <c r="I210" s="49"/>
      <c r="J210" s="49"/>
      <c r="K210" s="49"/>
      <c r="L210" s="49"/>
    </row>
    <row r="211">
      <c r="A211" s="49"/>
      <c r="B211" s="49"/>
      <c r="C211" s="49"/>
      <c r="D211" s="49"/>
      <c r="E211" s="49"/>
      <c r="F211" s="49"/>
      <c r="G211" s="49"/>
      <c r="H211" s="49"/>
      <c r="I211" s="49"/>
      <c r="J211" s="49"/>
      <c r="K211" s="49"/>
      <c r="L211" s="49"/>
    </row>
    <row r="212">
      <c r="A212" s="49"/>
      <c r="B212" s="49"/>
      <c r="C212" s="49"/>
      <c r="D212" s="49"/>
      <c r="E212" s="49"/>
      <c r="F212" s="49"/>
      <c r="G212" s="49"/>
      <c r="H212" s="49"/>
      <c r="I212" s="49"/>
      <c r="J212" s="49"/>
      <c r="K212" s="49"/>
      <c r="L212" s="49"/>
    </row>
    <row r="213">
      <c r="A213" s="49"/>
      <c r="B213" s="49"/>
      <c r="C213" s="49"/>
      <c r="D213" s="49"/>
      <c r="E213" s="49"/>
      <c r="F213" s="49"/>
      <c r="G213" s="49"/>
      <c r="H213" s="49"/>
      <c r="I213" s="49"/>
      <c r="J213" s="49"/>
      <c r="K213" s="49"/>
      <c r="L213" s="49"/>
    </row>
    <row r="214">
      <c r="A214" s="49"/>
      <c r="B214" s="49"/>
      <c r="C214" s="49"/>
      <c r="D214" s="49"/>
      <c r="E214" s="49"/>
      <c r="F214" s="49"/>
      <c r="G214" s="49"/>
      <c r="H214" s="49"/>
      <c r="I214" s="49"/>
      <c r="J214" s="49"/>
      <c r="K214" s="49"/>
      <c r="L214" s="49"/>
    </row>
    <row r="215">
      <c r="A215" s="49"/>
      <c r="B215" s="49"/>
      <c r="C215" s="49"/>
      <c r="D215" s="49"/>
      <c r="E215" s="49"/>
      <c r="F215" s="49"/>
      <c r="G215" s="49"/>
      <c r="H215" s="49"/>
      <c r="I215" s="49"/>
      <c r="J215" s="49"/>
      <c r="K215" s="49"/>
      <c r="L215" s="49"/>
    </row>
    <row r="216">
      <c r="A216" s="49"/>
      <c r="B216" s="49"/>
      <c r="C216" s="49"/>
      <c r="D216" s="49"/>
      <c r="E216" s="49"/>
      <c r="F216" s="49"/>
      <c r="G216" s="49"/>
      <c r="H216" s="49"/>
      <c r="I216" s="49"/>
      <c r="J216" s="49"/>
      <c r="K216" s="49"/>
      <c r="L216" s="49"/>
    </row>
    <row r="217">
      <c r="A217" s="49"/>
      <c r="B217" s="49"/>
      <c r="C217" s="49"/>
      <c r="D217" s="49"/>
      <c r="E217" s="49"/>
      <c r="F217" s="49"/>
      <c r="G217" s="49"/>
      <c r="H217" s="49"/>
      <c r="I217" s="49"/>
      <c r="J217" s="49"/>
      <c r="K217" s="49"/>
      <c r="L217" s="49"/>
    </row>
    <row r="218">
      <c r="A218" s="49"/>
      <c r="B218" s="49"/>
      <c r="C218" s="49"/>
      <c r="D218" s="49"/>
      <c r="E218" s="49"/>
      <c r="F218" s="49"/>
      <c r="G218" s="49"/>
      <c r="H218" s="49"/>
      <c r="I218" s="49"/>
      <c r="J218" s="49"/>
      <c r="K218" s="49"/>
      <c r="L218" s="49"/>
    </row>
    <row r="219">
      <c r="A219" s="49"/>
      <c r="B219" s="49"/>
      <c r="C219" s="49"/>
      <c r="D219" s="49"/>
      <c r="E219" s="49"/>
      <c r="F219" s="49"/>
      <c r="G219" s="49"/>
      <c r="H219" s="49"/>
      <c r="I219" s="49"/>
      <c r="J219" s="49"/>
      <c r="K219" s="49"/>
      <c r="L219" s="49"/>
    </row>
    <row r="220">
      <c r="A220" s="49"/>
      <c r="B220" s="49"/>
      <c r="C220" s="49"/>
      <c r="D220" s="49"/>
      <c r="E220" s="49"/>
      <c r="F220" s="49"/>
      <c r="G220" s="49"/>
      <c r="H220" s="49"/>
      <c r="I220" s="49"/>
      <c r="J220" s="49"/>
      <c r="K220" s="49"/>
      <c r="L220" s="49"/>
    </row>
    <row r="221">
      <c r="A221" s="49"/>
      <c r="B221" s="49"/>
      <c r="C221" s="49"/>
      <c r="D221" s="49"/>
      <c r="E221" s="49"/>
      <c r="F221" s="49"/>
      <c r="G221" s="49"/>
      <c r="H221" s="49"/>
      <c r="I221" s="49"/>
      <c r="J221" s="49"/>
      <c r="K221" s="49"/>
      <c r="L221" s="49"/>
    </row>
    <row r="222">
      <c r="A222" s="49"/>
      <c r="B222" s="49"/>
      <c r="C222" s="49"/>
      <c r="D222" s="49"/>
      <c r="E222" s="49"/>
      <c r="F222" s="49"/>
      <c r="G222" s="49"/>
      <c r="H222" s="49"/>
      <c r="I222" s="49"/>
      <c r="J222" s="49"/>
      <c r="K222" s="49"/>
      <c r="L222" s="49"/>
    </row>
    <row r="223">
      <c r="A223" s="49"/>
      <c r="B223" s="49"/>
      <c r="C223" s="49"/>
      <c r="D223" s="49"/>
      <c r="E223" s="49"/>
      <c r="F223" s="49"/>
      <c r="G223" s="49"/>
      <c r="H223" s="49"/>
      <c r="I223" s="49"/>
      <c r="J223" s="49"/>
      <c r="K223" s="49"/>
      <c r="L223" s="49"/>
    </row>
    <row r="224">
      <c r="A224" s="49"/>
      <c r="B224" s="49"/>
      <c r="C224" s="49"/>
      <c r="D224" s="49"/>
      <c r="E224" s="49"/>
      <c r="F224" s="49"/>
      <c r="G224" s="49"/>
      <c r="H224" s="49"/>
      <c r="I224" s="49"/>
      <c r="J224" s="49"/>
      <c r="K224" s="49"/>
      <c r="L224" s="49"/>
    </row>
    <row r="225">
      <c r="A225" s="49"/>
      <c r="B225" s="49"/>
      <c r="C225" s="49"/>
      <c r="D225" s="49"/>
      <c r="E225" s="49"/>
      <c r="F225" s="49"/>
      <c r="G225" s="49"/>
      <c r="H225" s="49"/>
      <c r="I225" s="49"/>
      <c r="J225" s="49"/>
      <c r="K225" s="49"/>
      <c r="L225" s="49"/>
    </row>
    <row r="226">
      <c r="A226" s="49"/>
      <c r="B226" s="49"/>
      <c r="C226" s="49"/>
      <c r="D226" s="49"/>
      <c r="E226" s="49"/>
      <c r="F226" s="49"/>
      <c r="G226" s="49"/>
      <c r="H226" s="49"/>
      <c r="I226" s="49"/>
      <c r="J226" s="49"/>
      <c r="K226" s="49"/>
      <c r="L226" s="49"/>
    </row>
    <row r="227">
      <c r="A227" s="49"/>
      <c r="B227" s="49"/>
      <c r="C227" s="49"/>
      <c r="D227" s="49"/>
      <c r="E227" s="49"/>
      <c r="F227" s="49"/>
      <c r="G227" s="49"/>
      <c r="H227" s="49"/>
      <c r="I227" s="49"/>
      <c r="J227" s="49"/>
      <c r="K227" s="49"/>
      <c r="L227" s="49"/>
    </row>
    <row r="228">
      <c r="A228" s="49"/>
      <c r="B228" s="49"/>
      <c r="C228" s="49"/>
      <c r="D228" s="49"/>
      <c r="E228" s="49"/>
      <c r="F228" s="49"/>
      <c r="G228" s="49"/>
      <c r="H228" s="49"/>
      <c r="I228" s="49"/>
      <c r="J228" s="49"/>
      <c r="K228" s="49"/>
      <c r="L228" s="49"/>
    </row>
    <row r="229">
      <c r="A229" s="49"/>
      <c r="B229" s="49"/>
      <c r="C229" s="49"/>
      <c r="D229" s="49"/>
      <c r="E229" s="49"/>
      <c r="F229" s="49"/>
      <c r="G229" s="49"/>
      <c r="H229" s="49"/>
      <c r="I229" s="49"/>
      <c r="J229" s="49"/>
      <c r="K229" s="49"/>
      <c r="L229" s="49"/>
    </row>
    <row r="230">
      <c r="A230" s="49"/>
      <c r="B230" s="49"/>
      <c r="C230" s="49"/>
      <c r="D230" s="49"/>
      <c r="E230" s="49"/>
      <c r="F230" s="49"/>
      <c r="G230" s="49"/>
      <c r="H230" s="49"/>
      <c r="I230" s="49"/>
      <c r="J230" s="49"/>
      <c r="K230" s="49"/>
      <c r="L230" s="49"/>
    </row>
    <row r="231">
      <c r="A231" s="49"/>
      <c r="B231" s="49"/>
      <c r="C231" s="49"/>
      <c r="D231" s="49"/>
      <c r="E231" s="49"/>
      <c r="F231" s="49"/>
      <c r="G231" s="49"/>
      <c r="H231" s="49"/>
      <c r="I231" s="49"/>
      <c r="J231" s="49"/>
      <c r="K231" s="49"/>
      <c r="L231" s="49"/>
    </row>
    <row r="232">
      <c r="A232" s="49"/>
      <c r="B232" s="49"/>
      <c r="C232" s="49"/>
      <c r="D232" s="49"/>
      <c r="E232" s="49"/>
      <c r="F232" s="49"/>
      <c r="G232" s="49"/>
      <c r="H232" s="49"/>
      <c r="I232" s="49"/>
      <c r="J232" s="49"/>
      <c r="K232" s="49"/>
      <c r="L232" s="49"/>
    </row>
    <row r="233">
      <c r="A233" s="49"/>
      <c r="B233" s="49"/>
      <c r="C233" s="49"/>
      <c r="D233" s="49"/>
      <c r="E233" s="49"/>
      <c r="F233" s="49"/>
      <c r="G233" s="49"/>
      <c r="H233" s="49"/>
      <c r="I233" s="49"/>
      <c r="J233" s="49"/>
      <c r="K233" s="49"/>
      <c r="L233" s="49"/>
    </row>
    <row r="234">
      <c r="A234" s="49"/>
      <c r="B234" s="49"/>
      <c r="C234" s="49"/>
      <c r="D234" s="49"/>
      <c r="E234" s="49"/>
      <c r="F234" s="49"/>
      <c r="G234" s="49"/>
      <c r="H234" s="49"/>
      <c r="I234" s="49"/>
      <c r="J234" s="49"/>
      <c r="K234" s="49"/>
      <c r="L234" s="49"/>
    </row>
    <row r="235">
      <c r="A235" s="49"/>
      <c r="B235" s="49"/>
      <c r="C235" s="49"/>
      <c r="D235" s="49"/>
      <c r="E235" s="49"/>
      <c r="F235" s="49"/>
      <c r="G235" s="49"/>
      <c r="H235" s="49"/>
      <c r="I235" s="49"/>
      <c r="J235" s="49"/>
      <c r="K235" s="49"/>
      <c r="L235" s="49"/>
    </row>
    <row r="236">
      <c r="A236" s="49"/>
      <c r="B236" s="49"/>
      <c r="C236" s="49"/>
      <c r="D236" s="49"/>
      <c r="E236" s="49"/>
      <c r="F236" s="49"/>
      <c r="G236" s="49"/>
      <c r="H236" s="49"/>
      <c r="I236" s="49"/>
      <c r="J236" s="49"/>
      <c r="K236" s="49"/>
      <c r="L236" s="49"/>
    </row>
    <row r="237">
      <c r="A237" s="49"/>
      <c r="B237" s="49"/>
      <c r="C237" s="49"/>
      <c r="D237" s="49"/>
      <c r="E237" s="49"/>
      <c r="F237" s="49"/>
      <c r="G237" s="49"/>
      <c r="H237" s="49"/>
      <c r="I237" s="49"/>
      <c r="J237" s="49"/>
      <c r="K237" s="49"/>
      <c r="L237" s="49"/>
    </row>
    <row r="238">
      <c r="A238" s="49"/>
      <c r="B238" s="49"/>
      <c r="C238" s="49"/>
      <c r="D238" s="49"/>
      <c r="E238" s="49"/>
      <c r="F238" s="49"/>
      <c r="G238" s="49"/>
      <c r="H238" s="49"/>
      <c r="I238" s="49"/>
      <c r="J238" s="49"/>
      <c r="K238" s="49"/>
      <c r="L238" s="49"/>
    </row>
    <row r="239">
      <c r="A239" s="49"/>
      <c r="B239" s="49"/>
      <c r="C239" s="49"/>
      <c r="D239" s="49"/>
      <c r="E239" s="49"/>
      <c r="F239" s="49"/>
      <c r="G239" s="49"/>
      <c r="H239" s="49"/>
      <c r="I239" s="49"/>
      <c r="J239" s="49"/>
      <c r="K239" s="49"/>
      <c r="L239" s="49"/>
    </row>
    <row r="240">
      <c r="A240" s="49"/>
      <c r="B240" s="49"/>
      <c r="C240" s="49"/>
      <c r="D240" s="49"/>
      <c r="E240" s="49"/>
      <c r="F240" s="49"/>
      <c r="G240" s="49"/>
      <c r="H240" s="49"/>
      <c r="I240" s="49"/>
      <c r="J240" s="49"/>
      <c r="K240" s="49"/>
      <c r="L240" s="49"/>
    </row>
    <row r="241">
      <c r="A241" s="49"/>
      <c r="B241" s="49"/>
      <c r="C241" s="49"/>
      <c r="D241" s="49"/>
      <c r="E241" s="49"/>
      <c r="F241" s="49"/>
      <c r="G241" s="49"/>
      <c r="H241" s="49"/>
      <c r="I241" s="49"/>
      <c r="J241" s="49"/>
      <c r="K241" s="49"/>
      <c r="L241" s="49"/>
    </row>
    <row r="242">
      <c r="A242" s="49"/>
      <c r="B242" s="49"/>
      <c r="C242" s="49"/>
      <c r="D242" s="49"/>
      <c r="E242" s="49"/>
      <c r="F242" s="49"/>
      <c r="G242" s="49"/>
      <c r="H242" s="49"/>
      <c r="I242" s="49"/>
      <c r="J242" s="49"/>
      <c r="K242" s="49"/>
      <c r="L242" s="49"/>
    </row>
    <row r="243">
      <c r="A243" s="49"/>
      <c r="B243" s="49"/>
      <c r="C243" s="49"/>
      <c r="D243" s="49"/>
      <c r="E243" s="49"/>
      <c r="F243" s="49"/>
      <c r="G243" s="49"/>
      <c r="H243" s="49"/>
      <c r="I243" s="49"/>
      <c r="J243" s="49"/>
      <c r="K243" s="49"/>
      <c r="L243" s="49"/>
    </row>
    <row r="244">
      <c r="A244" s="49"/>
      <c r="B244" s="49"/>
      <c r="C244" s="49"/>
      <c r="D244" s="49"/>
      <c r="E244" s="49"/>
      <c r="F244" s="49"/>
      <c r="G244" s="49"/>
      <c r="H244" s="49"/>
      <c r="I244" s="49"/>
      <c r="J244" s="49"/>
      <c r="K244" s="49"/>
      <c r="L244" s="49"/>
    </row>
    <row r="245">
      <c r="A245" s="49"/>
      <c r="B245" s="49"/>
      <c r="C245" s="49"/>
      <c r="D245" s="49"/>
      <c r="E245" s="49"/>
      <c r="F245" s="49"/>
      <c r="G245" s="49"/>
      <c r="H245" s="49"/>
      <c r="I245" s="49"/>
      <c r="J245" s="49"/>
      <c r="K245" s="49"/>
      <c r="L245" s="49"/>
    </row>
    <row r="246">
      <c r="A246" s="49"/>
      <c r="B246" s="49"/>
      <c r="C246" s="49"/>
      <c r="D246" s="49"/>
      <c r="E246" s="49"/>
      <c r="F246" s="49"/>
      <c r="G246" s="49"/>
      <c r="H246" s="49"/>
      <c r="I246" s="49"/>
      <c r="J246" s="49"/>
      <c r="K246" s="49"/>
      <c r="L246" s="49"/>
    </row>
    <row r="247">
      <c r="A247" s="49"/>
      <c r="B247" s="49"/>
      <c r="C247" s="49"/>
      <c r="D247" s="49"/>
      <c r="E247" s="49"/>
      <c r="F247" s="49"/>
      <c r="G247" s="49"/>
      <c r="H247" s="49"/>
      <c r="I247" s="49"/>
      <c r="J247" s="49"/>
      <c r="K247" s="49"/>
      <c r="L247" s="49"/>
    </row>
    <row r="248">
      <c r="A248" s="49"/>
      <c r="B248" s="49"/>
      <c r="C248" s="49"/>
      <c r="D248" s="49"/>
      <c r="E248" s="49"/>
      <c r="F248" s="49"/>
      <c r="G248" s="49"/>
      <c r="H248" s="49"/>
      <c r="I248" s="49"/>
      <c r="J248" s="49"/>
      <c r="K248" s="49"/>
      <c r="L248" s="49"/>
    </row>
    <row r="249">
      <c r="A249" s="49"/>
      <c r="B249" s="49"/>
      <c r="C249" s="49"/>
      <c r="D249" s="49"/>
      <c r="E249" s="49"/>
      <c r="F249" s="49"/>
      <c r="G249" s="49"/>
      <c r="H249" s="49"/>
      <c r="I249" s="49"/>
      <c r="J249" s="49"/>
      <c r="K249" s="49"/>
      <c r="L249" s="49"/>
    </row>
    <row r="250">
      <c r="A250" s="49"/>
      <c r="B250" s="49"/>
      <c r="C250" s="49"/>
      <c r="D250" s="49"/>
      <c r="E250" s="49"/>
      <c r="F250" s="49"/>
      <c r="G250" s="49"/>
      <c r="H250" s="49"/>
      <c r="I250" s="49"/>
      <c r="J250" s="49"/>
      <c r="K250" s="49"/>
      <c r="L250" s="49"/>
    </row>
    <row r="251">
      <c r="A251" s="49"/>
      <c r="B251" s="49"/>
      <c r="C251" s="49"/>
      <c r="D251" s="49"/>
      <c r="E251" s="49"/>
      <c r="F251" s="49"/>
      <c r="G251" s="49"/>
      <c r="H251" s="49"/>
      <c r="I251" s="49"/>
      <c r="J251" s="49"/>
      <c r="K251" s="49"/>
      <c r="L251" s="49"/>
    </row>
    <row r="252">
      <c r="A252" s="49"/>
      <c r="B252" s="49"/>
      <c r="C252" s="49"/>
      <c r="D252" s="49"/>
      <c r="E252" s="49"/>
      <c r="F252" s="49"/>
      <c r="G252" s="49"/>
      <c r="H252" s="49"/>
      <c r="I252" s="49"/>
      <c r="J252" s="49"/>
      <c r="K252" s="49"/>
      <c r="L252" s="49"/>
    </row>
    <row r="253">
      <c r="A253" s="49"/>
      <c r="B253" s="49"/>
      <c r="C253" s="49"/>
      <c r="D253" s="49"/>
      <c r="E253" s="49"/>
      <c r="F253" s="49"/>
      <c r="G253" s="49"/>
      <c r="H253" s="49"/>
      <c r="I253" s="49"/>
      <c r="J253" s="49"/>
      <c r="K253" s="49"/>
      <c r="L253" s="49"/>
    </row>
    <row r="254">
      <c r="A254" s="49"/>
      <c r="B254" s="49"/>
      <c r="C254" s="49"/>
      <c r="D254" s="49"/>
      <c r="E254" s="49"/>
      <c r="F254" s="49"/>
      <c r="G254" s="49"/>
      <c r="H254" s="49"/>
      <c r="I254" s="49"/>
      <c r="J254" s="49"/>
      <c r="K254" s="49"/>
      <c r="L254" s="49"/>
    </row>
    <row r="255">
      <c r="A255" s="49"/>
      <c r="B255" s="49"/>
      <c r="C255" s="49"/>
      <c r="D255" s="49"/>
      <c r="E255" s="49"/>
      <c r="F255" s="49"/>
      <c r="G255" s="49"/>
      <c r="H255" s="49"/>
      <c r="I255" s="49"/>
      <c r="J255" s="49"/>
      <c r="K255" s="49"/>
      <c r="L255" s="49"/>
    </row>
    <row r="256">
      <c r="A256" s="49"/>
      <c r="B256" s="49"/>
      <c r="C256" s="49"/>
      <c r="D256" s="49"/>
      <c r="E256" s="49"/>
      <c r="F256" s="49"/>
      <c r="G256" s="49"/>
      <c r="H256" s="49"/>
      <c r="I256" s="49"/>
      <c r="J256" s="49"/>
      <c r="K256" s="49"/>
      <c r="L256" s="49"/>
    </row>
    <row r="257">
      <c r="A257" s="49"/>
      <c r="B257" s="49"/>
      <c r="C257" s="49"/>
      <c r="D257" s="49"/>
      <c r="E257" s="49"/>
      <c r="F257" s="49"/>
      <c r="G257" s="49"/>
      <c r="H257" s="49"/>
      <c r="I257" s="49"/>
      <c r="J257" s="49"/>
      <c r="K257" s="49"/>
      <c r="L257" s="49"/>
    </row>
    <row r="258">
      <c r="A258" s="49"/>
      <c r="B258" s="49"/>
      <c r="C258" s="49"/>
      <c r="D258" s="49"/>
      <c r="E258" s="49"/>
      <c r="F258" s="49"/>
      <c r="G258" s="49"/>
      <c r="H258" s="49"/>
      <c r="I258" s="49"/>
      <c r="J258" s="49"/>
      <c r="K258" s="49"/>
      <c r="L258" s="49"/>
    </row>
    <row r="259">
      <c r="A259" s="49"/>
      <c r="B259" s="49"/>
      <c r="C259" s="49"/>
      <c r="D259" s="49"/>
      <c r="E259" s="49"/>
      <c r="F259" s="49"/>
      <c r="G259" s="49"/>
      <c r="H259" s="49"/>
      <c r="I259" s="49"/>
      <c r="J259" s="49"/>
      <c r="K259" s="49"/>
      <c r="L259" s="49"/>
    </row>
    <row r="260">
      <c r="A260" s="49"/>
      <c r="B260" s="49"/>
      <c r="C260" s="49"/>
      <c r="D260" s="49"/>
      <c r="E260" s="49"/>
      <c r="F260" s="49"/>
      <c r="G260" s="49"/>
      <c r="H260" s="49"/>
      <c r="I260" s="49"/>
      <c r="J260" s="49"/>
      <c r="K260" s="49"/>
      <c r="L260" s="49"/>
    </row>
    <row r="261">
      <c r="A261" s="49"/>
      <c r="B261" s="49"/>
      <c r="C261" s="49"/>
      <c r="D261" s="49"/>
      <c r="E261" s="49"/>
      <c r="F261" s="49"/>
      <c r="G261" s="49"/>
      <c r="H261" s="49"/>
      <c r="I261" s="49"/>
      <c r="J261" s="49"/>
      <c r="K261" s="49"/>
      <c r="L261" s="49"/>
    </row>
    <row r="262">
      <c r="A262" s="49"/>
      <c r="B262" s="49"/>
      <c r="C262" s="49"/>
      <c r="D262" s="49"/>
      <c r="E262" s="49"/>
      <c r="F262" s="49"/>
      <c r="G262" s="49"/>
      <c r="H262" s="49"/>
      <c r="I262" s="49"/>
      <c r="J262" s="49"/>
      <c r="K262" s="49"/>
      <c r="L262" s="49"/>
    </row>
    <row r="263">
      <c r="A263" s="49"/>
      <c r="B263" s="49"/>
      <c r="C263" s="49"/>
      <c r="D263" s="49"/>
      <c r="E263" s="49"/>
      <c r="F263" s="49"/>
      <c r="G263" s="49"/>
      <c r="H263" s="49"/>
      <c r="I263" s="49"/>
      <c r="J263" s="49"/>
      <c r="K263" s="49"/>
      <c r="L263" s="49"/>
    </row>
    <row r="264">
      <c r="A264" s="49"/>
      <c r="B264" s="49"/>
      <c r="C264" s="49"/>
      <c r="D264" s="49"/>
      <c r="E264" s="49"/>
      <c r="F264" s="49"/>
      <c r="G264" s="49"/>
      <c r="H264" s="49"/>
      <c r="I264" s="49"/>
      <c r="J264" s="49"/>
      <c r="K264" s="49"/>
      <c r="L264" s="49"/>
    </row>
    <row r="265">
      <c r="A265" s="49"/>
      <c r="B265" s="49"/>
      <c r="C265" s="49"/>
      <c r="D265" s="49"/>
      <c r="E265" s="49"/>
      <c r="F265" s="49"/>
      <c r="G265" s="49"/>
      <c r="H265" s="49"/>
      <c r="I265" s="49"/>
      <c r="J265" s="49"/>
      <c r="K265" s="49"/>
      <c r="L265" s="49"/>
    </row>
    <row r="266">
      <c r="A266" s="49"/>
      <c r="B266" s="49"/>
      <c r="C266" s="49"/>
      <c r="D266" s="49"/>
      <c r="E266" s="49"/>
      <c r="F266" s="49"/>
      <c r="G266" s="49"/>
      <c r="H266" s="49"/>
      <c r="I266" s="49"/>
      <c r="J266" s="49"/>
      <c r="K266" s="49"/>
      <c r="L266" s="49"/>
    </row>
    <row r="267">
      <c r="A267" s="49"/>
      <c r="B267" s="49"/>
      <c r="C267" s="49"/>
      <c r="D267" s="49"/>
      <c r="E267" s="49"/>
      <c r="F267" s="49"/>
      <c r="G267" s="49"/>
      <c r="H267" s="49"/>
      <c r="I267" s="49"/>
      <c r="J267" s="49"/>
      <c r="K267" s="49"/>
      <c r="L267" s="49"/>
    </row>
    <row r="268">
      <c r="A268" s="49"/>
      <c r="B268" s="49"/>
      <c r="C268" s="49"/>
      <c r="D268" s="49"/>
      <c r="E268" s="49"/>
      <c r="F268" s="49"/>
      <c r="G268" s="49"/>
      <c r="H268" s="49"/>
      <c r="I268" s="49"/>
      <c r="J268" s="49"/>
      <c r="K268" s="49"/>
      <c r="L268" s="49"/>
    </row>
    <row r="269">
      <c r="A269" s="49"/>
      <c r="B269" s="49"/>
      <c r="C269" s="49"/>
      <c r="D269" s="49"/>
      <c r="E269" s="49"/>
      <c r="F269" s="49"/>
      <c r="G269" s="49"/>
      <c r="H269" s="49"/>
      <c r="I269" s="49"/>
      <c r="J269" s="49"/>
      <c r="K269" s="49"/>
      <c r="L269" s="49"/>
    </row>
    <row r="270">
      <c r="A270" s="49"/>
      <c r="B270" s="49"/>
      <c r="C270" s="49"/>
      <c r="D270" s="49"/>
      <c r="E270" s="49"/>
      <c r="F270" s="49"/>
      <c r="G270" s="49"/>
      <c r="H270" s="49"/>
      <c r="I270" s="49"/>
      <c r="J270" s="49"/>
      <c r="K270" s="49"/>
      <c r="L270" s="49"/>
    </row>
    <row r="271">
      <c r="A271" s="49"/>
      <c r="B271" s="49"/>
      <c r="C271" s="49"/>
      <c r="D271" s="49"/>
      <c r="E271" s="49"/>
      <c r="F271" s="49"/>
      <c r="G271" s="49"/>
      <c r="H271" s="49"/>
      <c r="I271" s="49"/>
      <c r="J271" s="49"/>
      <c r="K271" s="49"/>
      <c r="L271" s="49"/>
    </row>
    <row r="272">
      <c r="A272" s="49"/>
      <c r="B272" s="49"/>
      <c r="C272" s="49"/>
      <c r="D272" s="49"/>
      <c r="E272" s="49"/>
      <c r="F272" s="49"/>
      <c r="G272" s="49"/>
      <c r="H272" s="49"/>
      <c r="I272" s="49"/>
      <c r="J272" s="49"/>
      <c r="K272" s="49"/>
      <c r="L272" s="49"/>
    </row>
    <row r="273">
      <c r="A273" s="49"/>
      <c r="B273" s="49"/>
      <c r="C273" s="49"/>
      <c r="D273" s="49"/>
      <c r="E273" s="49"/>
      <c r="F273" s="49"/>
      <c r="G273" s="49"/>
      <c r="H273" s="49"/>
      <c r="I273" s="49"/>
      <c r="J273" s="49"/>
      <c r="K273" s="49"/>
      <c r="L273" s="49"/>
    </row>
    <row r="274">
      <c r="A274" s="49"/>
      <c r="B274" s="49"/>
      <c r="C274" s="49"/>
      <c r="D274" s="49"/>
      <c r="E274" s="49"/>
      <c r="F274" s="49"/>
      <c r="G274" s="49"/>
      <c r="H274" s="49"/>
      <c r="I274" s="49"/>
      <c r="J274" s="49"/>
      <c r="K274" s="49"/>
      <c r="L274" s="49"/>
    </row>
    <row r="275">
      <c r="A275" s="49"/>
      <c r="B275" s="49"/>
      <c r="C275" s="49"/>
      <c r="D275" s="49"/>
      <c r="E275" s="49"/>
      <c r="F275" s="49"/>
      <c r="G275" s="49"/>
      <c r="H275" s="49"/>
      <c r="I275" s="49"/>
      <c r="J275" s="49"/>
      <c r="K275" s="49"/>
      <c r="L275" s="49"/>
    </row>
    <row r="276">
      <c r="A276" s="49"/>
      <c r="B276" s="49"/>
      <c r="C276" s="49"/>
      <c r="D276" s="49"/>
      <c r="E276" s="49"/>
      <c r="F276" s="49"/>
      <c r="G276" s="49"/>
      <c r="H276" s="49"/>
      <c r="I276" s="49"/>
      <c r="J276" s="49"/>
      <c r="K276" s="49"/>
      <c r="L276" s="49"/>
    </row>
    <row r="277">
      <c r="A277" s="49"/>
      <c r="B277" s="49"/>
      <c r="C277" s="49"/>
      <c r="D277" s="49"/>
      <c r="E277" s="49"/>
      <c r="F277" s="49"/>
      <c r="G277" s="49"/>
      <c r="H277" s="49"/>
      <c r="I277" s="49"/>
      <c r="J277" s="49"/>
      <c r="K277" s="49"/>
      <c r="L277" s="49"/>
    </row>
    <row r="278">
      <c r="A278" s="49"/>
      <c r="B278" s="49"/>
      <c r="C278" s="49"/>
      <c r="D278" s="49"/>
      <c r="E278" s="49"/>
      <c r="F278" s="49"/>
      <c r="G278" s="49"/>
      <c r="H278" s="49"/>
      <c r="I278" s="49"/>
      <c r="J278" s="49"/>
      <c r="K278" s="49"/>
      <c r="L278" s="49"/>
    </row>
    <row r="279">
      <c r="A279" s="49"/>
      <c r="B279" s="49"/>
      <c r="C279" s="49"/>
      <c r="D279" s="49"/>
      <c r="E279" s="49"/>
      <c r="F279" s="49"/>
      <c r="G279" s="49"/>
      <c r="H279" s="49"/>
      <c r="I279" s="49"/>
      <c r="J279" s="49"/>
      <c r="K279" s="49"/>
      <c r="L279" s="49"/>
    </row>
    <row r="280">
      <c r="A280" s="49"/>
      <c r="B280" s="49"/>
      <c r="C280" s="49"/>
      <c r="D280" s="49"/>
      <c r="E280" s="49"/>
      <c r="F280" s="49"/>
      <c r="G280" s="49"/>
      <c r="H280" s="49"/>
      <c r="I280" s="49"/>
      <c r="J280" s="49"/>
      <c r="K280" s="49"/>
      <c r="L280" s="49"/>
    </row>
    <row r="281">
      <c r="A281" s="49"/>
      <c r="B281" s="49"/>
      <c r="C281" s="49"/>
      <c r="D281" s="49"/>
      <c r="E281" s="49"/>
      <c r="F281" s="49"/>
      <c r="G281" s="49"/>
      <c r="H281" s="49"/>
      <c r="I281" s="49"/>
      <c r="J281" s="49"/>
      <c r="K281" s="49"/>
      <c r="L281" s="49"/>
    </row>
    <row r="282">
      <c r="A282" s="49"/>
      <c r="B282" s="49"/>
      <c r="C282" s="49"/>
      <c r="D282" s="49"/>
      <c r="E282" s="49"/>
      <c r="F282" s="49"/>
      <c r="G282" s="49"/>
      <c r="H282" s="49"/>
      <c r="I282" s="49"/>
      <c r="J282" s="49"/>
      <c r="K282" s="49"/>
      <c r="L282" s="49"/>
    </row>
    <row r="283">
      <c r="A283" s="49"/>
      <c r="B283" s="49"/>
      <c r="C283" s="49"/>
      <c r="D283" s="49"/>
      <c r="E283" s="49"/>
      <c r="F283" s="49"/>
      <c r="G283" s="49"/>
      <c r="H283" s="49"/>
      <c r="I283" s="49"/>
      <c r="J283" s="49"/>
      <c r="K283" s="49"/>
      <c r="L283" s="49"/>
    </row>
    <row r="284">
      <c r="A284" s="49"/>
      <c r="B284" s="49"/>
      <c r="C284" s="49"/>
      <c r="D284" s="49"/>
      <c r="E284" s="49"/>
      <c r="F284" s="49"/>
      <c r="G284" s="49"/>
      <c r="H284" s="49"/>
      <c r="I284" s="49"/>
      <c r="J284" s="49"/>
      <c r="K284" s="49"/>
      <c r="L284" s="49"/>
    </row>
    <row r="285">
      <c r="A285" s="49"/>
      <c r="B285" s="49"/>
      <c r="C285" s="49"/>
      <c r="D285" s="49"/>
      <c r="E285" s="49"/>
      <c r="F285" s="49"/>
      <c r="G285" s="49"/>
      <c r="H285" s="49"/>
      <c r="I285" s="49"/>
      <c r="J285" s="49"/>
      <c r="K285" s="49"/>
      <c r="L285" s="49"/>
    </row>
    <row r="286">
      <c r="A286" s="49"/>
      <c r="B286" s="49"/>
      <c r="C286" s="49"/>
      <c r="D286" s="49"/>
      <c r="E286" s="49"/>
      <c r="F286" s="49"/>
      <c r="G286" s="49"/>
      <c r="H286" s="49"/>
      <c r="I286" s="49"/>
      <c r="J286" s="49"/>
      <c r="K286" s="49"/>
      <c r="L286" s="49"/>
    </row>
    <row r="287">
      <c r="A287" s="49"/>
      <c r="B287" s="49"/>
      <c r="C287" s="49"/>
      <c r="D287" s="49"/>
      <c r="E287" s="49"/>
      <c r="F287" s="49"/>
      <c r="G287" s="49"/>
      <c r="H287" s="49"/>
      <c r="I287" s="49"/>
      <c r="J287" s="49"/>
      <c r="K287" s="49"/>
      <c r="L287" s="49"/>
    </row>
    <row r="288">
      <c r="A288" s="49"/>
      <c r="B288" s="49"/>
      <c r="C288" s="49"/>
      <c r="D288" s="49"/>
      <c r="E288" s="49"/>
      <c r="F288" s="49"/>
      <c r="G288" s="49"/>
      <c r="H288" s="49"/>
      <c r="I288" s="49"/>
      <c r="J288" s="49"/>
      <c r="K288" s="49"/>
      <c r="L288" s="49"/>
    </row>
    <row r="289">
      <c r="A289" s="49"/>
      <c r="B289" s="49"/>
      <c r="C289" s="49"/>
      <c r="D289" s="49"/>
      <c r="E289" s="49"/>
      <c r="F289" s="49"/>
      <c r="G289" s="49"/>
      <c r="H289" s="49"/>
      <c r="I289" s="49"/>
      <c r="J289" s="49"/>
      <c r="K289" s="49"/>
      <c r="L289" s="49"/>
    </row>
    <row r="290">
      <c r="A290" s="49"/>
      <c r="B290" s="49"/>
      <c r="C290" s="49"/>
      <c r="D290" s="49"/>
      <c r="E290" s="49"/>
      <c r="F290" s="49"/>
      <c r="G290" s="49"/>
      <c r="H290" s="49"/>
      <c r="I290" s="49"/>
      <c r="J290" s="49"/>
      <c r="K290" s="49"/>
      <c r="L290" s="49"/>
    </row>
    <row r="291">
      <c r="A291" s="49"/>
      <c r="B291" s="49"/>
      <c r="C291" s="49"/>
      <c r="D291" s="49"/>
      <c r="E291" s="49"/>
      <c r="F291" s="49"/>
      <c r="G291" s="49"/>
      <c r="H291" s="49"/>
      <c r="I291" s="49"/>
      <c r="J291" s="49"/>
      <c r="K291" s="49"/>
      <c r="L291" s="49"/>
    </row>
    <row r="292">
      <c r="A292" s="49"/>
      <c r="B292" s="49"/>
      <c r="C292" s="49"/>
      <c r="D292" s="49"/>
      <c r="E292" s="49"/>
      <c r="F292" s="49"/>
      <c r="G292" s="49"/>
      <c r="H292" s="49"/>
      <c r="I292" s="49"/>
      <c r="J292" s="49"/>
      <c r="K292" s="49"/>
      <c r="L292" s="49"/>
    </row>
    <row r="293">
      <c r="A293" s="49"/>
      <c r="B293" s="49"/>
      <c r="C293" s="49"/>
      <c r="D293" s="49"/>
      <c r="E293" s="49"/>
      <c r="F293" s="49"/>
      <c r="G293" s="49"/>
      <c r="H293" s="49"/>
      <c r="I293" s="49"/>
      <c r="J293" s="49"/>
      <c r="K293" s="49"/>
      <c r="L293" s="49"/>
    </row>
    <row r="294">
      <c r="A294" s="49"/>
      <c r="B294" s="49"/>
      <c r="C294" s="49"/>
      <c r="D294" s="49"/>
      <c r="E294" s="49"/>
      <c r="F294" s="49"/>
      <c r="G294" s="49"/>
      <c r="H294" s="49"/>
      <c r="I294" s="49"/>
      <c r="J294" s="49"/>
      <c r="K294" s="49"/>
      <c r="L294" s="49"/>
    </row>
    <row r="295">
      <c r="A295" s="49"/>
      <c r="B295" s="49"/>
      <c r="C295" s="49"/>
      <c r="D295" s="49"/>
      <c r="E295" s="49"/>
      <c r="F295" s="49"/>
      <c r="G295" s="49"/>
      <c r="H295" s="49"/>
      <c r="I295" s="49"/>
      <c r="J295" s="49"/>
      <c r="K295" s="49"/>
      <c r="L295" s="49"/>
    </row>
    <row r="296">
      <c r="A296" s="49"/>
      <c r="B296" s="49"/>
      <c r="C296" s="49"/>
      <c r="D296" s="49"/>
      <c r="E296" s="49"/>
      <c r="F296" s="49"/>
      <c r="G296" s="49"/>
      <c r="H296" s="49"/>
      <c r="I296" s="49"/>
      <c r="J296" s="49"/>
      <c r="K296" s="49"/>
      <c r="L296" s="49"/>
    </row>
    <row r="297">
      <c r="A297" s="49"/>
      <c r="B297" s="49"/>
      <c r="C297" s="49"/>
      <c r="D297" s="49"/>
      <c r="E297" s="49"/>
      <c r="F297" s="49"/>
      <c r="G297" s="49"/>
      <c r="H297" s="49"/>
      <c r="I297" s="49"/>
      <c r="J297" s="49"/>
      <c r="K297" s="49"/>
      <c r="L297" s="49"/>
    </row>
    <row r="298">
      <c r="A298" s="49"/>
      <c r="B298" s="49"/>
      <c r="C298" s="49"/>
      <c r="D298" s="49"/>
      <c r="E298" s="49"/>
      <c r="F298" s="49"/>
      <c r="G298" s="49"/>
      <c r="H298" s="49"/>
      <c r="I298" s="49"/>
      <c r="J298" s="49"/>
      <c r="K298" s="49"/>
      <c r="L298" s="49"/>
    </row>
    <row r="299">
      <c r="A299" s="49"/>
      <c r="B299" s="49"/>
      <c r="C299" s="49"/>
      <c r="D299" s="49"/>
      <c r="E299" s="49"/>
      <c r="F299" s="49"/>
      <c r="G299" s="49"/>
      <c r="H299" s="49"/>
      <c r="I299" s="49"/>
      <c r="J299" s="49"/>
      <c r="K299" s="49"/>
      <c r="L299" s="49"/>
    </row>
    <row r="300">
      <c r="A300" s="49"/>
      <c r="B300" s="49"/>
      <c r="C300" s="49"/>
      <c r="D300" s="49"/>
      <c r="E300" s="49"/>
      <c r="F300" s="49"/>
      <c r="G300" s="49"/>
      <c r="H300" s="49"/>
      <c r="I300" s="49"/>
      <c r="J300" s="49"/>
      <c r="K300" s="49"/>
      <c r="L300" s="49"/>
    </row>
    <row r="301">
      <c r="A301" s="49"/>
      <c r="B301" s="49"/>
      <c r="C301" s="49"/>
      <c r="D301" s="49"/>
      <c r="E301" s="49"/>
      <c r="F301" s="49"/>
      <c r="G301" s="49"/>
      <c r="H301" s="49"/>
      <c r="I301" s="49"/>
      <c r="J301" s="49"/>
      <c r="K301" s="49"/>
      <c r="L301" s="49"/>
    </row>
    <row r="302">
      <c r="A302" s="49"/>
      <c r="B302" s="49"/>
      <c r="C302" s="49"/>
      <c r="D302" s="49"/>
      <c r="E302" s="49"/>
      <c r="F302" s="49"/>
      <c r="G302" s="49"/>
      <c r="H302" s="49"/>
      <c r="I302" s="49"/>
      <c r="J302" s="49"/>
      <c r="K302" s="49"/>
      <c r="L302" s="49"/>
    </row>
    <row r="303">
      <c r="A303" s="49"/>
      <c r="B303" s="49"/>
      <c r="C303" s="49"/>
      <c r="D303" s="49"/>
      <c r="E303" s="49"/>
      <c r="F303" s="49"/>
      <c r="G303" s="49"/>
      <c r="H303" s="49"/>
      <c r="I303" s="49"/>
      <c r="J303" s="49"/>
      <c r="K303" s="49"/>
      <c r="L303" s="49"/>
    </row>
    <row r="304">
      <c r="A304" s="49"/>
      <c r="B304" s="49"/>
      <c r="C304" s="49"/>
      <c r="D304" s="49"/>
      <c r="E304" s="49"/>
      <c r="F304" s="49"/>
      <c r="G304" s="49"/>
      <c r="H304" s="49"/>
      <c r="I304" s="49"/>
      <c r="J304" s="49"/>
      <c r="K304" s="49"/>
      <c r="L304" s="49"/>
    </row>
    <row r="305">
      <c r="A305" s="49"/>
      <c r="B305" s="49"/>
      <c r="C305" s="49"/>
      <c r="D305" s="49"/>
      <c r="E305" s="49"/>
      <c r="F305" s="49"/>
      <c r="G305" s="49"/>
      <c r="H305" s="49"/>
      <c r="I305" s="49"/>
      <c r="J305" s="49"/>
      <c r="K305" s="49"/>
      <c r="L305" s="49"/>
    </row>
    <row r="306">
      <c r="A306" s="49"/>
      <c r="B306" s="49"/>
      <c r="C306" s="49"/>
      <c r="D306" s="49"/>
      <c r="E306" s="49"/>
      <c r="F306" s="49"/>
      <c r="G306" s="49"/>
      <c r="H306" s="49"/>
      <c r="I306" s="49"/>
      <c r="J306" s="49"/>
      <c r="K306" s="49"/>
      <c r="L306" s="49"/>
    </row>
    <row r="307">
      <c r="A307" s="49"/>
      <c r="B307" s="49"/>
      <c r="C307" s="49"/>
      <c r="D307" s="49"/>
      <c r="E307" s="49"/>
      <c r="F307" s="49"/>
      <c r="G307" s="49"/>
      <c r="H307" s="49"/>
      <c r="I307" s="49"/>
      <c r="J307" s="49"/>
      <c r="K307" s="49"/>
      <c r="L307" s="49"/>
    </row>
    <row r="308">
      <c r="A308" s="49"/>
      <c r="B308" s="49"/>
      <c r="C308" s="49"/>
      <c r="D308" s="49"/>
      <c r="E308" s="49"/>
      <c r="F308" s="49"/>
      <c r="G308" s="49"/>
      <c r="H308" s="49"/>
      <c r="I308" s="49"/>
      <c r="J308" s="49"/>
      <c r="K308" s="49"/>
      <c r="L308" s="49"/>
    </row>
    <row r="309">
      <c r="A309" s="49"/>
      <c r="B309" s="49"/>
      <c r="C309" s="49"/>
      <c r="D309" s="49"/>
      <c r="E309" s="49"/>
      <c r="F309" s="49"/>
      <c r="G309" s="49"/>
      <c r="H309" s="49"/>
      <c r="I309" s="49"/>
      <c r="J309" s="49"/>
      <c r="K309" s="49"/>
      <c r="L309" s="49"/>
    </row>
    <row r="310">
      <c r="A310" s="49"/>
      <c r="B310" s="49"/>
      <c r="C310" s="49"/>
      <c r="D310" s="49"/>
      <c r="E310" s="49"/>
      <c r="F310" s="49"/>
      <c r="G310" s="49"/>
      <c r="H310" s="49"/>
      <c r="I310" s="49"/>
      <c r="J310" s="49"/>
      <c r="K310" s="49"/>
      <c r="L310" s="49"/>
    </row>
    <row r="311">
      <c r="A311" s="49"/>
      <c r="B311" s="49"/>
      <c r="C311" s="49"/>
      <c r="D311" s="49"/>
      <c r="E311" s="49"/>
      <c r="F311" s="49"/>
      <c r="G311" s="49"/>
      <c r="H311" s="49"/>
      <c r="I311" s="49"/>
      <c r="J311" s="49"/>
      <c r="K311" s="49"/>
      <c r="L311" s="49"/>
    </row>
    <row r="312">
      <c r="A312" s="49"/>
      <c r="B312" s="49"/>
      <c r="C312" s="49"/>
      <c r="D312" s="49"/>
      <c r="E312" s="49"/>
      <c r="F312" s="49"/>
      <c r="G312" s="49"/>
      <c r="H312" s="49"/>
      <c r="I312" s="49"/>
      <c r="J312" s="49"/>
      <c r="K312" s="49"/>
      <c r="L312" s="49"/>
    </row>
    <row r="313">
      <c r="A313" s="49"/>
      <c r="B313" s="49"/>
      <c r="C313" s="49"/>
      <c r="D313" s="49"/>
      <c r="E313" s="49"/>
      <c r="F313" s="49"/>
      <c r="G313" s="49"/>
      <c r="H313" s="49"/>
      <c r="I313" s="49"/>
      <c r="J313" s="49"/>
      <c r="K313" s="49"/>
      <c r="L313" s="49"/>
    </row>
    <row r="314">
      <c r="A314" s="49"/>
      <c r="B314" s="49"/>
      <c r="C314" s="49"/>
      <c r="D314" s="49"/>
      <c r="E314" s="49"/>
      <c r="F314" s="49"/>
      <c r="G314" s="49"/>
      <c r="H314" s="49"/>
      <c r="I314" s="49"/>
      <c r="J314" s="49"/>
      <c r="K314" s="49"/>
      <c r="L314" s="49"/>
    </row>
    <row r="315">
      <c r="A315" s="49"/>
      <c r="B315" s="49"/>
      <c r="C315" s="49"/>
      <c r="D315" s="49"/>
      <c r="E315" s="49"/>
      <c r="F315" s="49"/>
      <c r="G315" s="49"/>
      <c r="H315" s="49"/>
      <c r="I315" s="49"/>
      <c r="J315" s="49"/>
      <c r="K315" s="49"/>
      <c r="L315" s="49"/>
    </row>
    <row r="316">
      <c r="A316" s="49"/>
      <c r="B316" s="49"/>
      <c r="C316" s="49"/>
      <c r="D316" s="49"/>
      <c r="E316" s="49"/>
      <c r="F316" s="49"/>
      <c r="G316" s="49"/>
      <c r="H316" s="49"/>
      <c r="I316" s="49"/>
      <c r="J316" s="49"/>
      <c r="K316" s="49"/>
      <c r="L316" s="49"/>
    </row>
    <row r="317">
      <c r="A317" s="49"/>
      <c r="B317" s="49"/>
      <c r="C317" s="49"/>
      <c r="D317" s="49"/>
      <c r="E317" s="49"/>
      <c r="F317" s="49"/>
      <c r="G317" s="49"/>
      <c r="H317" s="49"/>
      <c r="I317" s="49"/>
      <c r="J317" s="49"/>
      <c r="K317" s="49"/>
      <c r="L317" s="49"/>
    </row>
    <row r="318">
      <c r="A318" s="49"/>
      <c r="B318" s="49"/>
      <c r="C318" s="49"/>
      <c r="D318" s="49"/>
      <c r="E318" s="49"/>
      <c r="F318" s="49"/>
      <c r="G318" s="49"/>
      <c r="H318" s="49"/>
      <c r="I318" s="49"/>
      <c r="J318" s="49"/>
      <c r="K318" s="49"/>
      <c r="L318" s="49"/>
    </row>
    <row r="319">
      <c r="A319" s="49"/>
      <c r="B319" s="49"/>
      <c r="C319" s="49"/>
      <c r="D319" s="49"/>
      <c r="E319" s="49"/>
      <c r="F319" s="49"/>
      <c r="G319" s="49"/>
      <c r="H319" s="49"/>
      <c r="I319" s="49"/>
      <c r="J319" s="49"/>
      <c r="K319" s="49"/>
      <c r="L319" s="49"/>
    </row>
    <row r="320">
      <c r="A320" s="49"/>
      <c r="B320" s="49"/>
      <c r="C320" s="49"/>
      <c r="D320" s="49"/>
      <c r="E320" s="49"/>
      <c r="F320" s="49"/>
      <c r="G320" s="49"/>
      <c r="H320" s="49"/>
      <c r="I320" s="49"/>
      <c r="J320" s="49"/>
      <c r="K320" s="49"/>
      <c r="L320" s="49"/>
    </row>
    <row r="321">
      <c r="A321" s="49"/>
      <c r="B321" s="49"/>
      <c r="C321" s="49"/>
      <c r="D321" s="49"/>
      <c r="E321" s="49"/>
      <c r="F321" s="49"/>
      <c r="G321" s="49"/>
      <c r="H321" s="49"/>
      <c r="I321" s="49"/>
      <c r="J321" s="49"/>
      <c r="K321" s="49"/>
      <c r="L321" s="49"/>
    </row>
    <row r="322">
      <c r="A322" s="49"/>
      <c r="B322" s="49"/>
      <c r="C322" s="49"/>
      <c r="D322" s="49"/>
      <c r="E322" s="49"/>
      <c r="F322" s="49"/>
      <c r="G322" s="49"/>
      <c r="H322" s="49"/>
      <c r="I322" s="49"/>
      <c r="J322" s="49"/>
      <c r="K322" s="49"/>
      <c r="L322" s="49"/>
    </row>
    <row r="323">
      <c r="A323" s="49"/>
      <c r="B323" s="49"/>
      <c r="C323" s="49"/>
      <c r="D323" s="49"/>
      <c r="E323" s="49"/>
      <c r="F323" s="49"/>
      <c r="G323" s="49"/>
      <c r="H323" s="49"/>
      <c r="I323" s="49"/>
      <c r="J323" s="49"/>
      <c r="K323" s="49"/>
      <c r="L323" s="49"/>
    </row>
    <row r="324">
      <c r="A324" s="49"/>
      <c r="B324" s="49"/>
      <c r="C324" s="49"/>
      <c r="D324" s="49"/>
      <c r="E324" s="49"/>
      <c r="F324" s="49"/>
      <c r="G324" s="49"/>
      <c r="H324" s="49"/>
      <c r="I324" s="49"/>
      <c r="J324" s="49"/>
      <c r="K324" s="49"/>
      <c r="L324" s="49"/>
    </row>
    <row r="325">
      <c r="A325" s="49"/>
      <c r="B325" s="49"/>
      <c r="C325" s="49"/>
      <c r="D325" s="49"/>
      <c r="E325" s="49"/>
      <c r="F325" s="49"/>
      <c r="G325" s="49"/>
      <c r="H325" s="49"/>
      <c r="I325" s="49"/>
      <c r="J325" s="49"/>
      <c r="K325" s="49"/>
      <c r="L325" s="49"/>
    </row>
    <row r="326">
      <c r="A326" s="49"/>
      <c r="B326" s="49"/>
      <c r="C326" s="49"/>
      <c r="D326" s="49"/>
      <c r="E326" s="49"/>
      <c r="F326" s="49"/>
      <c r="G326" s="49"/>
      <c r="H326" s="49"/>
      <c r="I326" s="49"/>
      <c r="J326" s="49"/>
      <c r="K326" s="49"/>
      <c r="L326" s="49"/>
    </row>
    <row r="327">
      <c r="A327" s="49"/>
      <c r="B327" s="49"/>
      <c r="C327" s="49"/>
      <c r="D327" s="49"/>
      <c r="E327" s="49"/>
      <c r="F327" s="49"/>
      <c r="G327" s="49"/>
      <c r="H327" s="49"/>
      <c r="I327" s="49"/>
      <c r="J327" s="49"/>
      <c r="K327" s="49"/>
      <c r="L327" s="49"/>
    </row>
    <row r="328">
      <c r="A328" s="49"/>
      <c r="B328" s="49"/>
      <c r="C328" s="49"/>
      <c r="D328" s="49"/>
      <c r="E328" s="49"/>
      <c r="F328" s="49"/>
      <c r="G328" s="49"/>
      <c r="H328" s="49"/>
      <c r="I328" s="49"/>
      <c r="J328" s="49"/>
      <c r="K328" s="49"/>
      <c r="L328" s="49"/>
    </row>
    <row r="329">
      <c r="A329" s="49"/>
      <c r="B329" s="49"/>
      <c r="C329" s="49"/>
      <c r="D329" s="49"/>
      <c r="E329" s="49"/>
      <c r="F329" s="49"/>
      <c r="G329" s="49"/>
      <c r="H329" s="49"/>
      <c r="I329" s="49"/>
      <c r="J329" s="49"/>
      <c r="K329" s="49"/>
      <c r="L329" s="49"/>
    </row>
    <row r="330">
      <c r="A330" s="49"/>
      <c r="B330" s="49"/>
      <c r="C330" s="49"/>
      <c r="D330" s="49"/>
      <c r="E330" s="49"/>
      <c r="F330" s="49"/>
      <c r="G330" s="49"/>
      <c r="H330" s="49"/>
      <c r="I330" s="49"/>
      <c r="J330" s="49"/>
      <c r="K330" s="49"/>
      <c r="L330" s="49"/>
    </row>
    <row r="331">
      <c r="A331" s="49"/>
      <c r="B331" s="49"/>
      <c r="C331" s="49"/>
      <c r="D331" s="49"/>
      <c r="E331" s="49"/>
      <c r="F331" s="49"/>
      <c r="G331" s="49"/>
      <c r="H331" s="49"/>
      <c r="I331" s="49"/>
      <c r="J331" s="49"/>
      <c r="K331" s="49"/>
      <c r="L331" s="49"/>
    </row>
    <row r="332">
      <c r="A332" s="49"/>
      <c r="B332" s="49"/>
      <c r="C332" s="49"/>
      <c r="D332" s="49"/>
      <c r="E332" s="49"/>
      <c r="F332" s="49"/>
      <c r="G332" s="49"/>
      <c r="H332" s="49"/>
      <c r="I332" s="49"/>
      <c r="J332" s="49"/>
      <c r="K332" s="49"/>
      <c r="L332" s="49"/>
    </row>
    <row r="333">
      <c r="A333" s="49"/>
      <c r="B333" s="49"/>
      <c r="C333" s="49"/>
      <c r="D333" s="49"/>
      <c r="E333" s="49"/>
      <c r="F333" s="49"/>
      <c r="G333" s="49"/>
      <c r="H333" s="49"/>
      <c r="I333" s="49"/>
      <c r="J333" s="49"/>
      <c r="K333" s="49"/>
      <c r="L333" s="49"/>
    </row>
    <row r="334">
      <c r="A334" s="49"/>
      <c r="B334" s="49"/>
      <c r="C334" s="49"/>
      <c r="D334" s="49"/>
      <c r="E334" s="49"/>
      <c r="F334" s="49"/>
      <c r="G334" s="49"/>
      <c r="H334" s="49"/>
      <c r="I334" s="49"/>
      <c r="J334" s="49"/>
      <c r="K334" s="49"/>
      <c r="L334" s="49"/>
    </row>
    <row r="335">
      <c r="A335" s="49"/>
      <c r="B335" s="49"/>
      <c r="C335" s="49"/>
      <c r="D335" s="49"/>
      <c r="E335" s="49"/>
      <c r="F335" s="49"/>
      <c r="G335" s="49"/>
      <c r="H335" s="49"/>
      <c r="I335" s="49"/>
      <c r="J335" s="49"/>
      <c r="K335" s="49"/>
      <c r="L335" s="49"/>
    </row>
    <row r="336">
      <c r="A336" s="49"/>
      <c r="B336" s="49"/>
      <c r="C336" s="49"/>
      <c r="D336" s="49"/>
      <c r="E336" s="49"/>
      <c r="F336" s="49"/>
      <c r="G336" s="49"/>
      <c r="H336" s="49"/>
      <c r="I336" s="49"/>
      <c r="J336" s="49"/>
      <c r="K336" s="49"/>
      <c r="L336" s="49"/>
    </row>
    <row r="337">
      <c r="A337" s="49"/>
      <c r="B337" s="49"/>
      <c r="C337" s="49"/>
      <c r="D337" s="49"/>
      <c r="E337" s="49"/>
      <c r="F337" s="49"/>
      <c r="G337" s="49"/>
      <c r="H337" s="49"/>
      <c r="I337" s="49"/>
      <c r="J337" s="49"/>
      <c r="K337" s="49"/>
      <c r="L337" s="49"/>
    </row>
    <row r="338">
      <c r="A338" s="49"/>
      <c r="B338" s="49"/>
      <c r="C338" s="49"/>
      <c r="D338" s="49"/>
      <c r="E338" s="49"/>
      <c r="F338" s="49"/>
      <c r="G338" s="49"/>
      <c r="H338" s="49"/>
      <c r="I338" s="49"/>
      <c r="J338" s="49"/>
      <c r="K338" s="49"/>
      <c r="L338" s="49"/>
    </row>
    <row r="339">
      <c r="A339" s="49"/>
      <c r="B339" s="49"/>
      <c r="C339" s="49"/>
      <c r="D339" s="49"/>
      <c r="E339" s="49"/>
      <c r="F339" s="49"/>
      <c r="G339" s="49"/>
      <c r="H339" s="49"/>
      <c r="I339" s="49"/>
      <c r="J339" s="49"/>
      <c r="K339" s="49"/>
      <c r="L339" s="49"/>
    </row>
    <row r="340">
      <c r="A340" s="49"/>
      <c r="B340" s="49"/>
      <c r="C340" s="49"/>
      <c r="D340" s="49"/>
      <c r="E340" s="49"/>
      <c r="F340" s="49"/>
      <c r="G340" s="49"/>
      <c r="H340" s="49"/>
      <c r="I340" s="49"/>
      <c r="J340" s="49"/>
      <c r="K340" s="49"/>
      <c r="L340" s="49"/>
    </row>
    <row r="341">
      <c r="A341" s="49"/>
      <c r="B341" s="49"/>
      <c r="C341" s="49"/>
      <c r="D341" s="49"/>
      <c r="E341" s="49"/>
      <c r="F341" s="49"/>
      <c r="G341" s="49"/>
      <c r="H341" s="49"/>
      <c r="I341" s="49"/>
      <c r="J341" s="49"/>
      <c r="K341" s="49"/>
      <c r="L341" s="49"/>
    </row>
    <row r="342">
      <c r="A342" s="49"/>
      <c r="B342" s="49"/>
      <c r="C342" s="49"/>
      <c r="D342" s="49"/>
      <c r="E342" s="49"/>
      <c r="F342" s="49"/>
      <c r="G342" s="49"/>
      <c r="H342" s="49"/>
      <c r="I342" s="49"/>
      <c r="J342" s="49"/>
      <c r="K342" s="49"/>
      <c r="L342" s="49"/>
    </row>
    <row r="343">
      <c r="A343" s="49"/>
      <c r="B343" s="49"/>
      <c r="C343" s="49"/>
      <c r="D343" s="49"/>
      <c r="E343" s="49"/>
      <c r="F343" s="49"/>
      <c r="G343" s="49"/>
      <c r="H343" s="49"/>
      <c r="I343" s="49"/>
      <c r="J343" s="49"/>
      <c r="K343" s="49"/>
      <c r="L343" s="49"/>
    </row>
    <row r="344">
      <c r="A344" s="49"/>
      <c r="B344" s="49"/>
      <c r="C344" s="49"/>
      <c r="D344" s="49"/>
      <c r="E344" s="49"/>
      <c r="F344" s="49"/>
      <c r="G344" s="49"/>
      <c r="H344" s="49"/>
      <c r="I344" s="49"/>
      <c r="J344" s="49"/>
      <c r="K344" s="49"/>
      <c r="L344" s="49"/>
    </row>
    <row r="345">
      <c r="A345" s="49"/>
      <c r="B345" s="49"/>
      <c r="C345" s="49"/>
      <c r="D345" s="49"/>
      <c r="E345" s="49"/>
      <c r="F345" s="49"/>
      <c r="G345" s="49"/>
      <c r="H345" s="49"/>
      <c r="I345" s="49"/>
      <c r="J345" s="49"/>
      <c r="K345" s="49"/>
      <c r="L345" s="49"/>
    </row>
    <row r="346">
      <c r="A346" s="49"/>
      <c r="B346" s="49"/>
      <c r="C346" s="49"/>
      <c r="D346" s="49"/>
      <c r="E346" s="49"/>
      <c r="F346" s="49"/>
      <c r="G346" s="49"/>
      <c r="H346" s="49"/>
      <c r="I346" s="49"/>
      <c r="J346" s="49"/>
      <c r="K346" s="49"/>
      <c r="L346" s="49"/>
    </row>
    <row r="347">
      <c r="A347" s="49"/>
      <c r="B347" s="49"/>
      <c r="C347" s="49"/>
      <c r="D347" s="49"/>
      <c r="E347" s="49"/>
      <c r="F347" s="49"/>
      <c r="G347" s="49"/>
      <c r="H347" s="49"/>
      <c r="I347" s="49"/>
      <c r="J347" s="49"/>
      <c r="K347" s="49"/>
      <c r="L347" s="49"/>
    </row>
    <row r="348">
      <c r="A348" s="49"/>
      <c r="B348" s="49"/>
      <c r="C348" s="49"/>
      <c r="D348" s="49"/>
      <c r="E348" s="49"/>
      <c r="F348" s="49"/>
      <c r="G348" s="49"/>
      <c r="H348" s="49"/>
      <c r="I348" s="49"/>
      <c r="J348" s="49"/>
      <c r="K348" s="49"/>
      <c r="L348" s="49"/>
    </row>
    <row r="349">
      <c r="A349" s="49"/>
      <c r="B349" s="49"/>
      <c r="C349" s="49"/>
      <c r="D349" s="49"/>
      <c r="E349" s="49"/>
      <c r="F349" s="49"/>
      <c r="G349" s="49"/>
      <c r="H349" s="49"/>
      <c r="I349" s="49"/>
      <c r="J349" s="49"/>
      <c r="K349" s="49"/>
      <c r="L349" s="49"/>
    </row>
    <row r="350">
      <c r="A350" s="49"/>
      <c r="B350" s="49"/>
      <c r="C350" s="49"/>
      <c r="D350" s="49"/>
      <c r="E350" s="49"/>
      <c r="F350" s="49"/>
      <c r="G350" s="49"/>
      <c r="H350" s="49"/>
      <c r="I350" s="49"/>
      <c r="J350" s="49"/>
      <c r="K350" s="49"/>
      <c r="L350" s="49"/>
    </row>
    <row r="351">
      <c r="A351" s="49"/>
      <c r="B351" s="49"/>
      <c r="C351" s="49"/>
      <c r="D351" s="49"/>
      <c r="E351" s="49"/>
      <c r="F351" s="49"/>
      <c r="G351" s="49"/>
      <c r="H351" s="49"/>
      <c r="I351" s="49"/>
      <c r="J351" s="49"/>
      <c r="K351" s="49"/>
      <c r="L351" s="49"/>
    </row>
    <row r="352">
      <c r="A352" s="49"/>
      <c r="B352" s="49"/>
      <c r="C352" s="49"/>
      <c r="D352" s="49"/>
      <c r="E352" s="49"/>
      <c r="F352" s="49"/>
      <c r="G352" s="49"/>
      <c r="H352" s="49"/>
      <c r="I352" s="49"/>
      <c r="J352" s="49"/>
      <c r="K352" s="49"/>
      <c r="L352" s="49"/>
    </row>
    <row r="353">
      <c r="A353" s="49"/>
      <c r="B353" s="49"/>
      <c r="C353" s="49"/>
      <c r="D353" s="49"/>
      <c r="E353" s="49"/>
      <c r="F353" s="49"/>
      <c r="G353" s="49"/>
      <c r="H353" s="49"/>
      <c r="I353" s="49"/>
      <c r="J353" s="49"/>
      <c r="K353" s="49"/>
      <c r="L353" s="49"/>
    </row>
    <row r="354">
      <c r="A354" s="49"/>
      <c r="B354" s="49"/>
      <c r="C354" s="49"/>
      <c r="D354" s="49"/>
      <c r="E354" s="49"/>
      <c r="F354" s="49"/>
      <c r="G354" s="49"/>
      <c r="H354" s="49"/>
      <c r="I354" s="49"/>
      <c r="J354" s="49"/>
      <c r="K354" s="49"/>
      <c r="L354" s="49"/>
    </row>
    <row r="355">
      <c r="A355" s="49"/>
      <c r="B355" s="49"/>
      <c r="C355" s="49"/>
      <c r="D355" s="49"/>
      <c r="E355" s="49"/>
      <c r="F355" s="49"/>
      <c r="G355" s="49"/>
      <c r="H355" s="49"/>
      <c r="I355" s="49"/>
      <c r="J355" s="49"/>
      <c r="K355" s="49"/>
      <c r="L355" s="49"/>
    </row>
    <row r="356">
      <c r="A356" s="49"/>
      <c r="B356" s="49"/>
      <c r="C356" s="49"/>
      <c r="D356" s="49"/>
      <c r="E356" s="49"/>
      <c r="F356" s="49"/>
      <c r="G356" s="49"/>
      <c r="H356" s="49"/>
      <c r="I356" s="49"/>
      <c r="J356" s="49"/>
      <c r="K356" s="49"/>
      <c r="L356" s="49"/>
    </row>
    <row r="357">
      <c r="A357" s="49"/>
      <c r="B357" s="49"/>
      <c r="C357" s="49"/>
      <c r="D357" s="49"/>
      <c r="E357" s="49"/>
      <c r="F357" s="49"/>
      <c r="G357" s="49"/>
      <c r="H357" s="49"/>
      <c r="I357" s="49"/>
      <c r="J357" s="49"/>
      <c r="K357" s="49"/>
      <c r="L357" s="49"/>
    </row>
    <row r="358">
      <c r="A358" s="49"/>
      <c r="B358" s="49"/>
      <c r="C358" s="49"/>
      <c r="D358" s="49"/>
      <c r="E358" s="49"/>
      <c r="F358" s="49"/>
      <c r="G358" s="49"/>
      <c r="H358" s="49"/>
      <c r="I358" s="49"/>
      <c r="J358" s="49"/>
      <c r="K358" s="49"/>
      <c r="L358" s="49"/>
    </row>
    <row r="359">
      <c r="A359" s="49"/>
      <c r="B359" s="49"/>
      <c r="C359" s="49"/>
      <c r="D359" s="49"/>
      <c r="E359" s="49"/>
      <c r="F359" s="49"/>
      <c r="G359" s="49"/>
      <c r="H359" s="49"/>
      <c r="I359" s="49"/>
      <c r="J359" s="49"/>
      <c r="K359" s="49"/>
      <c r="L359" s="49"/>
    </row>
    <row r="360">
      <c r="A360" s="49"/>
      <c r="B360" s="49"/>
      <c r="C360" s="49"/>
      <c r="D360" s="49"/>
      <c r="E360" s="49"/>
      <c r="F360" s="49"/>
      <c r="G360" s="49"/>
      <c r="H360" s="49"/>
      <c r="I360" s="49"/>
      <c r="J360" s="49"/>
      <c r="K360" s="49"/>
      <c r="L360" s="49"/>
    </row>
    <row r="361">
      <c r="A361" s="49"/>
      <c r="B361" s="49"/>
      <c r="C361" s="49"/>
      <c r="D361" s="49"/>
      <c r="E361" s="49"/>
      <c r="F361" s="49"/>
      <c r="G361" s="49"/>
      <c r="H361" s="49"/>
      <c r="I361" s="49"/>
      <c r="J361" s="49"/>
      <c r="K361" s="49"/>
      <c r="L361" s="49"/>
    </row>
    <row r="362">
      <c r="A362" s="49"/>
      <c r="B362" s="49"/>
      <c r="C362" s="49"/>
      <c r="D362" s="49"/>
      <c r="E362" s="49"/>
      <c r="F362" s="49"/>
      <c r="G362" s="49"/>
      <c r="H362" s="49"/>
      <c r="I362" s="49"/>
      <c r="J362" s="49"/>
      <c r="K362" s="49"/>
      <c r="L362" s="49"/>
    </row>
    <row r="363">
      <c r="A363" s="49"/>
      <c r="B363" s="49"/>
      <c r="C363" s="49"/>
      <c r="D363" s="49"/>
      <c r="E363" s="49"/>
      <c r="F363" s="49"/>
      <c r="G363" s="49"/>
      <c r="H363" s="49"/>
      <c r="I363" s="49"/>
      <c r="J363" s="49"/>
      <c r="K363" s="49"/>
      <c r="L363" s="49"/>
    </row>
    <row r="364">
      <c r="A364" s="49"/>
      <c r="B364" s="49"/>
      <c r="C364" s="49"/>
      <c r="D364" s="49"/>
      <c r="E364" s="49"/>
      <c r="F364" s="49"/>
      <c r="G364" s="49"/>
      <c r="H364" s="49"/>
      <c r="I364" s="49"/>
      <c r="J364" s="49"/>
      <c r="K364" s="49"/>
      <c r="L364" s="49"/>
    </row>
    <row r="365">
      <c r="A365" s="49"/>
      <c r="B365" s="49"/>
      <c r="C365" s="49"/>
      <c r="D365" s="49"/>
      <c r="E365" s="49"/>
      <c r="F365" s="49"/>
      <c r="G365" s="49"/>
      <c r="H365" s="49"/>
      <c r="I365" s="49"/>
      <c r="J365" s="49"/>
      <c r="K365" s="49"/>
      <c r="L365" s="49"/>
    </row>
    <row r="366">
      <c r="A366" s="49"/>
      <c r="B366" s="49"/>
      <c r="C366" s="49"/>
      <c r="D366" s="49"/>
      <c r="E366" s="49"/>
      <c r="F366" s="49"/>
      <c r="G366" s="49"/>
      <c r="H366" s="49"/>
      <c r="I366" s="49"/>
      <c r="J366" s="49"/>
      <c r="K366" s="49"/>
      <c r="L366" s="49"/>
    </row>
    <row r="367">
      <c r="A367" s="49"/>
      <c r="B367" s="49"/>
      <c r="C367" s="49"/>
      <c r="D367" s="49"/>
      <c r="E367" s="49"/>
      <c r="F367" s="49"/>
      <c r="G367" s="49"/>
      <c r="H367" s="49"/>
      <c r="I367" s="49"/>
      <c r="J367" s="49"/>
      <c r="K367" s="49"/>
      <c r="L367" s="49"/>
    </row>
    <row r="368">
      <c r="A368" s="49"/>
      <c r="B368" s="49"/>
      <c r="C368" s="49"/>
      <c r="D368" s="49"/>
      <c r="E368" s="49"/>
      <c r="F368" s="49"/>
      <c r="G368" s="49"/>
      <c r="H368" s="49"/>
      <c r="I368" s="49"/>
      <c r="J368" s="49"/>
      <c r="K368" s="49"/>
      <c r="L368" s="49"/>
    </row>
    <row r="369">
      <c r="A369" s="49"/>
      <c r="B369" s="49"/>
      <c r="C369" s="49"/>
      <c r="D369" s="49"/>
      <c r="E369" s="49"/>
      <c r="F369" s="49"/>
      <c r="G369" s="49"/>
      <c r="H369" s="49"/>
      <c r="I369" s="49"/>
      <c r="J369" s="49"/>
      <c r="K369" s="49"/>
      <c r="L369" s="49"/>
    </row>
    <row r="370">
      <c r="A370" s="49"/>
      <c r="B370" s="49"/>
      <c r="C370" s="49"/>
      <c r="D370" s="49"/>
      <c r="E370" s="49"/>
      <c r="F370" s="49"/>
      <c r="G370" s="49"/>
      <c r="H370" s="49"/>
      <c r="I370" s="49"/>
      <c r="J370" s="49"/>
      <c r="K370" s="49"/>
      <c r="L370" s="49"/>
    </row>
    <row r="371">
      <c r="A371" s="49"/>
      <c r="B371" s="49"/>
      <c r="C371" s="49"/>
      <c r="D371" s="49"/>
      <c r="E371" s="49"/>
      <c r="F371" s="49"/>
      <c r="G371" s="49"/>
      <c r="H371" s="49"/>
      <c r="I371" s="49"/>
      <c r="J371" s="49"/>
      <c r="K371" s="49"/>
      <c r="L371" s="49"/>
    </row>
    <row r="372">
      <c r="A372" s="49"/>
      <c r="B372" s="49"/>
      <c r="C372" s="49"/>
      <c r="D372" s="49"/>
      <c r="E372" s="49"/>
      <c r="F372" s="49"/>
      <c r="G372" s="49"/>
      <c r="H372" s="49"/>
      <c r="I372" s="49"/>
      <c r="J372" s="49"/>
      <c r="K372" s="49"/>
      <c r="L372" s="49"/>
    </row>
    <row r="373">
      <c r="A373" s="49"/>
      <c r="B373" s="49"/>
      <c r="C373" s="49"/>
      <c r="D373" s="49"/>
      <c r="E373" s="49"/>
      <c r="F373" s="49"/>
      <c r="G373" s="49"/>
      <c r="H373" s="49"/>
      <c r="I373" s="49"/>
      <c r="J373" s="49"/>
      <c r="K373" s="49"/>
      <c r="L373" s="49"/>
    </row>
    <row r="374">
      <c r="A374" s="49"/>
      <c r="B374" s="49"/>
      <c r="C374" s="49"/>
      <c r="D374" s="49"/>
      <c r="E374" s="49"/>
      <c r="F374" s="49"/>
      <c r="G374" s="49"/>
      <c r="H374" s="49"/>
      <c r="I374" s="49"/>
      <c r="J374" s="49"/>
      <c r="K374" s="49"/>
      <c r="L374" s="49"/>
    </row>
    <row r="375">
      <c r="A375" s="49"/>
      <c r="B375" s="49"/>
      <c r="C375" s="49"/>
      <c r="D375" s="49"/>
      <c r="E375" s="49"/>
      <c r="F375" s="49"/>
      <c r="G375" s="49"/>
      <c r="H375" s="49"/>
      <c r="I375" s="49"/>
      <c r="J375" s="49"/>
      <c r="K375" s="49"/>
      <c r="L375" s="49"/>
    </row>
    <row r="376">
      <c r="A376" s="49"/>
      <c r="B376" s="49"/>
      <c r="C376" s="49"/>
      <c r="D376" s="49"/>
      <c r="E376" s="49"/>
      <c r="F376" s="49"/>
      <c r="G376" s="49"/>
      <c r="H376" s="49"/>
      <c r="I376" s="49"/>
      <c r="J376" s="49"/>
      <c r="K376" s="49"/>
      <c r="L376" s="49"/>
    </row>
    <row r="377">
      <c r="A377" s="49"/>
      <c r="B377" s="49"/>
      <c r="C377" s="49"/>
      <c r="D377" s="49"/>
      <c r="E377" s="49"/>
      <c r="F377" s="49"/>
      <c r="G377" s="49"/>
      <c r="H377" s="49"/>
      <c r="I377" s="49"/>
      <c r="J377" s="49"/>
      <c r="K377" s="49"/>
      <c r="L377" s="49"/>
    </row>
    <row r="378">
      <c r="A378" s="49"/>
      <c r="B378" s="49"/>
      <c r="C378" s="49"/>
      <c r="D378" s="49"/>
      <c r="E378" s="49"/>
      <c r="F378" s="49"/>
      <c r="G378" s="49"/>
      <c r="H378" s="49"/>
      <c r="I378" s="49"/>
      <c r="J378" s="49"/>
      <c r="K378" s="49"/>
      <c r="L378" s="49"/>
    </row>
    <row r="379">
      <c r="A379" s="49"/>
      <c r="B379" s="49"/>
      <c r="C379" s="49"/>
      <c r="D379" s="49"/>
      <c r="E379" s="49"/>
      <c r="F379" s="49"/>
      <c r="G379" s="49"/>
      <c r="H379" s="49"/>
      <c r="I379" s="49"/>
      <c r="J379" s="49"/>
      <c r="K379" s="49"/>
      <c r="L379" s="49"/>
    </row>
    <row r="380">
      <c r="A380" s="49"/>
      <c r="B380" s="49"/>
      <c r="C380" s="49"/>
      <c r="D380" s="49"/>
      <c r="E380" s="49"/>
      <c r="F380" s="49"/>
      <c r="G380" s="49"/>
      <c r="H380" s="49"/>
      <c r="I380" s="49"/>
      <c r="J380" s="49"/>
      <c r="K380" s="49"/>
      <c r="L380" s="49"/>
    </row>
    <row r="381">
      <c r="A381" s="49"/>
      <c r="B381" s="49"/>
      <c r="C381" s="49"/>
      <c r="D381" s="49"/>
      <c r="E381" s="49"/>
      <c r="F381" s="49"/>
      <c r="G381" s="49"/>
      <c r="H381" s="49"/>
      <c r="I381" s="49"/>
      <c r="J381" s="49"/>
      <c r="K381" s="49"/>
      <c r="L381" s="49"/>
    </row>
    <row r="382">
      <c r="A382" s="49"/>
      <c r="B382" s="49"/>
      <c r="C382" s="49"/>
      <c r="D382" s="49"/>
      <c r="E382" s="49"/>
      <c r="F382" s="49"/>
      <c r="G382" s="49"/>
      <c r="H382" s="49"/>
      <c r="I382" s="49"/>
      <c r="J382" s="49"/>
      <c r="K382" s="49"/>
      <c r="L382" s="49"/>
    </row>
    <row r="383">
      <c r="A383" s="49"/>
      <c r="B383" s="49"/>
      <c r="C383" s="49"/>
      <c r="D383" s="49"/>
      <c r="E383" s="49"/>
      <c r="F383" s="49"/>
      <c r="G383" s="49"/>
      <c r="H383" s="49"/>
      <c r="I383" s="49"/>
      <c r="J383" s="49"/>
      <c r="K383" s="49"/>
      <c r="L383" s="49"/>
    </row>
    <row r="384">
      <c r="A384" s="49"/>
      <c r="B384" s="49"/>
      <c r="C384" s="49"/>
      <c r="D384" s="49"/>
      <c r="E384" s="49"/>
      <c r="F384" s="49"/>
      <c r="G384" s="49"/>
      <c r="H384" s="49"/>
      <c r="I384" s="49"/>
      <c r="J384" s="49"/>
      <c r="K384" s="49"/>
      <c r="L384" s="49"/>
    </row>
    <row r="385">
      <c r="A385" s="49"/>
      <c r="B385" s="49"/>
      <c r="C385" s="49"/>
      <c r="D385" s="49"/>
      <c r="E385" s="49"/>
      <c r="F385" s="49"/>
      <c r="G385" s="49"/>
      <c r="H385" s="49"/>
      <c r="I385" s="49"/>
      <c r="J385" s="49"/>
      <c r="K385" s="49"/>
      <c r="L385" s="49"/>
    </row>
    <row r="386">
      <c r="A386" s="49"/>
      <c r="B386" s="49"/>
      <c r="C386" s="49"/>
      <c r="D386" s="49"/>
      <c r="E386" s="49"/>
      <c r="F386" s="49"/>
      <c r="G386" s="49"/>
      <c r="H386" s="49"/>
      <c r="I386" s="49"/>
      <c r="J386" s="49"/>
      <c r="K386" s="49"/>
      <c r="L386" s="49"/>
    </row>
    <row r="387">
      <c r="A387" s="49"/>
      <c r="B387" s="49"/>
      <c r="C387" s="49"/>
      <c r="D387" s="49"/>
      <c r="E387" s="49"/>
      <c r="F387" s="49"/>
      <c r="G387" s="49"/>
      <c r="H387" s="49"/>
      <c r="I387" s="49"/>
      <c r="J387" s="49"/>
      <c r="K387" s="49"/>
      <c r="L387" s="49"/>
    </row>
    <row r="388">
      <c r="A388" s="49"/>
      <c r="B388" s="49"/>
      <c r="C388" s="49"/>
      <c r="D388" s="49"/>
      <c r="E388" s="49"/>
      <c r="F388" s="49"/>
      <c r="G388" s="49"/>
      <c r="H388" s="49"/>
      <c r="I388" s="49"/>
      <c r="J388" s="49"/>
      <c r="K388" s="49"/>
      <c r="L388" s="49"/>
    </row>
    <row r="389">
      <c r="A389" s="49"/>
      <c r="B389" s="49"/>
      <c r="C389" s="49"/>
      <c r="D389" s="49"/>
      <c r="E389" s="49"/>
      <c r="F389" s="49"/>
      <c r="G389" s="49"/>
      <c r="H389" s="49"/>
      <c r="I389" s="49"/>
      <c r="J389" s="49"/>
      <c r="K389" s="49"/>
      <c r="L389" s="49"/>
    </row>
    <row r="390">
      <c r="A390" s="49"/>
      <c r="B390" s="49"/>
      <c r="C390" s="49"/>
      <c r="D390" s="49"/>
      <c r="E390" s="49"/>
      <c r="F390" s="49"/>
      <c r="G390" s="49"/>
      <c r="H390" s="49"/>
      <c r="I390" s="49"/>
      <c r="J390" s="49"/>
      <c r="K390" s="49"/>
      <c r="L390" s="49"/>
    </row>
    <row r="391">
      <c r="A391" s="49"/>
      <c r="B391" s="49"/>
      <c r="C391" s="49"/>
      <c r="D391" s="49"/>
      <c r="E391" s="49"/>
      <c r="F391" s="49"/>
      <c r="G391" s="49"/>
      <c r="H391" s="49"/>
      <c r="I391" s="49"/>
      <c r="J391" s="49"/>
      <c r="K391" s="49"/>
      <c r="L391" s="49"/>
    </row>
    <row r="392">
      <c r="A392" s="49"/>
      <c r="B392" s="49"/>
      <c r="C392" s="49"/>
      <c r="D392" s="49"/>
      <c r="E392" s="49"/>
      <c r="F392" s="49"/>
      <c r="G392" s="49"/>
      <c r="H392" s="49"/>
      <c r="I392" s="49"/>
      <c r="J392" s="49"/>
      <c r="K392" s="49"/>
      <c r="L392" s="49"/>
    </row>
    <row r="393">
      <c r="A393" s="49"/>
      <c r="B393" s="49"/>
      <c r="C393" s="49"/>
      <c r="D393" s="49"/>
      <c r="E393" s="49"/>
      <c r="F393" s="49"/>
      <c r="G393" s="49"/>
      <c r="H393" s="49"/>
      <c r="I393" s="49"/>
      <c r="J393" s="49"/>
      <c r="K393" s="49"/>
      <c r="L393" s="49"/>
    </row>
    <row r="394">
      <c r="A394" s="49"/>
      <c r="B394" s="49"/>
      <c r="C394" s="49"/>
      <c r="D394" s="49"/>
      <c r="E394" s="49"/>
      <c r="F394" s="49"/>
      <c r="G394" s="49"/>
      <c r="H394" s="49"/>
      <c r="I394" s="49"/>
      <c r="J394" s="49"/>
      <c r="K394" s="49"/>
      <c r="L394" s="49"/>
    </row>
    <row r="395">
      <c r="A395" s="49"/>
      <c r="B395" s="49"/>
      <c r="C395" s="49"/>
      <c r="D395" s="49"/>
      <c r="E395" s="49"/>
      <c r="F395" s="49"/>
      <c r="G395" s="49"/>
      <c r="H395" s="49"/>
      <c r="I395" s="49"/>
      <c r="J395" s="49"/>
      <c r="K395" s="49"/>
      <c r="L395" s="49"/>
    </row>
    <row r="396">
      <c r="A396" s="49"/>
      <c r="B396" s="49"/>
      <c r="C396" s="49"/>
      <c r="D396" s="49"/>
      <c r="E396" s="49"/>
      <c r="F396" s="49"/>
      <c r="G396" s="49"/>
      <c r="H396" s="49"/>
      <c r="I396" s="49"/>
      <c r="J396" s="49"/>
      <c r="K396" s="49"/>
      <c r="L396" s="49"/>
    </row>
    <row r="397">
      <c r="A397" s="49"/>
      <c r="B397" s="49"/>
      <c r="C397" s="49"/>
      <c r="D397" s="49"/>
      <c r="E397" s="49"/>
      <c r="F397" s="49"/>
      <c r="G397" s="49"/>
      <c r="H397" s="49"/>
      <c r="I397" s="49"/>
      <c r="J397" s="49"/>
      <c r="K397" s="49"/>
      <c r="L397" s="49"/>
    </row>
    <row r="398">
      <c r="A398" s="49"/>
      <c r="B398" s="49"/>
      <c r="C398" s="49"/>
      <c r="D398" s="49"/>
      <c r="E398" s="49"/>
      <c r="F398" s="49"/>
      <c r="G398" s="49"/>
      <c r="H398" s="49"/>
      <c r="I398" s="49"/>
      <c r="J398" s="49"/>
      <c r="K398" s="49"/>
      <c r="L398" s="49"/>
    </row>
    <row r="399">
      <c r="A399" s="49"/>
      <c r="B399" s="49"/>
      <c r="C399" s="49"/>
      <c r="D399" s="49"/>
      <c r="E399" s="49"/>
      <c r="F399" s="49"/>
      <c r="G399" s="49"/>
      <c r="H399" s="49"/>
      <c r="I399" s="49"/>
      <c r="J399" s="49"/>
      <c r="K399" s="49"/>
      <c r="L399" s="49"/>
    </row>
    <row r="400">
      <c r="A400" s="49"/>
      <c r="B400" s="49"/>
      <c r="C400" s="49"/>
      <c r="D400" s="49"/>
      <c r="E400" s="49"/>
      <c r="F400" s="49"/>
      <c r="G400" s="49"/>
      <c r="H400" s="49"/>
      <c r="I400" s="49"/>
      <c r="J400" s="49"/>
      <c r="K400" s="49"/>
      <c r="L400" s="49"/>
    </row>
    <row r="401">
      <c r="A401" s="49"/>
      <c r="B401" s="49"/>
      <c r="C401" s="49"/>
      <c r="D401" s="49"/>
      <c r="E401" s="49"/>
      <c r="F401" s="49"/>
      <c r="G401" s="49"/>
      <c r="H401" s="49"/>
      <c r="I401" s="49"/>
      <c r="J401" s="49"/>
      <c r="K401" s="49"/>
      <c r="L401" s="49"/>
    </row>
    <row r="402">
      <c r="A402" s="49"/>
      <c r="B402" s="49"/>
      <c r="C402" s="49"/>
      <c r="D402" s="49"/>
      <c r="E402" s="49"/>
      <c r="F402" s="49"/>
      <c r="G402" s="49"/>
      <c r="H402" s="49"/>
      <c r="I402" s="49"/>
      <c r="J402" s="49"/>
      <c r="K402" s="49"/>
      <c r="L402" s="49"/>
    </row>
    <row r="403">
      <c r="A403" s="49"/>
      <c r="B403" s="49"/>
      <c r="C403" s="49"/>
      <c r="D403" s="49"/>
      <c r="E403" s="49"/>
      <c r="F403" s="49"/>
      <c r="G403" s="49"/>
      <c r="H403" s="49"/>
      <c r="I403" s="49"/>
      <c r="J403" s="49"/>
      <c r="K403" s="49"/>
      <c r="L403" s="49"/>
    </row>
    <row r="404">
      <c r="A404" s="49"/>
      <c r="B404" s="49"/>
      <c r="C404" s="49"/>
      <c r="D404" s="49"/>
      <c r="E404" s="49"/>
      <c r="F404" s="49"/>
      <c r="G404" s="49"/>
      <c r="H404" s="49"/>
      <c r="I404" s="49"/>
      <c r="J404" s="49"/>
      <c r="K404" s="49"/>
      <c r="L404" s="49"/>
    </row>
    <row r="405">
      <c r="A405" s="49"/>
      <c r="B405" s="49"/>
      <c r="C405" s="49"/>
      <c r="D405" s="49"/>
      <c r="E405" s="49"/>
      <c r="F405" s="49"/>
      <c r="G405" s="49"/>
      <c r="H405" s="49"/>
      <c r="I405" s="49"/>
      <c r="J405" s="49"/>
      <c r="K405" s="49"/>
      <c r="L405" s="49"/>
    </row>
    <row r="406">
      <c r="A406" s="49"/>
      <c r="B406" s="49"/>
      <c r="C406" s="49"/>
      <c r="D406" s="49"/>
      <c r="E406" s="49"/>
      <c r="F406" s="49"/>
      <c r="G406" s="49"/>
      <c r="H406" s="49"/>
      <c r="I406" s="49"/>
      <c r="J406" s="49"/>
      <c r="K406" s="49"/>
      <c r="L406" s="49"/>
    </row>
    <row r="407">
      <c r="A407" s="49"/>
      <c r="B407" s="49"/>
      <c r="C407" s="49"/>
      <c r="D407" s="49"/>
      <c r="E407" s="49"/>
      <c r="F407" s="49"/>
      <c r="G407" s="49"/>
      <c r="H407" s="49"/>
      <c r="I407" s="49"/>
      <c r="J407" s="49"/>
      <c r="K407" s="49"/>
      <c r="L407" s="49"/>
    </row>
    <row r="408">
      <c r="A408" s="49"/>
      <c r="B408" s="49"/>
      <c r="C408" s="49"/>
      <c r="D408" s="49"/>
      <c r="E408" s="49"/>
      <c r="F408" s="49"/>
      <c r="G408" s="49"/>
      <c r="H408" s="49"/>
      <c r="I408" s="49"/>
      <c r="J408" s="49"/>
      <c r="K408" s="49"/>
      <c r="L408" s="49"/>
    </row>
    <row r="409">
      <c r="A409" s="49"/>
      <c r="B409" s="49"/>
      <c r="C409" s="49"/>
      <c r="D409" s="49"/>
      <c r="E409" s="49"/>
      <c r="F409" s="49"/>
      <c r="G409" s="49"/>
      <c r="H409" s="49"/>
      <c r="I409" s="49"/>
      <c r="J409" s="49"/>
      <c r="K409" s="49"/>
      <c r="L409" s="49"/>
    </row>
    <row r="410">
      <c r="A410" s="49"/>
      <c r="B410" s="49"/>
      <c r="C410" s="49"/>
      <c r="D410" s="49"/>
      <c r="E410" s="49"/>
      <c r="F410" s="49"/>
      <c r="G410" s="49"/>
      <c r="H410" s="49"/>
      <c r="I410" s="49"/>
      <c r="J410" s="49"/>
      <c r="K410" s="49"/>
      <c r="L410" s="49"/>
    </row>
    <row r="411">
      <c r="A411" s="49"/>
      <c r="B411" s="49"/>
      <c r="C411" s="49"/>
      <c r="D411" s="49"/>
      <c r="E411" s="49"/>
      <c r="F411" s="49"/>
      <c r="G411" s="49"/>
      <c r="H411" s="49"/>
      <c r="I411" s="49"/>
      <c r="J411" s="49"/>
      <c r="K411" s="49"/>
      <c r="L411" s="49"/>
    </row>
    <row r="412">
      <c r="A412" s="49"/>
      <c r="B412" s="49"/>
      <c r="C412" s="49"/>
      <c r="D412" s="49"/>
      <c r="E412" s="49"/>
      <c r="F412" s="49"/>
      <c r="G412" s="49"/>
      <c r="H412" s="49"/>
      <c r="I412" s="49"/>
      <c r="J412" s="49"/>
      <c r="K412" s="49"/>
      <c r="L412" s="49"/>
    </row>
    <row r="413">
      <c r="A413" s="49"/>
      <c r="B413" s="49"/>
      <c r="C413" s="49"/>
      <c r="D413" s="49"/>
      <c r="E413" s="49"/>
      <c r="F413" s="49"/>
      <c r="G413" s="49"/>
      <c r="H413" s="49"/>
      <c r="I413" s="49"/>
      <c r="J413" s="49"/>
      <c r="K413" s="49"/>
      <c r="L413" s="49"/>
    </row>
    <row r="414">
      <c r="A414" s="49"/>
      <c r="B414" s="49"/>
      <c r="C414" s="49"/>
      <c r="D414" s="49"/>
      <c r="E414" s="49"/>
      <c r="F414" s="49"/>
      <c r="G414" s="49"/>
      <c r="H414" s="49"/>
      <c r="I414" s="49"/>
      <c r="J414" s="49"/>
      <c r="K414" s="49"/>
      <c r="L414" s="49"/>
    </row>
    <row r="415">
      <c r="A415" s="49"/>
      <c r="B415" s="49"/>
      <c r="C415" s="49"/>
      <c r="D415" s="49"/>
      <c r="E415" s="49"/>
      <c r="F415" s="49"/>
      <c r="G415" s="49"/>
      <c r="H415" s="49"/>
      <c r="I415" s="49"/>
      <c r="J415" s="49"/>
      <c r="K415" s="49"/>
      <c r="L415" s="49"/>
    </row>
    <row r="416">
      <c r="A416" s="49"/>
      <c r="B416" s="49"/>
      <c r="C416" s="49"/>
      <c r="D416" s="49"/>
      <c r="E416" s="49"/>
      <c r="F416" s="49"/>
      <c r="G416" s="49"/>
      <c r="H416" s="49"/>
      <c r="I416" s="49"/>
      <c r="J416" s="49"/>
      <c r="K416" s="49"/>
      <c r="L416" s="49"/>
    </row>
    <row r="417">
      <c r="A417" s="49"/>
      <c r="B417" s="49"/>
      <c r="C417" s="49"/>
      <c r="D417" s="49"/>
      <c r="E417" s="49"/>
      <c r="F417" s="49"/>
      <c r="G417" s="49"/>
      <c r="H417" s="49"/>
      <c r="I417" s="49"/>
      <c r="J417" s="49"/>
      <c r="K417" s="49"/>
      <c r="L417" s="49"/>
    </row>
    <row r="418">
      <c r="A418" s="49"/>
      <c r="B418" s="49"/>
      <c r="C418" s="49"/>
      <c r="D418" s="49"/>
      <c r="E418" s="49"/>
      <c r="F418" s="49"/>
      <c r="G418" s="49"/>
      <c r="H418" s="49"/>
      <c r="I418" s="49"/>
      <c r="J418" s="49"/>
      <c r="K418" s="49"/>
      <c r="L418" s="49"/>
    </row>
    <row r="419">
      <c r="A419" s="49"/>
      <c r="B419" s="49"/>
      <c r="C419" s="49"/>
      <c r="D419" s="49"/>
      <c r="E419" s="49"/>
      <c r="F419" s="49"/>
      <c r="G419" s="49"/>
      <c r="H419" s="49"/>
      <c r="I419" s="49"/>
      <c r="J419" s="49"/>
      <c r="K419" s="49"/>
      <c r="L419" s="49"/>
    </row>
    <row r="420">
      <c r="A420" s="49"/>
      <c r="B420" s="49"/>
      <c r="C420" s="49"/>
      <c r="D420" s="49"/>
      <c r="E420" s="49"/>
      <c r="F420" s="49"/>
      <c r="G420" s="49"/>
      <c r="H420" s="49"/>
      <c r="I420" s="49"/>
      <c r="J420" s="49"/>
      <c r="K420" s="49"/>
      <c r="L420" s="49"/>
    </row>
    <row r="421">
      <c r="A421" s="49"/>
      <c r="B421" s="49"/>
      <c r="C421" s="49"/>
      <c r="D421" s="49"/>
      <c r="E421" s="49"/>
      <c r="F421" s="49"/>
      <c r="G421" s="49"/>
      <c r="H421" s="49"/>
      <c r="I421" s="49"/>
      <c r="J421" s="49"/>
      <c r="K421" s="49"/>
      <c r="L421" s="49"/>
    </row>
    <row r="422">
      <c r="A422" s="49"/>
      <c r="B422" s="49"/>
      <c r="C422" s="49"/>
      <c r="D422" s="49"/>
      <c r="E422" s="49"/>
      <c r="F422" s="49"/>
      <c r="G422" s="49"/>
      <c r="H422" s="49"/>
      <c r="I422" s="49"/>
      <c r="J422" s="49"/>
      <c r="K422" s="49"/>
      <c r="L422" s="49"/>
    </row>
    <row r="423">
      <c r="A423" s="49"/>
      <c r="B423" s="49"/>
      <c r="C423" s="49"/>
      <c r="D423" s="49"/>
      <c r="E423" s="49"/>
      <c r="F423" s="49"/>
      <c r="G423" s="49"/>
      <c r="H423" s="49"/>
      <c r="I423" s="49"/>
      <c r="J423" s="49"/>
      <c r="K423" s="49"/>
      <c r="L423" s="49"/>
    </row>
    <row r="424">
      <c r="A424" s="49"/>
      <c r="B424" s="49"/>
      <c r="C424" s="49"/>
      <c r="D424" s="49"/>
      <c r="E424" s="49"/>
      <c r="F424" s="49"/>
      <c r="G424" s="49"/>
      <c r="H424" s="49"/>
      <c r="I424" s="49"/>
      <c r="J424" s="49"/>
      <c r="K424" s="49"/>
      <c r="L424" s="49"/>
    </row>
    <row r="425">
      <c r="A425" s="49"/>
      <c r="B425" s="49"/>
      <c r="C425" s="49"/>
      <c r="D425" s="49"/>
      <c r="E425" s="49"/>
      <c r="F425" s="49"/>
      <c r="G425" s="49"/>
      <c r="H425" s="49"/>
      <c r="I425" s="49"/>
      <c r="J425" s="49"/>
      <c r="K425" s="49"/>
      <c r="L425" s="49"/>
    </row>
    <row r="426">
      <c r="A426" s="49"/>
      <c r="B426" s="49"/>
      <c r="C426" s="49"/>
      <c r="D426" s="49"/>
      <c r="E426" s="49"/>
      <c r="F426" s="49"/>
      <c r="G426" s="49"/>
      <c r="H426" s="49"/>
      <c r="I426" s="49"/>
      <c r="J426" s="49"/>
      <c r="K426" s="49"/>
      <c r="L426" s="49"/>
    </row>
    <row r="427">
      <c r="A427" s="49"/>
      <c r="B427" s="49"/>
      <c r="C427" s="49"/>
      <c r="D427" s="49"/>
      <c r="E427" s="49"/>
      <c r="F427" s="49"/>
      <c r="G427" s="49"/>
      <c r="H427" s="49"/>
      <c r="I427" s="49"/>
      <c r="J427" s="49"/>
      <c r="K427" s="49"/>
      <c r="L427" s="49"/>
    </row>
    <row r="428">
      <c r="A428" s="49"/>
      <c r="B428" s="49"/>
      <c r="C428" s="49"/>
      <c r="D428" s="49"/>
      <c r="E428" s="49"/>
      <c r="F428" s="49"/>
      <c r="G428" s="49"/>
      <c r="H428" s="49"/>
      <c r="I428" s="49"/>
      <c r="J428" s="49"/>
      <c r="K428" s="49"/>
      <c r="L428" s="49"/>
    </row>
    <row r="429">
      <c r="A429" s="49"/>
      <c r="B429" s="49"/>
      <c r="C429" s="49"/>
      <c r="D429" s="49"/>
      <c r="E429" s="49"/>
      <c r="F429" s="49"/>
      <c r="G429" s="49"/>
      <c r="H429" s="49"/>
      <c r="I429" s="49"/>
      <c r="J429" s="49"/>
      <c r="K429" s="49"/>
      <c r="L429" s="49"/>
    </row>
    <row r="430">
      <c r="A430" s="49"/>
      <c r="B430" s="49"/>
      <c r="C430" s="49"/>
      <c r="D430" s="49"/>
      <c r="E430" s="49"/>
      <c r="F430" s="49"/>
      <c r="G430" s="49"/>
      <c r="H430" s="49"/>
      <c r="I430" s="49"/>
      <c r="J430" s="49"/>
      <c r="K430" s="49"/>
      <c r="L430" s="49"/>
    </row>
    <row r="431">
      <c r="A431" s="49"/>
      <c r="B431" s="49"/>
      <c r="C431" s="49"/>
      <c r="D431" s="49"/>
      <c r="E431" s="49"/>
      <c r="F431" s="49"/>
      <c r="G431" s="49"/>
      <c r="H431" s="49"/>
      <c r="I431" s="49"/>
      <c r="J431" s="49"/>
      <c r="K431" s="49"/>
      <c r="L431" s="49"/>
    </row>
    <row r="432">
      <c r="A432" s="49"/>
      <c r="B432" s="49"/>
      <c r="C432" s="49"/>
      <c r="D432" s="49"/>
      <c r="E432" s="49"/>
      <c r="F432" s="49"/>
      <c r="G432" s="49"/>
      <c r="H432" s="49"/>
      <c r="I432" s="49"/>
      <c r="J432" s="49"/>
      <c r="K432" s="49"/>
      <c r="L432" s="49"/>
    </row>
    <row r="433">
      <c r="A433" s="49"/>
      <c r="B433" s="49"/>
      <c r="C433" s="49"/>
      <c r="D433" s="49"/>
      <c r="E433" s="49"/>
      <c r="F433" s="49"/>
      <c r="G433" s="49"/>
      <c r="H433" s="49"/>
      <c r="I433" s="49"/>
      <c r="J433" s="49"/>
      <c r="K433" s="49"/>
      <c r="L433" s="49"/>
    </row>
    <row r="434">
      <c r="A434" s="49"/>
      <c r="B434" s="49"/>
      <c r="C434" s="49"/>
      <c r="D434" s="49"/>
      <c r="E434" s="49"/>
      <c r="F434" s="49"/>
      <c r="G434" s="49"/>
      <c r="H434" s="49"/>
      <c r="I434" s="49"/>
      <c r="J434" s="49"/>
      <c r="K434" s="49"/>
      <c r="L434" s="49"/>
    </row>
    <row r="435">
      <c r="A435" s="49"/>
      <c r="B435" s="49"/>
      <c r="C435" s="49"/>
      <c r="D435" s="49"/>
      <c r="E435" s="49"/>
      <c r="F435" s="49"/>
      <c r="G435" s="49"/>
      <c r="H435" s="49"/>
      <c r="I435" s="49"/>
      <c r="J435" s="49"/>
      <c r="K435" s="49"/>
      <c r="L435" s="49"/>
    </row>
    <row r="436">
      <c r="A436" s="49"/>
      <c r="B436" s="49"/>
      <c r="C436" s="49"/>
      <c r="D436" s="49"/>
      <c r="E436" s="49"/>
      <c r="F436" s="49"/>
      <c r="G436" s="49"/>
      <c r="H436" s="49"/>
      <c r="I436" s="49"/>
      <c r="J436" s="49"/>
      <c r="K436" s="49"/>
      <c r="L436" s="49"/>
    </row>
    <row r="437">
      <c r="A437" s="49"/>
      <c r="B437" s="49"/>
      <c r="C437" s="49"/>
      <c r="D437" s="49"/>
      <c r="E437" s="49"/>
      <c r="F437" s="49"/>
      <c r="G437" s="49"/>
      <c r="H437" s="49"/>
      <c r="I437" s="49"/>
      <c r="J437" s="49"/>
      <c r="K437" s="49"/>
      <c r="L437" s="49"/>
    </row>
    <row r="438">
      <c r="A438" s="49"/>
      <c r="B438" s="49"/>
      <c r="C438" s="49"/>
      <c r="D438" s="49"/>
      <c r="E438" s="49"/>
      <c r="F438" s="49"/>
      <c r="G438" s="49"/>
      <c r="H438" s="49"/>
      <c r="I438" s="49"/>
      <c r="J438" s="49"/>
      <c r="K438" s="49"/>
      <c r="L438" s="49"/>
    </row>
    <row r="439">
      <c r="A439" s="49"/>
      <c r="B439" s="49"/>
      <c r="C439" s="49"/>
      <c r="D439" s="49"/>
      <c r="E439" s="49"/>
      <c r="F439" s="49"/>
      <c r="G439" s="49"/>
      <c r="H439" s="49"/>
      <c r="I439" s="49"/>
      <c r="J439" s="49"/>
      <c r="K439" s="49"/>
      <c r="L439" s="49"/>
    </row>
    <row r="440">
      <c r="A440" s="49"/>
      <c r="B440" s="49"/>
      <c r="C440" s="49"/>
      <c r="D440" s="49"/>
      <c r="E440" s="49"/>
      <c r="F440" s="49"/>
      <c r="G440" s="49"/>
      <c r="H440" s="49"/>
      <c r="I440" s="49"/>
      <c r="J440" s="49"/>
      <c r="K440" s="49"/>
      <c r="L440" s="49"/>
    </row>
    <row r="441">
      <c r="A441" s="49"/>
      <c r="B441" s="49"/>
      <c r="C441" s="49"/>
      <c r="D441" s="49"/>
      <c r="E441" s="49"/>
      <c r="F441" s="49"/>
      <c r="G441" s="49"/>
      <c r="H441" s="49"/>
      <c r="I441" s="49"/>
      <c r="J441" s="49"/>
      <c r="K441" s="49"/>
      <c r="L441" s="49"/>
    </row>
    <row r="442">
      <c r="A442" s="49"/>
      <c r="B442" s="49"/>
      <c r="C442" s="49"/>
      <c r="D442" s="49"/>
      <c r="E442" s="49"/>
      <c r="F442" s="49"/>
      <c r="G442" s="49"/>
      <c r="H442" s="49"/>
      <c r="I442" s="49"/>
      <c r="J442" s="49"/>
      <c r="K442" s="49"/>
      <c r="L442" s="49"/>
    </row>
    <row r="443">
      <c r="A443" s="49"/>
      <c r="B443" s="49"/>
      <c r="C443" s="49"/>
      <c r="D443" s="49"/>
      <c r="E443" s="49"/>
      <c r="F443" s="49"/>
      <c r="G443" s="49"/>
      <c r="H443" s="49"/>
      <c r="I443" s="49"/>
      <c r="J443" s="49"/>
      <c r="K443" s="49"/>
      <c r="L443" s="49"/>
    </row>
    <row r="444">
      <c r="A444" s="49"/>
      <c r="B444" s="49"/>
      <c r="C444" s="49"/>
      <c r="D444" s="49"/>
      <c r="E444" s="49"/>
      <c r="F444" s="49"/>
      <c r="G444" s="49"/>
      <c r="H444" s="49"/>
      <c r="I444" s="49"/>
      <c r="J444" s="49"/>
      <c r="K444" s="49"/>
      <c r="L444" s="49"/>
    </row>
    <row r="445">
      <c r="A445" s="49"/>
      <c r="B445" s="49"/>
      <c r="C445" s="49"/>
      <c r="D445" s="49"/>
      <c r="E445" s="49"/>
      <c r="F445" s="49"/>
      <c r="G445" s="49"/>
      <c r="H445" s="49"/>
      <c r="I445" s="49"/>
      <c r="J445" s="49"/>
      <c r="K445" s="49"/>
      <c r="L445" s="49"/>
    </row>
    <row r="446">
      <c r="A446" s="49"/>
      <c r="B446" s="49"/>
      <c r="C446" s="49"/>
      <c r="D446" s="49"/>
      <c r="E446" s="49"/>
      <c r="F446" s="49"/>
      <c r="G446" s="49"/>
      <c r="H446" s="49"/>
      <c r="I446" s="49"/>
      <c r="J446" s="49"/>
      <c r="K446" s="49"/>
      <c r="L446" s="49"/>
    </row>
    <row r="447">
      <c r="A447" s="49"/>
      <c r="B447" s="49"/>
      <c r="C447" s="49"/>
      <c r="D447" s="49"/>
      <c r="E447" s="49"/>
      <c r="F447" s="49"/>
      <c r="G447" s="49"/>
      <c r="H447" s="49"/>
      <c r="I447" s="49"/>
      <c r="J447" s="49"/>
      <c r="K447" s="49"/>
      <c r="L447" s="49"/>
    </row>
    <row r="448">
      <c r="A448" s="49"/>
      <c r="B448" s="49"/>
      <c r="C448" s="49"/>
      <c r="D448" s="49"/>
      <c r="E448" s="49"/>
      <c r="F448" s="49"/>
      <c r="G448" s="49"/>
      <c r="H448" s="49"/>
      <c r="I448" s="49"/>
      <c r="J448" s="49"/>
      <c r="K448" s="49"/>
      <c r="L448" s="49"/>
    </row>
    <row r="449">
      <c r="A449" s="49"/>
      <c r="B449" s="49"/>
      <c r="C449" s="49"/>
      <c r="D449" s="49"/>
      <c r="E449" s="49"/>
      <c r="F449" s="49"/>
      <c r="G449" s="49"/>
      <c r="H449" s="49"/>
      <c r="I449" s="49"/>
      <c r="J449" s="49"/>
      <c r="K449" s="49"/>
      <c r="L449" s="49"/>
    </row>
    <row r="450">
      <c r="A450" s="49"/>
      <c r="B450" s="49"/>
      <c r="C450" s="49"/>
      <c r="D450" s="49"/>
      <c r="E450" s="49"/>
      <c r="F450" s="49"/>
      <c r="G450" s="49"/>
      <c r="H450" s="49"/>
      <c r="I450" s="49"/>
      <c r="J450" s="49"/>
      <c r="K450" s="49"/>
      <c r="L450" s="49"/>
    </row>
    <row r="451">
      <c r="A451" s="49"/>
      <c r="B451" s="49"/>
      <c r="C451" s="49"/>
      <c r="D451" s="49"/>
      <c r="E451" s="49"/>
      <c r="F451" s="49"/>
      <c r="G451" s="49"/>
      <c r="H451" s="49"/>
      <c r="I451" s="49"/>
      <c r="J451" s="49"/>
      <c r="K451" s="49"/>
      <c r="L451" s="49"/>
    </row>
    <row r="452">
      <c r="A452" s="49"/>
      <c r="B452" s="49"/>
      <c r="C452" s="49"/>
      <c r="D452" s="49"/>
      <c r="E452" s="49"/>
      <c r="F452" s="49"/>
      <c r="G452" s="49"/>
      <c r="H452" s="49"/>
      <c r="I452" s="49"/>
      <c r="J452" s="49"/>
      <c r="K452" s="49"/>
      <c r="L452" s="49"/>
    </row>
    <row r="453">
      <c r="A453" s="49"/>
      <c r="B453" s="49"/>
      <c r="C453" s="49"/>
      <c r="D453" s="49"/>
      <c r="E453" s="49"/>
      <c r="F453" s="49"/>
      <c r="G453" s="49"/>
      <c r="H453" s="49"/>
      <c r="I453" s="49"/>
      <c r="J453" s="49"/>
      <c r="K453" s="49"/>
      <c r="L453" s="49"/>
    </row>
    <row r="454">
      <c r="A454" s="49"/>
      <c r="B454" s="49"/>
      <c r="C454" s="49"/>
      <c r="D454" s="49"/>
      <c r="E454" s="49"/>
      <c r="F454" s="49"/>
      <c r="G454" s="49"/>
      <c r="H454" s="49"/>
      <c r="I454" s="49"/>
      <c r="J454" s="49"/>
      <c r="K454" s="49"/>
      <c r="L454" s="49"/>
    </row>
    <row r="455">
      <c r="A455" s="49"/>
      <c r="B455" s="49"/>
      <c r="C455" s="49"/>
      <c r="D455" s="49"/>
      <c r="E455" s="49"/>
      <c r="F455" s="49"/>
      <c r="G455" s="49"/>
      <c r="H455" s="49"/>
      <c r="I455" s="49"/>
      <c r="J455" s="49"/>
      <c r="K455" s="49"/>
      <c r="L455" s="49"/>
    </row>
    <row r="456">
      <c r="A456" s="49"/>
      <c r="B456" s="49"/>
      <c r="C456" s="49"/>
      <c r="D456" s="49"/>
      <c r="E456" s="49"/>
      <c r="F456" s="49"/>
      <c r="G456" s="49"/>
      <c r="H456" s="49"/>
      <c r="I456" s="49"/>
      <c r="J456" s="49"/>
      <c r="K456" s="49"/>
      <c r="L456" s="49"/>
    </row>
    <row r="457">
      <c r="A457" s="49"/>
      <c r="B457" s="49"/>
      <c r="C457" s="49"/>
      <c r="D457" s="49"/>
      <c r="E457" s="49"/>
      <c r="F457" s="49"/>
      <c r="G457" s="49"/>
      <c r="H457" s="49"/>
      <c r="I457" s="49"/>
      <c r="J457" s="49"/>
      <c r="K457" s="49"/>
      <c r="L457" s="49"/>
    </row>
    <row r="458">
      <c r="A458" s="49"/>
      <c r="B458" s="49"/>
      <c r="C458" s="49"/>
      <c r="D458" s="49"/>
      <c r="E458" s="49"/>
      <c r="F458" s="49"/>
      <c r="G458" s="49"/>
      <c r="H458" s="49"/>
      <c r="I458" s="49"/>
      <c r="J458" s="49"/>
      <c r="K458" s="49"/>
      <c r="L458" s="49"/>
    </row>
    <row r="459">
      <c r="A459" s="49"/>
      <c r="B459" s="49"/>
      <c r="C459" s="49"/>
      <c r="D459" s="49"/>
      <c r="E459" s="49"/>
      <c r="F459" s="49"/>
      <c r="G459" s="49"/>
      <c r="H459" s="49"/>
      <c r="I459" s="49"/>
      <c r="J459" s="49"/>
      <c r="K459" s="49"/>
      <c r="L459" s="49"/>
    </row>
    <row r="460">
      <c r="A460" s="49"/>
      <c r="B460" s="49"/>
      <c r="C460" s="49"/>
      <c r="D460" s="49"/>
      <c r="E460" s="49"/>
      <c r="F460" s="49"/>
      <c r="G460" s="49"/>
      <c r="H460" s="49"/>
      <c r="I460" s="49"/>
      <c r="J460" s="49"/>
      <c r="K460" s="49"/>
      <c r="L460" s="49"/>
    </row>
    <row r="461">
      <c r="A461" s="49"/>
      <c r="B461" s="49"/>
      <c r="C461" s="49"/>
      <c r="D461" s="49"/>
      <c r="E461" s="49"/>
      <c r="F461" s="49"/>
      <c r="G461" s="49"/>
      <c r="H461" s="49"/>
      <c r="I461" s="49"/>
      <c r="J461" s="49"/>
      <c r="K461" s="49"/>
      <c r="L461" s="49"/>
    </row>
    <row r="462">
      <c r="A462" s="49"/>
      <c r="B462" s="49"/>
      <c r="C462" s="49"/>
      <c r="D462" s="49"/>
      <c r="E462" s="49"/>
      <c r="F462" s="49"/>
      <c r="G462" s="49"/>
      <c r="H462" s="49"/>
      <c r="I462" s="49"/>
      <c r="J462" s="49"/>
      <c r="K462" s="49"/>
      <c r="L462" s="49"/>
    </row>
    <row r="463">
      <c r="A463" s="49"/>
      <c r="B463" s="49"/>
      <c r="C463" s="49"/>
      <c r="D463" s="49"/>
      <c r="E463" s="49"/>
      <c r="F463" s="49"/>
      <c r="G463" s="49"/>
      <c r="H463" s="49"/>
      <c r="I463" s="49"/>
      <c r="J463" s="49"/>
      <c r="K463" s="49"/>
      <c r="L463" s="49"/>
    </row>
    <row r="464">
      <c r="A464" s="49"/>
      <c r="B464" s="49"/>
      <c r="C464" s="49"/>
      <c r="D464" s="49"/>
      <c r="E464" s="49"/>
      <c r="F464" s="49"/>
      <c r="G464" s="49"/>
      <c r="H464" s="49"/>
      <c r="I464" s="49"/>
      <c r="J464" s="49"/>
      <c r="K464" s="49"/>
      <c r="L464" s="49"/>
    </row>
    <row r="465">
      <c r="A465" s="49"/>
      <c r="B465" s="49"/>
      <c r="C465" s="49"/>
      <c r="D465" s="49"/>
      <c r="E465" s="49"/>
      <c r="F465" s="49"/>
      <c r="G465" s="49"/>
      <c r="H465" s="49"/>
      <c r="I465" s="49"/>
      <c r="J465" s="49"/>
      <c r="K465" s="49"/>
      <c r="L465" s="49"/>
    </row>
    <row r="466">
      <c r="A466" s="49"/>
      <c r="B466" s="49"/>
      <c r="C466" s="49"/>
      <c r="D466" s="49"/>
      <c r="E466" s="49"/>
      <c r="F466" s="49"/>
      <c r="G466" s="49"/>
      <c r="H466" s="49"/>
      <c r="I466" s="49"/>
      <c r="J466" s="49"/>
      <c r="K466" s="49"/>
      <c r="L466" s="49"/>
    </row>
    <row r="467">
      <c r="A467" s="49"/>
      <c r="B467" s="49"/>
      <c r="C467" s="49"/>
      <c r="D467" s="49"/>
      <c r="E467" s="49"/>
      <c r="F467" s="49"/>
      <c r="G467" s="49"/>
      <c r="H467" s="49"/>
      <c r="I467" s="49"/>
      <c r="J467" s="49"/>
      <c r="K467" s="49"/>
      <c r="L467" s="49"/>
    </row>
    <row r="468">
      <c r="A468" s="49"/>
      <c r="B468" s="49"/>
      <c r="C468" s="49"/>
      <c r="D468" s="49"/>
      <c r="E468" s="49"/>
      <c r="F468" s="49"/>
      <c r="G468" s="49"/>
      <c r="H468" s="49"/>
      <c r="I468" s="49"/>
      <c r="J468" s="49"/>
      <c r="K468" s="49"/>
      <c r="L468" s="49"/>
    </row>
    <row r="469">
      <c r="A469" s="49"/>
      <c r="B469" s="49"/>
      <c r="C469" s="49"/>
      <c r="D469" s="49"/>
      <c r="E469" s="49"/>
      <c r="F469" s="49"/>
      <c r="G469" s="49"/>
      <c r="H469" s="49"/>
      <c r="I469" s="49"/>
      <c r="J469" s="49"/>
      <c r="K469" s="49"/>
      <c r="L469" s="49"/>
    </row>
    <row r="470">
      <c r="A470" s="49"/>
      <c r="B470" s="49"/>
      <c r="C470" s="49"/>
      <c r="D470" s="49"/>
      <c r="E470" s="49"/>
      <c r="F470" s="49"/>
      <c r="G470" s="49"/>
      <c r="H470" s="49"/>
      <c r="I470" s="49"/>
      <c r="J470" s="49"/>
      <c r="K470" s="49"/>
      <c r="L470" s="49"/>
    </row>
    <row r="471">
      <c r="A471" s="49"/>
      <c r="B471" s="49"/>
      <c r="C471" s="49"/>
      <c r="D471" s="49"/>
      <c r="E471" s="49"/>
      <c r="F471" s="49"/>
      <c r="G471" s="49"/>
      <c r="H471" s="49"/>
      <c r="I471" s="49"/>
      <c r="J471" s="49"/>
      <c r="K471" s="49"/>
      <c r="L471" s="49"/>
    </row>
    <row r="472">
      <c r="A472" s="49"/>
      <c r="B472" s="49"/>
      <c r="C472" s="49"/>
      <c r="D472" s="49"/>
      <c r="E472" s="49"/>
      <c r="F472" s="49"/>
      <c r="G472" s="49"/>
      <c r="H472" s="49"/>
      <c r="I472" s="49"/>
      <c r="J472" s="49"/>
      <c r="K472" s="49"/>
      <c r="L472" s="49"/>
    </row>
    <row r="473">
      <c r="A473" s="49"/>
      <c r="B473" s="49"/>
      <c r="C473" s="49"/>
      <c r="D473" s="49"/>
      <c r="E473" s="49"/>
      <c r="F473" s="49"/>
      <c r="G473" s="49"/>
      <c r="H473" s="49"/>
      <c r="I473" s="49"/>
      <c r="J473" s="49"/>
      <c r="K473" s="49"/>
      <c r="L473" s="49"/>
    </row>
    <row r="474">
      <c r="A474" s="49"/>
      <c r="B474" s="49"/>
      <c r="C474" s="49"/>
      <c r="D474" s="49"/>
      <c r="E474" s="49"/>
      <c r="F474" s="49"/>
      <c r="G474" s="49"/>
      <c r="H474" s="49"/>
      <c r="I474" s="49"/>
      <c r="J474" s="49"/>
      <c r="K474" s="49"/>
      <c r="L474" s="49"/>
    </row>
    <row r="475">
      <c r="A475" s="49"/>
      <c r="B475" s="49"/>
      <c r="C475" s="49"/>
      <c r="D475" s="49"/>
      <c r="E475" s="49"/>
      <c r="F475" s="49"/>
      <c r="G475" s="49"/>
      <c r="H475" s="49"/>
      <c r="I475" s="49"/>
      <c r="J475" s="49"/>
      <c r="K475" s="49"/>
      <c r="L475" s="49"/>
    </row>
    <row r="476">
      <c r="A476" s="49"/>
      <c r="B476" s="49"/>
      <c r="C476" s="49"/>
      <c r="D476" s="49"/>
      <c r="E476" s="49"/>
      <c r="F476" s="49"/>
      <c r="G476" s="49"/>
      <c r="H476" s="49"/>
      <c r="I476" s="49"/>
      <c r="J476" s="49"/>
      <c r="K476" s="49"/>
      <c r="L476" s="49"/>
    </row>
    <row r="477">
      <c r="A477" s="49"/>
      <c r="B477" s="49"/>
      <c r="C477" s="49"/>
      <c r="D477" s="49"/>
      <c r="E477" s="49"/>
      <c r="F477" s="49"/>
      <c r="G477" s="49"/>
      <c r="H477" s="49"/>
      <c r="I477" s="49"/>
      <c r="J477" s="49"/>
      <c r="K477" s="49"/>
      <c r="L477" s="49"/>
    </row>
    <row r="478">
      <c r="A478" s="49"/>
      <c r="B478" s="49"/>
      <c r="C478" s="49"/>
      <c r="D478" s="49"/>
      <c r="E478" s="49"/>
      <c r="F478" s="49"/>
      <c r="G478" s="49"/>
      <c r="H478" s="49"/>
      <c r="I478" s="49"/>
      <c r="J478" s="49"/>
      <c r="K478" s="49"/>
      <c r="L478" s="49"/>
    </row>
    <row r="479">
      <c r="A479" s="49"/>
      <c r="B479" s="49"/>
      <c r="C479" s="49"/>
      <c r="D479" s="49"/>
      <c r="E479" s="49"/>
      <c r="F479" s="49"/>
      <c r="G479" s="49"/>
      <c r="H479" s="49"/>
      <c r="I479" s="49"/>
      <c r="J479" s="49"/>
      <c r="K479" s="49"/>
      <c r="L479" s="49"/>
    </row>
    <row r="480">
      <c r="A480" s="49"/>
      <c r="B480" s="49"/>
      <c r="C480" s="49"/>
      <c r="D480" s="49"/>
      <c r="E480" s="49"/>
      <c r="F480" s="49"/>
      <c r="G480" s="49"/>
      <c r="H480" s="49"/>
      <c r="I480" s="49"/>
      <c r="J480" s="49"/>
      <c r="K480" s="49"/>
      <c r="L480" s="49"/>
    </row>
    <row r="481">
      <c r="A481" s="49"/>
      <c r="B481" s="49"/>
      <c r="C481" s="49"/>
      <c r="D481" s="49"/>
      <c r="E481" s="49"/>
      <c r="F481" s="49"/>
      <c r="G481" s="49"/>
      <c r="H481" s="49"/>
      <c r="I481" s="49"/>
      <c r="J481" s="49"/>
      <c r="K481" s="49"/>
      <c r="L481" s="49"/>
    </row>
    <row r="482">
      <c r="A482" s="49"/>
      <c r="B482" s="49"/>
      <c r="C482" s="49"/>
      <c r="D482" s="49"/>
      <c r="E482" s="49"/>
      <c r="F482" s="49"/>
      <c r="G482" s="49"/>
      <c r="H482" s="49"/>
      <c r="I482" s="49"/>
      <c r="J482" s="49"/>
      <c r="K482" s="49"/>
      <c r="L482" s="49"/>
    </row>
    <row r="483">
      <c r="A483" s="49"/>
      <c r="B483" s="49"/>
      <c r="C483" s="49"/>
      <c r="D483" s="49"/>
      <c r="E483" s="49"/>
      <c r="F483" s="49"/>
      <c r="G483" s="49"/>
      <c r="H483" s="49"/>
      <c r="I483" s="49"/>
      <c r="J483" s="49"/>
      <c r="K483" s="49"/>
      <c r="L483" s="49"/>
    </row>
    <row r="484">
      <c r="A484" s="49"/>
      <c r="B484" s="49"/>
      <c r="C484" s="49"/>
      <c r="D484" s="49"/>
      <c r="E484" s="49"/>
      <c r="F484" s="49"/>
      <c r="G484" s="49"/>
      <c r="H484" s="49"/>
      <c r="I484" s="49"/>
      <c r="J484" s="49"/>
      <c r="K484" s="49"/>
      <c r="L484" s="49"/>
    </row>
    <row r="485">
      <c r="A485" s="49"/>
      <c r="B485" s="49"/>
      <c r="C485" s="49"/>
      <c r="D485" s="49"/>
      <c r="E485" s="49"/>
      <c r="F485" s="49"/>
      <c r="G485" s="49"/>
      <c r="H485" s="49"/>
      <c r="I485" s="49"/>
      <c r="J485" s="49"/>
      <c r="K485" s="49"/>
      <c r="L485" s="49"/>
    </row>
    <row r="486">
      <c r="A486" s="49"/>
      <c r="B486" s="49"/>
      <c r="C486" s="49"/>
      <c r="D486" s="49"/>
      <c r="E486" s="49"/>
      <c r="F486" s="49"/>
      <c r="G486" s="49"/>
      <c r="H486" s="49"/>
      <c r="I486" s="49"/>
      <c r="J486" s="49"/>
      <c r="K486" s="49"/>
      <c r="L486" s="49"/>
    </row>
    <row r="487">
      <c r="A487" s="49"/>
      <c r="B487" s="49"/>
      <c r="C487" s="49"/>
      <c r="D487" s="49"/>
      <c r="E487" s="49"/>
      <c r="F487" s="49"/>
      <c r="G487" s="49"/>
      <c r="H487" s="49"/>
      <c r="I487" s="49"/>
      <c r="J487" s="49"/>
      <c r="K487" s="49"/>
      <c r="L487" s="49"/>
    </row>
    <row r="488">
      <c r="A488" s="49"/>
      <c r="B488" s="49"/>
      <c r="C488" s="49"/>
      <c r="D488" s="49"/>
      <c r="E488" s="49"/>
      <c r="F488" s="49"/>
      <c r="G488" s="49"/>
      <c r="H488" s="49"/>
      <c r="I488" s="49"/>
      <c r="J488" s="49"/>
      <c r="K488" s="49"/>
      <c r="L488" s="49"/>
    </row>
    <row r="489">
      <c r="A489" s="49"/>
      <c r="B489" s="49"/>
      <c r="C489" s="49"/>
      <c r="D489" s="49"/>
      <c r="E489" s="49"/>
      <c r="F489" s="49"/>
      <c r="G489" s="49"/>
      <c r="H489" s="49"/>
      <c r="I489" s="49"/>
      <c r="J489" s="49"/>
      <c r="K489" s="49"/>
      <c r="L489" s="49"/>
    </row>
    <row r="490">
      <c r="A490" s="49"/>
      <c r="B490" s="49"/>
      <c r="C490" s="49"/>
      <c r="D490" s="49"/>
      <c r="E490" s="49"/>
      <c r="F490" s="49"/>
      <c r="G490" s="49"/>
      <c r="H490" s="49"/>
      <c r="I490" s="49"/>
      <c r="J490" s="49"/>
      <c r="K490" s="49"/>
      <c r="L490" s="49"/>
    </row>
    <row r="491">
      <c r="A491" s="49"/>
      <c r="B491" s="49"/>
      <c r="C491" s="49"/>
      <c r="D491" s="49"/>
      <c r="E491" s="49"/>
      <c r="F491" s="49"/>
      <c r="G491" s="49"/>
      <c r="H491" s="49"/>
      <c r="I491" s="49"/>
      <c r="J491" s="49"/>
      <c r="K491" s="49"/>
      <c r="L491" s="49"/>
    </row>
    <row r="492">
      <c r="A492" s="49"/>
      <c r="B492" s="49"/>
      <c r="C492" s="49"/>
      <c r="D492" s="49"/>
      <c r="E492" s="49"/>
      <c r="F492" s="49"/>
      <c r="G492" s="49"/>
      <c r="H492" s="49"/>
      <c r="I492" s="49"/>
      <c r="J492" s="49"/>
      <c r="K492" s="49"/>
      <c r="L492" s="49"/>
    </row>
    <row r="493">
      <c r="A493" s="49"/>
      <c r="B493" s="49"/>
      <c r="C493" s="49"/>
      <c r="D493" s="49"/>
      <c r="E493" s="49"/>
      <c r="F493" s="49"/>
      <c r="G493" s="49"/>
      <c r="H493" s="49"/>
      <c r="I493" s="49"/>
      <c r="J493" s="49"/>
      <c r="K493" s="49"/>
      <c r="L493" s="49"/>
    </row>
    <row r="494">
      <c r="A494" s="49"/>
      <c r="B494" s="49"/>
      <c r="C494" s="49"/>
      <c r="D494" s="49"/>
      <c r="E494" s="49"/>
      <c r="F494" s="49"/>
      <c r="G494" s="49"/>
      <c r="H494" s="49"/>
      <c r="I494" s="49"/>
      <c r="J494" s="49"/>
      <c r="K494" s="49"/>
      <c r="L494" s="49"/>
    </row>
    <row r="495">
      <c r="A495" s="49"/>
      <c r="B495" s="49"/>
      <c r="C495" s="49"/>
      <c r="D495" s="49"/>
      <c r="E495" s="49"/>
      <c r="F495" s="49"/>
      <c r="G495" s="49"/>
      <c r="H495" s="49"/>
      <c r="I495" s="49"/>
      <c r="J495" s="49"/>
      <c r="K495" s="49"/>
      <c r="L495" s="49"/>
    </row>
    <row r="496">
      <c r="A496" s="49"/>
      <c r="B496" s="49"/>
      <c r="C496" s="49"/>
      <c r="D496" s="49"/>
      <c r="E496" s="49"/>
      <c r="F496" s="49"/>
      <c r="G496" s="49"/>
      <c r="H496" s="49"/>
      <c r="I496" s="49"/>
      <c r="J496" s="49"/>
      <c r="K496" s="49"/>
      <c r="L496" s="49"/>
    </row>
    <row r="497">
      <c r="A497" s="49"/>
      <c r="B497" s="49"/>
      <c r="C497" s="49"/>
      <c r="D497" s="49"/>
      <c r="E497" s="49"/>
      <c r="F497" s="49"/>
      <c r="G497" s="49"/>
      <c r="H497" s="49"/>
      <c r="I497" s="49"/>
      <c r="J497" s="49"/>
      <c r="K497" s="49"/>
      <c r="L497" s="49"/>
    </row>
    <row r="498">
      <c r="A498" s="49"/>
      <c r="B498" s="49"/>
      <c r="C498" s="49"/>
      <c r="D498" s="49"/>
      <c r="E498" s="49"/>
      <c r="F498" s="49"/>
      <c r="G498" s="49"/>
      <c r="H498" s="49"/>
      <c r="I498" s="49"/>
      <c r="J498" s="49"/>
      <c r="K498" s="49"/>
      <c r="L498" s="49"/>
    </row>
    <row r="499">
      <c r="A499" s="49"/>
      <c r="B499" s="49"/>
      <c r="C499" s="49"/>
      <c r="D499" s="49"/>
      <c r="E499" s="49"/>
      <c r="F499" s="49"/>
      <c r="G499" s="49"/>
      <c r="H499" s="49"/>
      <c r="I499" s="49"/>
      <c r="J499" s="49"/>
      <c r="K499" s="49"/>
      <c r="L499" s="49"/>
    </row>
    <row r="500">
      <c r="A500" s="49"/>
      <c r="B500" s="49"/>
      <c r="C500" s="49"/>
      <c r="D500" s="49"/>
      <c r="E500" s="49"/>
      <c r="F500" s="49"/>
      <c r="G500" s="49"/>
      <c r="H500" s="49"/>
      <c r="I500" s="49"/>
      <c r="J500" s="49"/>
      <c r="K500" s="49"/>
      <c r="L500" s="49"/>
    </row>
    <row r="501">
      <c r="A501" s="49"/>
      <c r="B501" s="49"/>
      <c r="C501" s="49"/>
      <c r="D501" s="49"/>
      <c r="E501" s="49"/>
      <c r="F501" s="49"/>
      <c r="G501" s="49"/>
      <c r="H501" s="49"/>
      <c r="I501" s="49"/>
      <c r="J501" s="49"/>
      <c r="K501" s="49"/>
      <c r="L501" s="49"/>
    </row>
    <row r="502">
      <c r="A502" s="49"/>
      <c r="B502" s="49"/>
      <c r="C502" s="49"/>
      <c r="D502" s="49"/>
      <c r="E502" s="49"/>
      <c r="F502" s="49"/>
      <c r="G502" s="49"/>
      <c r="H502" s="49"/>
      <c r="I502" s="49"/>
      <c r="J502" s="49"/>
      <c r="K502" s="49"/>
      <c r="L502" s="49"/>
    </row>
    <row r="503">
      <c r="A503" s="49"/>
      <c r="B503" s="49"/>
      <c r="C503" s="49"/>
      <c r="D503" s="49"/>
      <c r="E503" s="49"/>
      <c r="F503" s="49"/>
      <c r="G503" s="49"/>
      <c r="H503" s="49"/>
      <c r="I503" s="49"/>
      <c r="J503" s="49"/>
      <c r="K503" s="49"/>
      <c r="L503" s="49"/>
    </row>
    <row r="504">
      <c r="A504" s="49"/>
      <c r="B504" s="49"/>
      <c r="C504" s="49"/>
      <c r="D504" s="49"/>
      <c r="E504" s="49"/>
      <c r="F504" s="49"/>
      <c r="G504" s="49"/>
      <c r="H504" s="49"/>
      <c r="I504" s="49"/>
      <c r="J504" s="49"/>
      <c r="K504" s="49"/>
      <c r="L504" s="49"/>
    </row>
    <row r="505">
      <c r="A505" s="49"/>
      <c r="B505" s="49"/>
      <c r="C505" s="49"/>
      <c r="D505" s="49"/>
      <c r="E505" s="49"/>
      <c r="F505" s="49"/>
      <c r="G505" s="49"/>
      <c r="H505" s="49"/>
      <c r="I505" s="49"/>
      <c r="J505" s="49"/>
      <c r="K505" s="49"/>
      <c r="L505" s="49"/>
    </row>
    <row r="506">
      <c r="A506" s="49"/>
      <c r="B506" s="49"/>
      <c r="C506" s="49"/>
      <c r="D506" s="49"/>
      <c r="E506" s="49"/>
      <c r="F506" s="49"/>
      <c r="G506" s="49"/>
      <c r="H506" s="49"/>
      <c r="I506" s="49"/>
      <c r="J506" s="49"/>
      <c r="K506" s="49"/>
      <c r="L506" s="49"/>
    </row>
    <row r="507">
      <c r="A507" s="49"/>
      <c r="B507" s="49"/>
      <c r="C507" s="49"/>
      <c r="D507" s="49"/>
      <c r="E507" s="49"/>
      <c r="F507" s="49"/>
      <c r="G507" s="49"/>
      <c r="H507" s="49"/>
      <c r="I507" s="49"/>
      <c r="J507" s="49"/>
      <c r="K507" s="49"/>
      <c r="L507" s="49"/>
    </row>
    <row r="508">
      <c r="A508" s="49"/>
      <c r="B508" s="49"/>
      <c r="C508" s="49"/>
      <c r="D508" s="49"/>
      <c r="E508" s="49"/>
      <c r="F508" s="49"/>
      <c r="G508" s="49"/>
      <c r="H508" s="49"/>
      <c r="I508" s="49"/>
      <c r="J508" s="49"/>
      <c r="K508" s="49"/>
      <c r="L508" s="49"/>
    </row>
    <row r="509">
      <c r="A509" s="49"/>
      <c r="B509" s="49"/>
      <c r="C509" s="49"/>
      <c r="D509" s="49"/>
      <c r="E509" s="49"/>
      <c r="F509" s="49"/>
      <c r="G509" s="49"/>
      <c r="H509" s="49"/>
      <c r="I509" s="49"/>
      <c r="J509" s="49"/>
      <c r="K509" s="49"/>
      <c r="L509" s="49"/>
    </row>
    <row r="510">
      <c r="A510" s="49"/>
      <c r="B510" s="49"/>
      <c r="C510" s="49"/>
      <c r="D510" s="49"/>
      <c r="E510" s="49"/>
      <c r="F510" s="49"/>
      <c r="G510" s="49"/>
      <c r="H510" s="49"/>
      <c r="I510" s="49"/>
      <c r="J510" s="49"/>
      <c r="K510" s="49"/>
      <c r="L510" s="49"/>
    </row>
    <row r="511">
      <c r="A511" s="49"/>
      <c r="B511" s="49"/>
      <c r="C511" s="49"/>
      <c r="D511" s="49"/>
      <c r="E511" s="49"/>
      <c r="F511" s="49"/>
      <c r="G511" s="49"/>
      <c r="H511" s="49"/>
      <c r="I511" s="49"/>
      <c r="J511" s="49"/>
      <c r="K511" s="49"/>
      <c r="L511" s="49"/>
    </row>
    <row r="512">
      <c r="A512" s="49"/>
      <c r="B512" s="49"/>
      <c r="C512" s="49"/>
      <c r="D512" s="49"/>
      <c r="E512" s="49"/>
      <c r="F512" s="49"/>
      <c r="G512" s="49"/>
      <c r="H512" s="49"/>
      <c r="I512" s="49"/>
      <c r="J512" s="49"/>
      <c r="K512" s="49"/>
      <c r="L512" s="49"/>
    </row>
    <row r="513">
      <c r="A513" s="49"/>
      <c r="B513" s="49"/>
      <c r="C513" s="49"/>
      <c r="D513" s="49"/>
      <c r="E513" s="49"/>
      <c r="F513" s="49"/>
      <c r="G513" s="49"/>
      <c r="H513" s="49"/>
      <c r="I513" s="49"/>
      <c r="J513" s="49"/>
      <c r="K513" s="49"/>
      <c r="L513" s="49"/>
    </row>
    <row r="514">
      <c r="A514" s="49"/>
      <c r="B514" s="49"/>
      <c r="C514" s="49"/>
      <c r="D514" s="49"/>
      <c r="E514" s="49"/>
      <c r="F514" s="49"/>
      <c r="G514" s="49"/>
      <c r="H514" s="49"/>
      <c r="I514" s="49"/>
      <c r="J514" s="49"/>
      <c r="K514" s="49"/>
      <c r="L514" s="49"/>
    </row>
    <row r="515">
      <c r="A515" s="49"/>
      <c r="B515" s="49"/>
      <c r="C515" s="49"/>
      <c r="D515" s="49"/>
      <c r="E515" s="49"/>
      <c r="F515" s="49"/>
      <c r="G515" s="49"/>
      <c r="H515" s="49"/>
      <c r="I515" s="49"/>
      <c r="J515" s="49"/>
      <c r="K515" s="49"/>
      <c r="L515" s="49"/>
    </row>
    <row r="516">
      <c r="A516" s="49"/>
      <c r="B516" s="49"/>
      <c r="C516" s="49"/>
      <c r="D516" s="49"/>
      <c r="E516" s="49"/>
      <c r="F516" s="49"/>
      <c r="G516" s="49"/>
      <c r="H516" s="49"/>
      <c r="I516" s="49"/>
      <c r="J516" s="49"/>
      <c r="K516" s="49"/>
      <c r="L516" s="49"/>
    </row>
    <row r="517">
      <c r="A517" s="49"/>
      <c r="B517" s="49"/>
      <c r="C517" s="49"/>
      <c r="D517" s="49"/>
      <c r="E517" s="49"/>
      <c r="F517" s="49"/>
      <c r="G517" s="49"/>
      <c r="H517" s="49"/>
      <c r="I517" s="49"/>
      <c r="J517" s="49"/>
      <c r="K517" s="49"/>
      <c r="L517" s="49"/>
    </row>
    <row r="518">
      <c r="A518" s="49"/>
      <c r="B518" s="49"/>
      <c r="C518" s="49"/>
      <c r="D518" s="49"/>
      <c r="E518" s="49"/>
      <c r="F518" s="49"/>
      <c r="G518" s="49"/>
      <c r="H518" s="49"/>
      <c r="I518" s="49"/>
      <c r="J518" s="49"/>
      <c r="K518" s="49"/>
      <c r="L518" s="49"/>
    </row>
    <row r="519">
      <c r="A519" s="49"/>
      <c r="B519" s="49"/>
      <c r="C519" s="49"/>
      <c r="D519" s="49"/>
      <c r="E519" s="49"/>
      <c r="F519" s="49"/>
      <c r="G519" s="49"/>
      <c r="H519" s="49"/>
      <c r="I519" s="49"/>
      <c r="J519" s="49"/>
      <c r="K519" s="49"/>
      <c r="L519" s="49"/>
    </row>
    <row r="520">
      <c r="A520" s="49"/>
      <c r="B520" s="49"/>
      <c r="C520" s="49"/>
      <c r="D520" s="49"/>
      <c r="E520" s="49"/>
      <c r="F520" s="49"/>
      <c r="G520" s="49"/>
      <c r="H520" s="49"/>
      <c r="I520" s="49"/>
      <c r="J520" s="49"/>
      <c r="K520" s="49"/>
      <c r="L520" s="49"/>
    </row>
    <row r="521">
      <c r="A521" s="49"/>
      <c r="B521" s="49"/>
      <c r="C521" s="49"/>
      <c r="D521" s="49"/>
      <c r="E521" s="49"/>
      <c r="F521" s="49"/>
      <c r="G521" s="49"/>
      <c r="H521" s="49"/>
      <c r="I521" s="49"/>
      <c r="J521" s="49"/>
      <c r="K521" s="49"/>
      <c r="L521" s="49"/>
    </row>
    <row r="522">
      <c r="A522" s="49"/>
      <c r="B522" s="49"/>
      <c r="C522" s="49"/>
      <c r="D522" s="49"/>
      <c r="E522" s="49"/>
      <c r="F522" s="49"/>
      <c r="G522" s="49"/>
      <c r="H522" s="49"/>
      <c r="I522" s="49"/>
      <c r="J522" s="49"/>
      <c r="K522" s="49"/>
      <c r="L522" s="49"/>
    </row>
    <row r="523">
      <c r="A523" s="49"/>
      <c r="B523" s="49"/>
      <c r="C523" s="49"/>
      <c r="D523" s="49"/>
      <c r="E523" s="49"/>
      <c r="F523" s="49"/>
      <c r="G523" s="49"/>
      <c r="H523" s="49"/>
      <c r="I523" s="49"/>
      <c r="J523" s="49"/>
      <c r="K523" s="49"/>
      <c r="L523" s="49"/>
    </row>
    <row r="524">
      <c r="A524" s="49"/>
      <c r="B524" s="49"/>
      <c r="C524" s="49"/>
      <c r="D524" s="49"/>
      <c r="E524" s="49"/>
      <c r="F524" s="49"/>
      <c r="G524" s="49"/>
      <c r="H524" s="49"/>
      <c r="I524" s="49"/>
      <c r="J524" s="49"/>
      <c r="K524" s="49"/>
      <c r="L524" s="49"/>
    </row>
    <row r="525">
      <c r="A525" s="49"/>
      <c r="B525" s="49"/>
      <c r="C525" s="49"/>
      <c r="D525" s="49"/>
      <c r="E525" s="49"/>
      <c r="F525" s="49"/>
      <c r="G525" s="49"/>
      <c r="H525" s="49"/>
      <c r="I525" s="49"/>
      <c r="J525" s="49"/>
      <c r="K525" s="49"/>
      <c r="L525" s="49"/>
    </row>
    <row r="526">
      <c r="A526" s="49"/>
      <c r="B526" s="49"/>
      <c r="C526" s="49"/>
      <c r="D526" s="49"/>
      <c r="E526" s="49"/>
      <c r="F526" s="49"/>
      <c r="G526" s="49"/>
      <c r="H526" s="49"/>
      <c r="I526" s="49"/>
      <c r="J526" s="49"/>
      <c r="K526" s="49"/>
      <c r="L526" s="49"/>
    </row>
    <row r="527">
      <c r="A527" s="49"/>
      <c r="B527" s="49"/>
      <c r="C527" s="49"/>
      <c r="D527" s="49"/>
      <c r="E527" s="49"/>
      <c r="F527" s="49"/>
      <c r="G527" s="49"/>
      <c r="H527" s="49"/>
      <c r="I527" s="49"/>
      <c r="J527" s="49"/>
      <c r="K527" s="49"/>
      <c r="L527" s="49"/>
    </row>
    <row r="528">
      <c r="A528" s="49"/>
      <c r="B528" s="49"/>
      <c r="C528" s="49"/>
      <c r="D528" s="49"/>
      <c r="E528" s="49"/>
      <c r="F528" s="49"/>
      <c r="G528" s="49"/>
      <c r="H528" s="49"/>
      <c r="I528" s="49"/>
      <c r="J528" s="49"/>
      <c r="K528" s="49"/>
      <c r="L528" s="49"/>
    </row>
    <row r="529">
      <c r="A529" s="49"/>
      <c r="B529" s="49"/>
      <c r="C529" s="49"/>
      <c r="D529" s="49"/>
      <c r="E529" s="49"/>
      <c r="F529" s="49"/>
      <c r="G529" s="49"/>
      <c r="H529" s="49"/>
      <c r="I529" s="49"/>
      <c r="J529" s="49"/>
      <c r="K529" s="49"/>
      <c r="L529" s="49"/>
    </row>
    <row r="530">
      <c r="A530" s="49"/>
      <c r="B530" s="49"/>
      <c r="C530" s="49"/>
      <c r="D530" s="49"/>
      <c r="E530" s="49"/>
      <c r="F530" s="49"/>
      <c r="G530" s="49"/>
      <c r="H530" s="49"/>
      <c r="I530" s="49"/>
      <c r="J530" s="49"/>
      <c r="K530" s="49"/>
      <c r="L530" s="49"/>
    </row>
    <row r="531">
      <c r="A531" s="49"/>
      <c r="B531" s="49"/>
      <c r="C531" s="49"/>
      <c r="D531" s="49"/>
      <c r="E531" s="49"/>
      <c r="F531" s="49"/>
      <c r="G531" s="49"/>
      <c r="H531" s="49"/>
      <c r="I531" s="49"/>
      <c r="J531" s="49"/>
      <c r="K531" s="49"/>
      <c r="L531" s="49"/>
    </row>
    <row r="532">
      <c r="A532" s="49"/>
      <c r="B532" s="49"/>
      <c r="C532" s="49"/>
      <c r="D532" s="49"/>
      <c r="E532" s="49"/>
      <c r="F532" s="49"/>
      <c r="G532" s="49"/>
      <c r="H532" s="49"/>
      <c r="I532" s="49"/>
      <c r="J532" s="49"/>
      <c r="K532" s="49"/>
      <c r="L532" s="49"/>
    </row>
    <row r="533">
      <c r="A533" s="49"/>
      <c r="B533" s="49"/>
      <c r="C533" s="49"/>
      <c r="D533" s="49"/>
      <c r="E533" s="49"/>
      <c r="F533" s="49"/>
      <c r="G533" s="49"/>
      <c r="H533" s="49"/>
      <c r="I533" s="49"/>
      <c r="J533" s="49"/>
      <c r="K533" s="49"/>
      <c r="L533" s="49"/>
    </row>
    <row r="534">
      <c r="A534" s="49"/>
      <c r="B534" s="49"/>
      <c r="C534" s="49"/>
      <c r="D534" s="49"/>
      <c r="E534" s="49"/>
      <c r="F534" s="49"/>
      <c r="G534" s="49"/>
      <c r="H534" s="49"/>
      <c r="I534" s="49"/>
      <c r="J534" s="49"/>
      <c r="K534" s="49"/>
      <c r="L534" s="49"/>
    </row>
    <row r="535">
      <c r="A535" s="49"/>
      <c r="B535" s="49"/>
      <c r="C535" s="49"/>
      <c r="D535" s="49"/>
      <c r="E535" s="49"/>
      <c r="F535" s="49"/>
      <c r="G535" s="49"/>
      <c r="H535" s="49"/>
      <c r="I535" s="49"/>
      <c r="J535" s="49"/>
      <c r="K535" s="49"/>
      <c r="L535" s="49"/>
    </row>
    <row r="536">
      <c r="A536" s="49"/>
      <c r="B536" s="49"/>
      <c r="C536" s="49"/>
      <c r="D536" s="49"/>
      <c r="E536" s="49"/>
      <c r="F536" s="49"/>
      <c r="G536" s="49"/>
      <c r="H536" s="49"/>
      <c r="I536" s="49"/>
      <c r="J536" s="49"/>
      <c r="K536" s="49"/>
      <c r="L536" s="49"/>
    </row>
    <row r="537">
      <c r="A537" s="49"/>
      <c r="B537" s="49"/>
      <c r="C537" s="49"/>
      <c r="D537" s="49"/>
      <c r="E537" s="49"/>
      <c r="F537" s="49"/>
      <c r="G537" s="49"/>
      <c r="H537" s="49"/>
      <c r="I537" s="49"/>
      <c r="J537" s="49"/>
      <c r="K537" s="49"/>
      <c r="L537" s="49"/>
    </row>
    <row r="538">
      <c r="A538" s="49"/>
      <c r="B538" s="49"/>
      <c r="C538" s="49"/>
      <c r="D538" s="49"/>
      <c r="E538" s="49"/>
      <c r="F538" s="49"/>
      <c r="G538" s="49"/>
      <c r="H538" s="49"/>
      <c r="I538" s="49"/>
      <c r="J538" s="49"/>
      <c r="K538" s="49"/>
      <c r="L538" s="49"/>
    </row>
    <row r="539">
      <c r="A539" s="49"/>
      <c r="B539" s="49"/>
      <c r="C539" s="49"/>
      <c r="D539" s="49"/>
      <c r="E539" s="49"/>
      <c r="F539" s="49"/>
      <c r="G539" s="49"/>
      <c r="H539" s="49"/>
      <c r="I539" s="49"/>
      <c r="J539" s="49"/>
      <c r="K539" s="49"/>
      <c r="L539" s="49"/>
    </row>
    <row r="540">
      <c r="A540" s="49"/>
      <c r="B540" s="49"/>
      <c r="C540" s="49"/>
      <c r="D540" s="49"/>
      <c r="E540" s="49"/>
      <c r="F540" s="49"/>
      <c r="G540" s="49"/>
      <c r="H540" s="49"/>
      <c r="I540" s="49"/>
      <c r="J540" s="49"/>
      <c r="K540" s="49"/>
      <c r="L540" s="49"/>
    </row>
    <row r="541">
      <c r="A541" s="49"/>
      <c r="B541" s="49"/>
      <c r="C541" s="49"/>
      <c r="D541" s="49"/>
      <c r="E541" s="49"/>
      <c r="F541" s="49"/>
      <c r="G541" s="49"/>
      <c r="H541" s="49"/>
      <c r="I541" s="49"/>
      <c r="J541" s="49"/>
      <c r="K541" s="49"/>
      <c r="L541" s="49"/>
    </row>
    <row r="542">
      <c r="A542" s="49"/>
      <c r="B542" s="49"/>
      <c r="C542" s="49"/>
      <c r="D542" s="49"/>
      <c r="E542" s="49"/>
      <c r="F542" s="49"/>
      <c r="G542" s="49"/>
      <c r="H542" s="49"/>
      <c r="I542" s="49"/>
      <c r="J542" s="49"/>
      <c r="K542" s="49"/>
      <c r="L542" s="49"/>
    </row>
    <row r="543">
      <c r="A543" s="49"/>
      <c r="B543" s="49"/>
      <c r="C543" s="49"/>
      <c r="D543" s="49"/>
      <c r="E543" s="49"/>
      <c r="F543" s="49"/>
      <c r="G543" s="49"/>
      <c r="H543" s="49"/>
      <c r="I543" s="49"/>
      <c r="J543" s="49"/>
      <c r="K543" s="49"/>
      <c r="L543" s="49"/>
    </row>
    <row r="544">
      <c r="A544" s="49"/>
      <c r="B544" s="49"/>
      <c r="C544" s="49"/>
      <c r="D544" s="49"/>
      <c r="E544" s="49"/>
      <c r="F544" s="49"/>
      <c r="G544" s="49"/>
      <c r="H544" s="49"/>
      <c r="I544" s="49"/>
      <c r="J544" s="49"/>
      <c r="K544" s="49"/>
      <c r="L544" s="49"/>
    </row>
    <row r="545">
      <c r="A545" s="49"/>
      <c r="B545" s="49"/>
      <c r="C545" s="49"/>
      <c r="D545" s="49"/>
      <c r="E545" s="49"/>
      <c r="F545" s="49"/>
      <c r="G545" s="49"/>
      <c r="H545" s="49"/>
      <c r="I545" s="49"/>
      <c r="J545" s="49"/>
      <c r="K545" s="49"/>
      <c r="L545" s="49"/>
    </row>
    <row r="546">
      <c r="A546" s="49"/>
      <c r="B546" s="49"/>
      <c r="C546" s="49"/>
      <c r="D546" s="49"/>
      <c r="E546" s="49"/>
      <c r="F546" s="49"/>
      <c r="G546" s="49"/>
      <c r="H546" s="49"/>
      <c r="I546" s="49"/>
      <c r="J546" s="49"/>
      <c r="K546" s="49"/>
      <c r="L546" s="49"/>
    </row>
    <row r="547">
      <c r="A547" s="49"/>
      <c r="B547" s="49"/>
      <c r="C547" s="49"/>
      <c r="D547" s="49"/>
      <c r="E547" s="49"/>
      <c r="F547" s="49"/>
      <c r="G547" s="49"/>
      <c r="H547" s="49"/>
      <c r="I547" s="49"/>
      <c r="J547" s="49"/>
      <c r="K547" s="49"/>
      <c r="L547" s="49"/>
    </row>
    <row r="548">
      <c r="A548" s="49"/>
      <c r="B548" s="49"/>
      <c r="C548" s="49"/>
      <c r="D548" s="49"/>
      <c r="E548" s="49"/>
      <c r="F548" s="49"/>
      <c r="G548" s="49"/>
      <c r="H548" s="49"/>
      <c r="I548" s="49"/>
      <c r="J548" s="49"/>
      <c r="K548" s="49"/>
      <c r="L548" s="49"/>
    </row>
    <row r="549">
      <c r="A549" s="49"/>
      <c r="B549" s="49"/>
      <c r="C549" s="49"/>
      <c r="D549" s="49"/>
      <c r="E549" s="49"/>
      <c r="F549" s="49"/>
      <c r="G549" s="49"/>
      <c r="H549" s="49"/>
      <c r="I549" s="49"/>
      <c r="J549" s="49"/>
      <c r="K549" s="49"/>
      <c r="L549" s="49"/>
    </row>
    <row r="550">
      <c r="A550" s="49"/>
      <c r="B550" s="49"/>
      <c r="C550" s="49"/>
      <c r="D550" s="49"/>
      <c r="E550" s="49"/>
      <c r="F550" s="49"/>
      <c r="G550" s="49"/>
      <c r="H550" s="49"/>
      <c r="I550" s="49"/>
      <c r="J550" s="49"/>
      <c r="K550" s="49"/>
      <c r="L550" s="49"/>
    </row>
    <row r="551">
      <c r="A551" s="49"/>
      <c r="B551" s="49"/>
      <c r="C551" s="49"/>
      <c r="D551" s="49"/>
      <c r="E551" s="49"/>
      <c r="F551" s="49"/>
      <c r="G551" s="49"/>
      <c r="H551" s="49"/>
      <c r="I551" s="49"/>
      <c r="J551" s="49"/>
      <c r="K551" s="49"/>
      <c r="L551" s="49"/>
    </row>
    <row r="552">
      <c r="A552" s="49"/>
      <c r="B552" s="49"/>
      <c r="C552" s="49"/>
      <c r="D552" s="49"/>
      <c r="E552" s="49"/>
      <c r="F552" s="49"/>
      <c r="G552" s="49"/>
      <c r="H552" s="49"/>
      <c r="I552" s="49"/>
      <c r="J552" s="49"/>
      <c r="K552" s="49"/>
      <c r="L552" s="49"/>
    </row>
    <row r="553">
      <c r="A553" s="49"/>
      <c r="B553" s="49"/>
      <c r="C553" s="49"/>
      <c r="D553" s="49"/>
      <c r="E553" s="49"/>
      <c r="F553" s="49"/>
      <c r="G553" s="49"/>
      <c r="H553" s="49"/>
      <c r="I553" s="49"/>
      <c r="J553" s="49"/>
      <c r="K553" s="49"/>
      <c r="L553" s="49"/>
    </row>
    <row r="554">
      <c r="A554" s="49"/>
      <c r="B554" s="49"/>
      <c r="C554" s="49"/>
      <c r="D554" s="49"/>
      <c r="E554" s="49"/>
      <c r="F554" s="49"/>
      <c r="G554" s="49"/>
      <c r="H554" s="49"/>
      <c r="I554" s="49"/>
      <c r="J554" s="49"/>
      <c r="K554" s="49"/>
      <c r="L554" s="49"/>
    </row>
    <row r="555">
      <c r="A555" s="49"/>
      <c r="B555" s="49"/>
      <c r="C555" s="49"/>
      <c r="D555" s="49"/>
      <c r="E555" s="49"/>
      <c r="F555" s="49"/>
      <c r="G555" s="49"/>
      <c r="H555" s="49"/>
      <c r="I555" s="49"/>
      <c r="J555" s="49"/>
      <c r="K555" s="49"/>
      <c r="L555" s="49"/>
    </row>
    <row r="556">
      <c r="A556" s="49"/>
      <c r="B556" s="49"/>
      <c r="C556" s="49"/>
      <c r="D556" s="49"/>
      <c r="E556" s="49"/>
      <c r="F556" s="49"/>
      <c r="G556" s="49"/>
      <c r="H556" s="49"/>
      <c r="I556" s="49"/>
      <c r="J556" s="49"/>
      <c r="K556" s="49"/>
      <c r="L556" s="49"/>
    </row>
    <row r="557">
      <c r="A557" s="49"/>
      <c r="B557" s="49"/>
      <c r="C557" s="49"/>
      <c r="D557" s="49"/>
      <c r="E557" s="49"/>
      <c r="F557" s="49"/>
      <c r="G557" s="49"/>
      <c r="H557" s="49"/>
      <c r="I557" s="49"/>
      <c r="J557" s="49"/>
      <c r="K557" s="49"/>
      <c r="L557" s="49"/>
    </row>
    <row r="558">
      <c r="A558" s="49"/>
      <c r="B558" s="49"/>
      <c r="C558" s="49"/>
      <c r="D558" s="49"/>
      <c r="E558" s="49"/>
      <c r="F558" s="49"/>
      <c r="G558" s="49"/>
      <c r="H558" s="49"/>
      <c r="I558" s="49"/>
      <c r="J558" s="49"/>
      <c r="K558" s="49"/>
      <c r="L558" s="49"/>
    </row>
    <row r="559">
      <c r="A559" s="49"/>
      <c r="B559" s="49"/>
      <c r="C559" s="49"/>
      <c r="D559" s="49"/>
      <c r="E559" s="49"/>
      <c r="F559" s="49"/>
      <c r="G559" s="49"/>
      <c r="H559" s="49"/>
      <c r="I559" s="49"/>
      <c r="J559" s="49"/>
      <c r="K559" s="49"/>
      <c r="L559" s="49"/>
    </row>
    <row r="560">
      <c r="A560" s="49"/>
      <c r="B560" s="49"/>
      <c r="C560" s="49"/>
      <c r="D560" s="49"/>
      <c r="E560" s="49"/>
      <c r="F560" s="49"/>
      <c r="G560" s="49"/>
      <c r="H560" s="49"/>
      <c r="I560" s="49"/>
      <c r="J560" s="49"/>
      <c r="K560" s="49"/>
      <c r="L560" s="49"/>
    </row>
    <row r="561">
      <c r="A561" s="49"/>
      <c r="B561" s="49"/>
      <c r="C561" s="49"/>
      <c r="D561" s="49"/>
      <c r="E561" s="49"/>
      <c r="F561" s="49"/>
      <c r="G561" s="49"/>
      <c r="H561" s="49"/>
      <c r="I561" s="49"/>
      <c r="J561" s="49"/>
      <c r="K561" s="49"/>
      <c r="L561" s="49"/>
    </row>
    <row r="562">
      <c r="A562" s="49"/>
      <c r="B562" s="49"/>
      <c r="C562" s="49"/>
      <c r="D562" s="49"/>
      <c r="E562" s="49"/>
      <c r="F562" s="49"/>
      <c r="G562" s="49"/>
      <c r="H562" s="49"/>
      <c r="I562" s="49"/>
      <c r="J562" s="49"/>
      <c r="K562" s="49"/>
      <c r="L562" s="49"/>
    </row>
    <row r="563">
      <c r="A563" s="49"/>
      <c r="B563" s="49"/>
      <c r="C563" s="49"/>
      <c r="D563" s="49"/>
      <c r="E563" s="49"/>
      <c r="F563" s="49"/>
      <c r="G563" s="49"/>
      <c r="H563" s="49"/>
      <c r="I563" s="49"/>
      <c r="J563" s="49"/>
      <c r="K563" s="49"/>
      <c r="L563" s="49"/>
    </row>
    <row r="564">
      <c r="A564" s="49"/>
      <c r="B564" s="49"/>
      <c r="C564" s="49"/>
      <c r="D564" s="49"/>
      <c r="E564" s="49"/>
      <c r="F564" s="49"/>
      <c r="G564" s="49"/>
      <c r="H564" s="49"/>
      <c r="I564" s="49"/>
      <c r="J564" s="49"/>
      <c r="K564" s="49"/>
      <c r="L564" s="49"/>
    </row>
    <row r="565">
      <c r="A565" s="49"/>
      <c r="B565" s="49"/>
      <c r="C565" s="49"/>
      <c r="D565" s="49"/>
      <c r="E565" s="49"/>
      <c r="F565" s="49"/>
      <c r="G565" s="49"/>
      <c r="H565" s="49"/>
      <c r="I565" s="49"/>
      <c r="J565" s="49"/>
      <c r="K565" s="49"/>
      <c r="L565" s="49"/>
    </row>
    <row r="566">
      <c r="A566" s="49"/>
      <c r="B566" s="49"/>
      <c r="C566" s="49"/>
      <c r="D566" s="49"/>
      <c r="E566" s="49"/>
      <c r="F566" s="49"/>
      <c r="G566" s="49"/>
      <c r="H566" s="49"/>
      <c r="I566" s="49"/>
      <c r="J566" s="49"/>
      <c r="K566" s="49"/>
      <c r="L566" s="49"/>
    </row>
    <row r="567">
      <c r="A567" s="49"/>
      <c r="B567" s="49"/>
      <c r="C567" s="49"/>
      <c r="D567" s="49"/>
      <c r="E567" s="49"/>
      <c r="F567" s="49"/>
      <c r="G567" s="49"/>
      <c r="H567" s="49"/>
      <c r="I567" s="49"/>
      <c r="J567" s="49"/>
      <c r="K567" s="49"/>
      <c r="L567" s="49"/>
    </row>
    <row r="568">
      <c r="A568" s="49"/>
      <c r="B568" s="49"/>
      <c r="C568" s="49"/>
      <c r="D568" s="49"/>
      <c r="E568" s="49"/>
      <c r="F568" s="49"/>
      <c r="G568" s="49"/>
      <c r="H568" s="49"/>
      <c r="I568" s="49"/>
      <c r="J568" s="49"/>
      <c r="K568" s="49"/>
      <c r="L568" s="49"/>
    </row>
    <row r="569">
      <c r="A569" s="49"/>
      <c r="B569" s="49"/>
      <c r="C569" s="49"/>
      <c r="D569" s="49"/>
      <c r="E569" s="49"/>
      <c r="F569" s="49"/>
      <c r="G569" s="49"/>
      <c r="H569" s="49"/>
      <c r="I569" s="49"/>
      <c r="J569" s="49"/>
      <c r="K569" s="49"/>
      <c r="L569" s="49"/>
    </row>
    <row r="570">
      <c r="A570" s="49"/>
      <c r="B570" s="49"/>
      <c r="C570" s="49"/>
      <c r="D570" s="49"/>
      <c r="E570" s="49"/>
      <c r="F570" s="49"/>
      <c r="G570" s="49"/>
      <c r="H570" s="49"/>
      <c r="I570" s="49"/>
      <c r="J570" s="49"/>
      <c r="K570" s="49"/>
      <c r="L570" s="49"/>
    </row>
    <row r="571">
      <c r="A571" s="49"/>
      <c r="B571" s="49"/>
      <c r="C571" s="49"/>
      <c r="D571" s="49"/>
      <c r="E571" s="49"/>
      <c r="F571" s="49"/>
      <c r="G571" s="49"/>
      <c r="H571" s="49"/>
      <c r="I571" s="49"/>
      <c r="J571" s="49"/>
      <c r="K571" s="49"/>
      <c r="L571" s="49"/>
    </row>
    <row r="572">
      <c r="A572" s="49"/>
      <c r="B572" s="49"/>
      <c r="C572" s="49"/>
      <c r="D572" s="49"/>
      <c r="E572" s="49"/>
      <c r="F572" s="49"/>
      <c r="G572" s="49"/>
      <c r="H572" s="49"/>
      <c r="I572" s="49"/>
      <c r="J572" s="49"/>
      <c r="K572" s="49"/>
      <c r="L572" s="49"/>
    </row>
    <row r="573">
      <c r="A573" s="49"/>
      <c r="B573" s="49"/>
      <c r="C573" s="49"/>
      <c r="D573" s="49"/>
      <c r="E573" s="49"/>
      <c r="F573" s="49"/>
      <c r="G573" s="49"/>
      <c r="H573" s="49"/>
      <c r="I573" s="49"/>
      <c r="J573" s="49"/>
      <c r="K573" s="49"/>
      <c r="L573" s="49"/>
    </row>
    <row r="574">
      <c r="A574" s="49"/>
      <c r="B574" s="49"/>
      <c r="C574" s="49"/>
      <c r="D574" s="49"/>
      <c r="E574" s="49"/>
      <c r="F574" s="49"/>
      <c r="G574" s="49"/>
      <c r="H574" s="49"/>
      <c r="I574" s="49"/>
      <c r="J574" s="49"/>
      <c r="K574" s="49"/>
      <c r="L574" s="49"/>
    </row>
    <row r="575">
      <c r="A575" s="49"/>
      <c r="B575" s="49"/>
      <c r="C575" s="49"/>
      <c r="D575" s="49"/>
      <c r="E575" s="49"/>
      <c r="F575" s="49"/>
      <c r="G575" s="49"/>
      <c r="H575" s="49"/>
      <c r="I575" s="49"/>
      <c r="J575" s="49"/>
      <c r="K575" s="49"/>
      <c r="L575" s="49"/>
    </row>
    <row r="576">
      <c r="A576" s="49"/>
      <c r="B576" s="49"/>
      <c r="C576" s="49"/>
      <c r="D576" s="49"/>
      <c r="E576" s="49"/>
      <c r="F576" s="49"/>
      <c r="G576" s="49"/>
      <c r="H576" s="49"/>
      <c r="I576" s="49"/>
      <c r="J576" s="49"/>
      <c r="K576" s="49"/>
      <c r="L576" s="49"/>
    </row>
    <row r="577">
      <c r="A577" s="49"/>
      <c r="B577" s="49"/>
      <c r="C577" s="49"/>
      <c r="D577" s="49"/>
      <c r="E577" s="49"/>
      <c r="F577" s="49"/>
      <c r="G577" s="49"/>
      <c r="H577" s="49"/>
      <c r="I577" s="49"/>
      <c r="J577" s="49"/>
      <c r="K577" s="49"/>
      <c r="L577" s="49"/>
    </row>
    <row r="578">
      <c r="A578" s="49"/>
      <c r="B578" s="49"/>
      <c r="C578" s="49"/>
      <c r="D578" s="49"/>
      <c r="E578" s="49"/>
      <c r="F578" s="49"/>
      <c r="G578" s="49"/>
      <c r="H578" s="49"/>
      <c r="I578" s="49"/>
      <c r="J578" s="49"/>
      <c r="K578" s="49"/>
      <c r="L578" s="49"/>
    </row>
    <row r="579">
      <c r="A579" s="49"/>
      <c r="B579" s="49"/>
      <c r="C579" s="49"/>
      <c r="D579" s="49"/>
      <c r="E579" s="49"/>
      <c r="F579" s="49"/>
      <c r="G579" s="49"/>
      <c r="H579" s="49"/>
      <c r="I579" s="49"/>
      <c r="J579" s="49"/>
      <c r="K579" s="49"/>
      <c r="L579" s="49"/>
    </row>
    <row r="580">
      <c r="A580" s="49"/>
      <c r="B580" s="49"/>
      <c r="C580" s="49"/>
      <c r="D580" s="49"/>
      <c r="E580" s="49"/>
      <c r="F580" s="49"/>
      <c r="G580" s="49"/>
      <c r="H580" s="49"/>
      <c r="I580" s="49"/>
      <c r="J580" s="49"/>
      <c r="K580" s="49"/>
      <c r="L580" s="49"/>
    </row>
    <row r="581">
      <c r="A581" s="49"/>
      <c r="B581" s="49"/>
      <c r="C581" s="49"/>
      <c r="D581" s="49"/>
      <c r="E581" s="49"/>
      <c r="F581" s="49"/>
      <c r="G581" s="49"/>
      <c r="H581" s="49"/>
      <c r="I581" s="49"/>
      <c r="J581" s="49"/>
      <c r="K581" s="49"/>
      <c r="L581" s="49"/>
    </row>
    <row r="582">
      <c r="A582" s="49"/>
      <c r="B582" s="49"/>
      <c r="C582" s="49"/>
      <c r="D582" s="49"/>
      <c r="E582" s="49"/>
      <c r="F582" s="49"/>
      <c r="G582" s="49"/>
      <c r="H582" s="49"/>
      <c r="I582" s="49"/>
      <c r="J582" s="49"/>
      <c r="K582" s="49"/>
      <c r="L582" s="49"/>
    </row>
    <row r="583">
      <c r="A583" s="49"/>
      <c r="B583" s="49"/>
      <c r="C583" s="49"/>
      <c r="D583" s="49"/>
      <c r="E583" s="49"/>
      <c r="F583" s="49"/>
      <c r="G583" s="49"/>
      <c r="H583" s="49"/>
      <c r="I583" s="49"/>
      <c r="J583" s="49"/>
      <c r="K583" s="49"/>
      <c r="L583" s="49"/>
    </row>
    <row r="584">
      <c r="A584" s="49"/>
      <c r="B584" s="49"/>
      <c r="C584" s="49"/>
      <c r="D584" s="49"/>
      <c r="E584" s="49"/>
      <c r="F584" s="49"/>
      <c r="G584" s="49"/>
      <c r="H584" s="49"/>
      <c r="I584" s="49"/>
      <c r="J584" s="49"/>
      <c r="K584" s="49"/>
      <c r="L584" s="49"/>
    </row>
    <row r="585">
      <c r="A585" s="49"/>
      <c r="B585" s="49"/>
      <c r="C585" s="49"/>
      <c r="D585" s="49"/>
      <c r="E585" s="49"/>
      <c r="F585" s="49"/>
      <c r="G585" s="49"/>
      <c r="H585" s="49"/>
      <c r="I585" s="49"/>
      <c r="J585" s="49"/>
      <c r="K585" s="49"/>
      <c r="L585" s="49"/>
    </row>
    <row r="586">
      <c r="A586" s="49"/>
      <c r="B586" s="49"/>
      <c r="C586" s="49"/>
      <c r="D586" s="49"/>
      <c r="E586" s="49"/>
      <c r="F586" s="49"/>
      <c r="G586" s="49"/>
      <c r="H586" s="49"/>
      <c r="I586" s="49"/>
      <c r="J586" s="49"/>
      <c r="K586" s="49"/>
      <c r="L586" s="49"/>
    </row>
    <row r="587">
      <c r="A587" s="49"/>
      <c r="B587" s="49"/>
      <c r="C587" s="49"/>
      <c r="D587" s="49"/>
      <c r="E587" s="49"/>
      <c r="F587" s="49"/>
      <c r="G587" s="49"/>
      <c r="H587" s="49"/>
      <c r="I587" s="49"/>
      <c r="J587" s="49"/>
      <c r="K587" s="49"/>
      <c r="L587" s="49"/>
    </row>
    <row r="588">
      <c r="A588" s="49"/>
      <c r="B588" s="49"/>
      <c r="C588" s="49"/>
      <c r="D588" s="49"/>
      <c r="E588" s="49"/>
      <c r="F588" s="49"/>
      <c r="G588" s="49"/>
      <c r="H588" s="49"/>
      <c r="I588" s="49"/>
      <c r="J588" s="49"/>
      <c r="K588" s="49"/>
      <c r="L588" s="49"/>
    </row>
    <row r="589">
      <c r="A589" s="49"/>
      <c r="B589" s="49"/>
      <c r="C589" s="49"/>
      <c r="D589" s="49"/>
      <c r="E589" s="49"/>
      <c r="F589" s="49"/>
      <c r="G589" s="49"/>
      <c r="H589" s="49"/>
      <c r="I589" s="49"/>
      <c r="J589" s="49"/>
      <c r="K589" s="49"/>
      <c r="L589" s="49"/>
    </row>
    <row r="590">
      <c r="A590" s="49"/>
      <c r="B590" s="49"/>
      <c r="C590" s="49"/>
      <c r="D590" s="49"/>
      <c r="E590" s="49"/>
      <c r="F590" s="49"/>
      <c r="G590" s="49"/>
      <c r="H590" s="49"/>
      <c r="I590" s="49"/>
      <c r="J590" s="49"/>
      <c r="K590" s="49"/>
      <c r="L590" s="49"/>
    </row>
    <row r="591">
      <c r="A591" s="49"/>
      <c r="B591" s="49"/>
      <c r="C591" s="49"/>
      <c r="D591" s="49"/>
      <c r="E591" s="49"/>
      <c r="F591" s="49"/>
      <c r="G591" s="49"/>
      <c r="H591" s="49"/>
      <c r="I591" s="49"/>
      <c r="J591" s="49"/>
      <c r="K591" s="49"/>
      <c r="L591" s="49"/>
    </row>
    <row r="592">
      <c r="A592" s="49"/>
      <c r="B592" s="49"/>
      <c r="C592" s="49"/>
      <c r="D592" s="49"/>
      <c r="E592" s="49"/>
      <c r="F592" s="49"/>
      <c r="G592" s="49"/>
      <c r="H592" s="49"/>
      <c r="I592" s="49"/>
      <c r="J592" s="49"/>
      <c r="K592" s="49"/>
      <c r="L592" s="49"/>
    </row>
    <row r="593">
      <c r="A593" s="49"/>
      <c r="B593" s="49"/>
      <c r="C593" s="49"/>
      <c r="D593" s="49"/>
      <c r="E593" s="49"/>
      <c r="F593" s="49"/>
      <c r="G593" s="49"/>
      <c r="H593" s="49"/>
      <c r="I593" s="49"/>
      <c r="J593" s="49"/>
      <c r="K593" s="49"/>
      <c r="L593" s="49"/>
    </row>
    <row r="594">
      <c r="A594" s="49"/>
      <c r="B594" s="49"/>
      <c r="C594" s="49"/>
      <c r="D594" s="49"/>
      <c r="E594" s="49"/>
      <c r="F594" s="49"/>
      <c r="G594" s="49"/>
      <c r="H594" s="49"/>
      <c r="I594" s="49"/>
      <c r="J594" s="49"/>
      <c r="K594" s="49"/>
      <c r="L594" s="49"/>
    </row>
    <row r="595">
      <c r="A595" s="49"/>
      <c r="B595" s="49"/>
      <c r="C595" s="49"/>
      <c r="D595" s="49"/>
      <c r="E595" s="49"/>
      <c r="F595" s="49"/>
      <c r="G595" s="49"/>
      <c r="H595" s="49"/>
      <c r="I595" s="49"/>
      <c r="J595" s="49"/>
      <c r="K595" s="49"/>
      <c r="L595" s="49"/>
    </row>
    <row r="596">
      <c r="A596" s="49"/>
      <c r="B596" s="49"/>
      <c r="C596" s="49"/>
      <c r="D596" s="49"/>
      <c r="E596" s="49"/>
      <c r="F596" s="49"/>
      <c r="G596" s="49"/>
      <c r="H596" s="49"/>
      <c r="I596" s="49"/>
      <c r="J596" s="49"/>
      <c r="K596" s="49"/>
      <c r="L596" s="49"/>
    </row>
    <row r="597">
      <c r="A597" s="49"/>
      <c r="B597" s="49"/>
      <c r="C597" s="49"/>
      <c r="D597" s="49"/>
      <c r="E597" s="49"/>
      <c r="F597" s="49"/>
      <c r="G597" s="49"/>
      <c r="H597" s="49"/>
      <c r="I597" s="49"/>
      <c r="J597" s="49"/>
      <c r="K597" s="49"/>
      <c r="L597" s="49"/>
    </row>
    <row r="598">
      <c r="A598" s="49"/>
      <c r="B598" s="49"/>
      <c r="C598" s="49"/>
      <c r="D598" s="49"/>
      <c r="E598" s="49"/>
      <c r="F598" s="49"/>
      <c r="G598" s="49"/>
      <c r="H598" s="49"/>
      <c r="I598" s="49"/>
      <c r="J598" s="49"/>
      <c r="K598" s="49"/>
      <c r="L598" s="49"/>
    </row>
    <row r="599">
      <c r="A599" s="49"/>
      <c r="B599" s="49"/>
      <c r="C599" s="49"/>
      <c r="D599" s="49"/>
      <c r="E599" s="49"/>
      <c r="F599" s="49"/>
      <c r="G599" s="49"/>
      <c r="H599" s="49"/>
      <c r="I599" s="49"/>
      <c r="J599" s="49"/>
      <c r="K599" s="49"/>
      <c r="L599" s="49"/>
    </row>
    <row r="600">
      <c r="A600" s="49"/>
      <c r="B600" s="49"/>
      <c r="C600" s="49"/>
      <c r="D600" s="49"/>
      <c r="E600" s="49"/>
      <c r="F600" s="49"/>
      <c r="G600" s="49"/>
      <c r="H600" s="49"/>
      <c r="I600" s="49"/>
      <c r="J600" s="49"/>
      <c r="K600" s="49"/>
      <c r="L600" s="49"/>
    </row>
    <row r="601">
      <c r="A601" s="49"/>
      <c r="B601" s="49"/>
      <c r="C601" s="49"/>
      <c r="D601" s="49"/>
      <c r="E601" s="49"/>
      <c r="F601" s="49"/>
      <c r="G601" s="49"/>
      <c r="H601" s="49"/>
      <c r="I601" s="49"/>
      <c r="J601" s="49"/>
      <c r="K601" s="49"/>
      <c r="L601" s="49"/>
    </row>
    <row r="602">
      <c r="A602" s="49"/>
      <c r="B602" s="49"/>
      <c r="C602" s="49"/>
      <c r="D602" s="49"/>
      <c r="E602" s="49"/>
      <c r="F602" s="49"/>
      <c r="G602" s="49"/>
      <c r="H602" s="49"/>
      <c r="I602" s="49"/>
      <c r="J602" s="49"/>
      <c r="K602" s="49"/>
      <c r="L602" s="49"/>
    </row>
    <row r="603">
      <c r="A603" s="49"/>
      <c r="B603" s="49"/>
      <c r="C603" s="49"/>
      <c r="D603" s="49"/>
      <c r="E603" s="49"/>
      <c r="F603" s="49"/>
      <c r="G603" s="49"/>
      <c r="H603" s="49"/>
      <c r="I603" s="49"/>
      <c r="J603" s="49"/>
      <c r="K603" s="49"/>
      <c r="L603" s="49"/>
    </row>
    <row r="604">
      <c r="A604" s="49"/>
      <c r="B604" s="49"/>
      <c r="C604" s="49"/>
      <c r="D604" s="49"/>
      <c r="E604" s="49"/>
      <c r="F604" s="49"/>
      <c r="G604" s="49"/>
      <c r="H604" s="49"/>
      <c r="I604" s="49"/>
      <c r="J604" s="49"/>
      <c r="K604" s="49"/>
      <c r="L604" s="49"/>
    </row>
    <row r="605">
      <c r="A605" s="49"/>
      <c r="B605" s="49"/>
      <c r="C605" s="49"/>
      <c r="D605" s="49"/>
      <c r="E605" s="49"/>
      <c r="F605" s="49"/>
      <c r="G605" s="49"/>
      <c r="H605" s="49"/>
      <c r="I605" s="49"/>
      <c r="J605" s="49"/>
      <c r="K605" s="49"/>
      <c r="L605" s="49"/>
    </row>
    <row r="606">
      <c r="A606" s="49"/>
      <c r="B606" s="49"/>
      <c r="C606" s="49"/>
      <c r="D606" s="49"/>
      <c r="E606" s="49"/>
      <c r="F606" s="49"/>
      <c r="G606" s="49"/>
      <c r="H606" s="49"/>
      <c r="I606" s="49"/>
      <c r="J606" s="49"/>
      <c r="K606" s="49"/>
      <c r="L606" s="49"/>
    </row>
    <row r="607">
      <c r="A607" s="49"/>
      <c r="B607" s="49"/>
      <c r="C607" s="49"/>
      <c r="D607" s="49"/>
      <c r="E607" s="49"/>
      <c r="F607" s="49"/>
      <c r="G607" s="49"/>
      <c r="H607" s="49"/>
      <c r="I607" s="49"/>
      <c r="J607" s="49"/>
      <c r="K607" s="49"/>
      <c r="L607" s="49"/>
    </row>
    <row r="608">
      <c r="A608" s="49"/>
      <c r="B608" s="49"/>
      <c r="C608" s="49"/>
      <c r="D608" s="49"/>
      <c r="E608" s="49"/>
      <c r="F608" s="49"/>
      <c r="G608" s="49"/>
      <c r="H608" s="49"/>
      <c r="I608" s="49"/>
      <c r="J608" s="49"/>
      <c r="K608" s="49"/>
      <c r="L608" s="49"/>
    </row>
    <row r="609">
      <c r="A609" s="49"/>
      <c r="B609" s="49"/>
      <c r="C609" s="49"/>
      <c r="D609" s="49"/>
      <c r="E609" s="49"/>
      <c r="F609" s="49"/>
      <c r="G609" s="49"/>
      <c r="H609" s="49"/>
      <c r="I609" s="49"/>
      <c r="J609" s="49"/>
      <c r="K609" s="49"/>
      <c r="L609" s="49"/>
    </row>
    <row r="610">
      <c r="A610" s="49"/>
      <c r="B610" s="49"/>
      <c r="C610" s="49"/>
      <c r="D610" s="49"/>
      <c r="E610" s="49"/>
      <c r="F610" s="49"/>
      <c r="G610" s="49"/>
      <c r="H610" s="49"/>
      <c r="I610" s="49"/>
      <c r="J610" s="49"/>
      <c r="K610" s="49"/>
      <c r="L610" s="49"/>
    </row>
    <row r="611">
      <c r="A611" s="49"/>
      <c r="B611" s="49"/>
      <c r="C611" s="49"/>
      <c r="D611" s="49"/>
      <c r="E611" s="49"/>
      <c r="F611" s="49"/>
      <c r="G611" s="49"/>
      <c r="H611" s="49"/>
      <c r="I611" s="49"/>
      <c r="J611" s="49"/>
      <c r="K611" s="49"/>
      <c r="L611" s="49"/>
    </row>
    <row r="612">
      <c r="A612" s="49"/>
      <c r="B612" s="49"/>
      <c r="C612" s="49"/>
      <c r="D612" s="49"/>
      <c r="E612" s="49"/>
      <c r="F612" s="49"/>
      <c r="G612" s="49"/>
      <c r="H612" s="49"/>
      <c r="I612" s="49"/>
      <c r="J612" s="49"/>
      <c r="K612" s="49"/>
      <c r="L612" s="49"/>
    </row>
    <row r="613">
      <c r="A613" s="49"/>
      <c r="B613" s="49"/>
      <c r="C613" s="49"/>
      <c r="D613" s="49"/>
      <c r="E613" s="49"/>
      <c r="F613" s="49"/>
      <c r="G613" s="49"/>
      <c r="H613" s="49"/>
      <c r="I613" s="49"/>
      <c r="J613" s="49"/>
      <c r="K613" s="49"/>
      <c r="L613" s="49"/>
    </row>
    <row r="614">
      <c r="A614" s="49"/>
      <c r="B614" s="49"/>
      <c r="C614" s="49"/>
      <c r="D614" s="49"/>
      <c r="E614" s="49"/>
      <c r="F614" s="49"/>
      <c r="G614" s="49"/>
      <c r="H614" s="49"/>
      <c r="I614" s="49"/>
      <c r="J614" s="49"/>
      <c r="K614" s="49"/>
      <c r="L614" s="49"/>
    </row>
    <row r="615">
      <c r="A615" s="49"/>
      <c r="B615" s="49"/>
      <c r="C615" s="49"/>
      <c r="D615" s="49"/>
      <c r="E615" s="49"/>
      <c r="F615" s="49"/>
      <c r="G615" s="49"/>
      <c r="H615" s="49"/>
      <c r="I615" s="49"/>
      <c r="J615" s="49"/>
      <c r="K615" s="49"/>
      <c r="L615" s="49"/>
    </row>
    <row r="616">
      <c r="A616" s="49"/>
      <c r="B616" s="49"/>
      <c r="C616" s="49"/>
      <c r="D616" s="49"/>
      <c r="E616" s="49"/>
      <c r="F616" s="49"/>
      <c r="G616" s="49"/>
      <c r="H616" s="49"/>
      <c r="I616" s="49"/>
      <c r="J616" s="49"/>
      <c r="K616" s="49"/>
      <c r="L616" s="49"/>
    </row>
    <row r="617">
      <c r="A617" s="49"/>
      <c r="B617" s="49"/>
      <c r="C617" s="49"/>
      <c r="D617" s="49"/>
      <c r="E617" s="49"/>
      <c r="F617" s="49"/>
      <c r="G617" s="49"/>
      <c r="H617" s="49"/>
      <c r="I617" s="49"/>
      <c r="J617" s="49"/>
      <c r="K617" s="49"/>
      <c r="L617" s="49"/>
    </row>
    <row r="618">
      <c r="A618" s="49"/>
      <c r="B618" s="49"/>
      <c r="C618" s="49"/>
      <c r="D618" s="49"/>
      <c r="E618" s="49"/>
      <c r="F618" s="49"/>
      <c r="G618" s="49"/>
      <c r="H618" s="49"/>
      <c r="I618" s="49"/>
      <c r="J618" s="49"/>
      <c r="K618" s="49"/>
      <c r="L618" s="49"/>
    </row>
    <row r="619">
      <c r="A619" s="49"/>
      <c r="B619" s="49"/>
      <c r="C619" s="49"/>
      <c r="D619" s="49"/>
      <c r="E619" s="49"/>
      <c r="F619" s="49"/>
      <c r="G619" s="49"/>
      <c r="H619" s="49"/>
      <c r="I619" s="49"/>
      <c r="J619" s="49"/>
      <c r="K619" s="49"/>
      <c r="L619" s="49"/>
    </row>
    <row r="620">
      <c r="A620" s="49"/>
      <c r="B620" s="49"/>
      <c r="C620" s="49"/>
      <c r="D620" s="49"/>
      <c r="E620" s="49"/>
      <c r="F620" s="49"/>
      <c r="G620" s="49"/>
      <c r="H620" s="49"/>
      <c r="I620" s="49"/>
      <c r="J620" s="49"/>
      <c r="K620" s="49"/>
      <c r="L620" s="49"/>
    </row>
    <row r="621">
      <c r="A621" s="49"/>
      <c r="B621" s="49"/>
      <c r="C621" s="49"/>
      <c r="D621" s="49"/>
      <c r="E621" s="49"/>
      <c r="F621" s="49"/>
      <c r="G621" s="49"/>
      <c r="H621" s="49"/>
      <c r="I621" s="49"/>
      <c r="J621" s="49"/>
      <c r="K621" s="49"/>
      <c r="L621" s="49"/>
    </row>
    <row r="622">
      <c r="A622" s="49"/>
      <c r="B622" s="49"/>
      <c r="C622" s="49"/>
      <c r="D622" s="49"/>
      <c r="E622" s="49"/>
      <c r="F622" s="49"/>
      <c r="G622" s="49"/>
      <c r="H622" s="49"/>
      <c r="I622" s="49"/>
      <c r="J622" s="49"/>
      <c r="K622" s="49"/>
      <c r="L622" s="49"/>
    </row>
    <row r="623">
      <c r="A623" s="49"/>
      <c r="B623" s="49"/>
      <c r="C623" s="49"/>
      <c r="D623" s="49"/>
      <c r="E623" s="49"/>
      <c r="F623" s="49"/>
      <c r="G623" s="49"/>
      <c r="H623" s="49"/>
      <c r="I623" s="49"/>
      <c r="J623" s="49"/>
      <c r="K623" s="49"/>
      <c r="L623" s="49"/>
    </row>
    <row r="624">
      <c r="A624" s="49"/>
      <c r="B624" s="49"/>
      <c r="C624" s="49"/>
      <c r="D624" s="49"/>
      <c r="E624" s="49"/>
      <c r="F624" s="49"/>
      <c r="G624" s="49"/>
      <c r="H624" s="49"/>
      <c r="I624" s="49"/>
      <c r="J624" s="49"/>
      <c r="K624" s="49"/>
      <c r="L624" s="49"/>
    </row>
    <row r="625">
      <c r="A625" s="49"/>
      <c r="B625" s="49"/>
      <c r="C625" s="49"/>
      <c r="D625" s="49"/>
      <c r="E625" s="49"/>
      <c r="F625" s="49"/>
      <c r="G625" s="49"/>
      <c r="H625" s="49"/>
      <c r="I625" s="49"/>
      <c r="J625" s="49"/>
      <c r="K625" s="49"/>
      <c r="L625" s="49"/>
    </row>
    <row r="626">
      <c r="A626" s="49"/>
      <c r="B626" s="49"/>
      <c r="C626" s="49"/>
      <c r="D626" s="49"/>
      <c r="E626" s="49"/>
      <c r="F626" s="49"/>
      <c r="G626" s="49"/>
      <c r="H626" s="49"/>
      <c r="I626" s="49"/>
      <c r="J626" s="49"/>
      <c r="K626" s="49"/>
      <c r="L626" s="49"/>
    </row>
    <row r="627">
      <c r="A627" s="49"/>
      <c r="B627" s="49"/>
      <c r="C627" s="49"/>
      <c r="D627" s="49"/>
      <c r="E627" s="49"/>
      <c r="F627" s="49"/>
      <c r="G627" s="49"/>
      <c r="H627" s="49"/>
      <c r="I627" s="49"/>
      <c r="J627" s="49"/>
      <c r="K627" s="49"/>
      <c r="L627" s="49"/>
    </row>
    <row r="628">
      <c r="A628" s="49"/>
      <c r="B628" s="49"/>
      <c r="C628" s="49"/>
      <c r="D628" s="49"/>
      <c r="E628" s="49"/>
      <c r="F628" s="49"/>
      <c r="G628" s="49"/>
      <c r="H628" s="49"/>
      <c r="I628" s="49"/>
      <c r="J628" s="49"/>
      <c r="K628" s="49"/>
      <c r="L628" s="49"/>
    </row>
    <row r="629">
      <c r="A629" s="49"/>
      <c r="B629" s="49"/>
      <c r="C629" s="49"/>
      <c r="D629" s="49"/>
      <c r="E629" s="49"/>
      <c r="F629" s="49"/>
      <c r="G629" s="49"/>
      <c r="H629" s="49"/>
      <c r="I629" s="49"/>
      <c r="J629" s="49"/>
      <c r="K629" s="49"/>
      <c r="L629" s="49"/>
    </row>
    <row r="630">
      <c r="A630" s="49"/>
      <c r="B630" s="49"/>
      <c r="C630" s="49"/>
      <c r="D630" s="49"/>
      <c r="E630" s="49"/>
      <c r="F630" s="49"/>
      <c r="G630" s="49"/>
      <c r="H630" s="49"/>
      <c r="I630" s="49"/>
      <c r="J630" s="49"/>
      <c r="K630" s="49"/>
      <c r="L630" s="49"/>
    </row>
    <row r="631">
      <c r="A631" s="49"/>
      <c r="B631" s="49"/>
      <c r="C631" s="49"/>
      <c r="D631" s="49"/>
      <c r="E631" s="49"/>
      <c r="F631" s="49"/>
      <c r="G631" s="49"/>
      <c r="H631" s="49"/>
      <c r="I631" s="49"/>
      <c r="J631" s="49"/>
      <c r="K631" s="49"/>
      <c r="L631" s="49"/>
    </row>
    <row r="632">
      <c r="A632" s="49"/>
      <c r="B632" s="49"/>
      <c r="C632" s="49"/>
      <c r="D632" s="49"/>
      <c r="E632" s="49"/>
      <c r="F632" s="49"/>
      <c r="G632" s="49"/>
      <c r="H632" s="49"/>
      <c r="I632" s="49"/>
      <c r="J632" s="49"/>
      <c r="K632" s="49"/>
      <c r="L632" s="49"/>
    </row>
    <row r="633">
      <c r="A633" s="49"/>
      <c r="B633" s="49"/>
      <c r="C633" s="49"/>
      <c r="D633" s="49"/>
      <c r="E633" s="49"/>
      <c r="F633" s="49"/>
      <c r="G633" s="49"/>
      <c r="H633" s="49"/>
      <c r="I633" s="49"/>
      <c r="J633" s="49"/>
      <c r="K633" s="49"/>
      <c r="L633" s="49"/>
    </row>
    <row r="634">
      <c r="A634" s="49"/>
      <c r="B634" s="49"/>
      <c r="C634" s="49"/>
      <c r="D634" s="49"/>
      <c r="E634" s="49"/>
      <c r="F634" s="49"/>
      <c r="G634" s="49"/>
      <c r="H634" s="49"/>
      <c r="I634" s="49"/>
      <c r="J634" s="49"/>
      <c r="K634" s="49"/>
      <c r="L634" s="49"/>
    </row>
    <row r="635">
      <c r="A635" s="49"/>
      <c r="B635" s="49"/>
      <c r="C635" s="49"/>
      <c r="D635" s="49"/>
      <c r="E635" s="49"/>
      <c r="F635" s="49"/>
      <c r="G635" s="49"/>
      <c r="H635" s="49"/>
      <c r="I635" s="49"/>
      <c r="J635" s="49"/>
      <c r="K635" s="49"/>
      <c r="L635" s="49"/>
    </row>
    <row r="636">
      <c r="A636" s="49"/>
      <c r="B636" s="49"/>
      <c r="C636" s="49"/>
      <c r="D636" s="49"/>
      <c r="E636" s="49"/>
      <c r="F636" s="49"/>
      <c r="G636" s="49"/>
      <c r="H636" s="49"/>
      <c r="I636" s="49"/>
      <c r="J636" s="49"/>
      <c r="K636" s="49"/>
      <c r="L636" s="49"/>
    </row>
    <row r="637">
      <c r="A637" s="49"/>
      <c r="B637" s="49"/>
      <c r="C637" s="49"/>
      <c r="D637" s="49"/>
      <c r="E637" s="49"/>
      <c r="F637" s="49"/>
      <c r="G637" s="49"/>
      <c r="H637" s="49"/>
      <c r="I637" s="49"/>
      <c r="J637" s="49"/>
      <c r="K637" s="49"/>
      <c r="L637" s="49"/>
    </row>
    <row r="638">
      <c r="A638" s="49"/>
      <c r="B638" s="49"/>
      <c r="C638" s="49"/>
      <c r="D638" s="49"/>
      <c r="E638" s="49"/>
      <c r="F638" s="49"/>
      <c r="G638" s="49"/>
      <c r="H638" s="49"/>
      <c r="I638" s="49"/>
      <c r="J638" s="49"/>
      <c r="K638" s="49"/>
      <c r="L638" s="49"/>
    </row>
    <row r="639">
      <c r="A639" s="49"/>
      <c r="B639" s="49"/>
      <c r="C639" s="49"/>
      <c r="D639" s="49"/>
      <c r="E639" s="49"/>
      <c r="F639" s="49"/>
      <c r="G639" s="49"/>
      <c r="H639" s="49"/>
      <c r="I639" s="49"/>
      <c r="J639" s="49"/>
      <c r="K639" s="49"/>
      <c r="L639" s="49"/>
    </row>
    <row r="640">
      <c r="A640" s="49"/>
      <c r="B640" s="49"/>
      <c r="C640" s="49"/>
      <c r="D640" s="49"/>
      <c r="E640" s="49"/>
      <c r="F640" s="49"/>
      <c r="G640" s="49"/>
      <c r="H640" s="49"/>
      <c r="I640" s="49"/>
      <c r="J640" s="49"/>
      <c r="K640" s="49"/>
      <c r="L640" s="49"/>
    </row>
    <row r="641">
      <c r="A641" s="49"/>
      <c r="B641" s="49"/>
      <c r="C641" s="49"/>
      <c r="D641" s="49"/>
      <c r="E641" s="49"/>
      <c r="F641" s="49"/>
      <c r="G641" s="49"/>
      <c r="H641" s="49"/>
      <c r="I641" s="49"/>
      <c r="J641" s="49"/>
      <c r="K641" s="49"/>
      <c r="L641" s="49"/>
    </row>
    <row r="642">
      <c r="A642" s="49"/>
      <c r="B642" s="49"/>
      <c r="C642" s="49"/>
      <c r="D642" s="49"/>
      <c r="E642" s="49"/>
      <c r="F642" s="49"/>
      <c r="G642" s="49"/>
      <c r="H642" s="49"/>
      <c r="I642" s="49"/>
      <c r="J642" s="49"/>
      <c r="K642" s="49"/>
      <c r="L642" s="49"/>
    </row>
    <row r="643">
      <c r="A643" s="49"/>
      <c r="B643" s="49"/>
      <c r="C643" s="49"/>
      <c r="D643" s="49"/>
      <c r="E643" s="49"/>
      <c r="F643" s="49"/>
      <c r="G643" s="49"/>
      <c r="H643" s="49"/>
      <c r="I643" s="49"/>
      <c r="J643" s="49"/>
      <c r="K643" s="49"/>
      <c r="L643" s="49"/>
    </row>
    <row r="644">
      <c r="A644" s="49"/>
      <c r="B644" s="49"/>
      <c r="C644" s="49"/>
      <c r="D644" s="49"/>
      <c r="E644" s="49"/>
      <c r="F644" s="49"/>
      <c r="G644" s="49"/>
      <c r="H644" s="49"/>
      <c r="I644" s="49"/>
      <c r="J644" s="49"/>
      <c r="K644" s="49"/>
      <c r="L644" s="49"/>
    </row>
    <row r="645">
      <c r="A645" s="49"/>
      <c r="B645" s="49"/>
      <c r="C645" s="49"/>
      <c r="D645" s="49"/>
      <c r="E645" s="49"/>
      <c r="F645" s="49"/>
      <c r="G645" s="49"/>
      <c r="H645" s="49"/>
      <c r="I645" s="49"/>
      <c r="J645" s="49"/>
      <c r="K645" s="49"/>
      <c r="L645" s="49"/>
    </row>
    <row r="646">
      <c r="A646" s="49"/>
      <c r="B646" s="49"/>
      <c r="C646" s="49"/>
      <c r="D646" s="49"/>
      <c r="E646" s="49"/>
      <c r="F646" s="49"/>
      <c r="G646" s="49"/>
      <c r="H646" s="49"/>
      <c r="I646" s="49"/>
      <c r="J646" s="49"/>
      <c r="K646" s="49"/>
      <c r="L646" s="49"/>
    </row>
    <row r="647">
      <c r="A647" s="49"/>
      <c r="B647" s="49"/>
      <c r="C647" s="49"/>
      <c r="D647" s="49"/>
      <c r="E647" s="49"/>
      <c r="F647" s="49"/>
      <c r="G647" s="49"/>
      <c r="H647" s="49"/>
      <c r="I647" s="49"/>
      <c r="J647" s="49"/>
      <c r="K647" s="49"/>
      <c r="L647" s="49"/>
    </row>
    <row r="648">
      <c r="A648" s="49"/>
      <c r="B648" s="49"/>
      <c r="C648" s="49"/>
      <c r="D648" s="49"/>
      <c r="E648" s="49"/>
      <c r="F648" s="49"/>
      <c r="G648" s="49"/>
      <c r="H648" s="49"/>
      <c r="I648" s="49"/>
      <c r="J648" s="49"/>
      <c r="K648" s="49"/>
      <c r="L648" s="49"/>
    </row>
    <row r="649">
      <c r="A649" s="49"/>
      <c r="B649" s="49"/>
      <c r="C649" s="49"/>
      <c r="D649" s="49"/>
      <c r="E649" s="49"/>
      <c r="F649" s="49"/>
      <c r="G649" s="49"/>
      <c r="H649" s="49"/>
      <c r="I649" s="49"/>
      <c r="J649" s="49"/>
      <c r="K649" s="49"/>
      <c r="L649" s="49"/>
    </row>
    <row r="650">
      <c r="A650" s="49"/>
      <c r="B650" s="49"/>
      <c r="C650" s="49"/>
      <c r="D650" s="49"/>
      <c r="E650" s="49"/>
      <c r="F650" s="49"/>
      <c r="G650" s="49"/>
      <c r="H650" s="49"/>
      <c r="I650" s="49"/>
      <c r="J650" s="49"/>
      <c r="K650" s="49"/>
      <c r="L650" s="49"/>
    </row>
    <row r="651">
      <c r="A651" s="49"/>
      <c r="B651" s="49"/>
      <c r="C651" s="49"/>
      <c r="D651" s="49"/>
      <c r="E651" s="49"/>
      <c r="F651" s="49"/>
      <c r="G651" s="49"/>
      <c r="H651" s="49"/>
      <c r="I651" s="49"/>
      <c r="J651" s="49"/>
      <c r="K651" s="49"/>
      <c r="L651" s="49"/>
    </row>
    <row r="652">
      <c r="A652" s="49"/>
      <c r="B652" s="49"/>
      <c r="C652" s="49"/>
      <c r="D652" s="49"/>
      <c r="E652" s="49"/>
      <c r="F652" s="49"/>
      <c r="G652" s="49"/>
      <c r="H652" s="49"/>
      <c r="I652" s="49"/>
      <c r="J652" s="49"/>
      <c r="K652" s="49"/>
      <c r="L652" s="49"/>
    </row>
    <row r="653">
      <c r="A653" s="49"/>
      <c r="B653" s="49"/>
      <c r="C653" s="49"/>
      <c r="D653" s="49"/>
      <c r="E653" s="49"/>
      <c r="F653" s="49"/>
      <c r="G653" s="49"/>
      <c r="H653" s="49"/>
      <c r="I653" s="49"/>
      <c r="J653" s="49"/>
      <c r="K653" s="49"/>
      <c r="L653" s="49"/>
    </row>
    <row r="654">
      <c r="A654" s="49"/>
      <c r="B654" s="49"/>
      <c r="C654" s="49"/>
      <c r="D654" s="49"/>
      <c r="E654" s="49"/>
      <c r="F654" s="49"/>
      <c r="G654" s="49"/>
      <c r="H654" s="49"/>
      <c r="I654" s="49"/>
      <c r="J654" s="49"/>
      <c r="K654" s="49"/>
      <c r="L654" s="49"/>
    </row>
    <row r="655">
      <c r="A655" s="49"/>
      <c r="B655" s="49"/>
      <c r="C655" s="49"/>
      <c r="D655" s="49"/>
      <c r="E655" s="49"/>
      <c r="F655" s="49"/>
      <c r="G655" s="49"/>
      <c r="H655" s="49"/>
      <c r="I655" s="49"/>
      <c r="J655" s="49"/>
      <c r="K655" s="49"/>
      <c r="L655" s="49"/>
    </row>
    <row r="656">
      <c r="A656" s="49"/>
      <c r="B656" s="49"/>
      <c r="C656" s="49"/>
      <c r="D656" s="49"/>
      <c r="E656" s="49"/>
      <c r="F656" s="49"/>
      <c r="G656" s="49"/>
      <c r="H656" s="49"/>
      <c r="I656" s="49"/>
      <c r="J656" s="49"/>
      <c r="K656" s="49"/>
      <c r="L656" s="49"/>
    </row>
    <row r="657">
      <c r="A657" s="49"/>
      <c r="B657" s="49"/>
      <c r="C657" s="49"/>
      <c r="D657" s="49"/>
      <c r="E657" s="49"/>
      <c r="F657" s="49"/>
      <c r="G657" s="49"/>
      <c r="H657" s="49"/>
      <c r="I657" s="49"/>
      <c r="J657" s="49"/>
      <c r="K657" s="49"/>
      <c r="L657" s="49"/>
    </row>
    <row r="658">
      <c r="A658" s="49"/>
      <c r="B658" s="49"/>
      <c r="C658" s="49"/>
      <c r="D658" s="49"/>
      <c r="E658" s="49"/>
      <c r="F658" s="49"/>
      <c r="G658" s="49"/>
      <c r="H658" s="49"/>
      <c r="I658" s="49"/>
      <c r="J658" s="49"/>
      <c r="K658" s="49"/>
      <c r="L658" s="49"/>
    </row>
    <row r="659">
      <c r="A659" s="49"/>
      <c r="B659" s="49"/>
      <c r="C659" s="49"/>
      <c r="D659" s="49"/>
      <c r="E659" s="49"/>
      <c r="F659" s="49"/>
      <c r="G659" s="49"/>
      <c r="H659" s="49"/>
      <c r="I659" s="49"/>
      <c r="J659" s="49"/>
      <c r="K659" s="49"/>
      <c r="L659" s="49"/>
    </row>
    <row r="660">
      <c r="A660" s="49"/>
      <c r="B660" s="49"/>
      <c r="C660" s="49"/>
      <c r="D660" s="49"/>
      <c r="E660" s="49"/>
      <c r="F660" s="49"/>
      <c r="G660" s="49"/>
      <c r="H660" s="49"/>
      <c r="I660" s="49"/>
      <c r="J660" s="49"/>
      <c r="K660" s="49"/>
      <c r="L660" s="49"/>
    </row>
    <row r="661">
      <c r="A661" s="49"/>
      <c r="B661" s="49"/>
      <c r="C661" s="49"/>
      <c r="D661" s="49"/>
      <c r="E661" s="49"/>
      <c r="F661" s="49"/>
      <c r="G661" s="49"/>
      <c r="H661" s="49"/>
      <c r="I661" s="49"/>
      <c r="J661" s="49"/>
      <c r="K661" s="49"/>
      <c r="L661" s="49"/>
    </row>
    <row r="662">
      <c r="A662" s="49"/>
      <c r="B662" s="49"/>
      <c r="C662" s="49"/>
      <c r="D662" s="49"/>
      <c r="E662" s="49"/>
      <c r="F662" s="49"/>
      <c r="G662" s="49"/>
      <c r="H662" s="49"/>
      <c r="I662" s="49"/>
      <c r="J662" s="49"/>
      <c r="K662" s="49"/>
      <c r="L662" s="49"/>
    </row>
    <row r="663">
      <c r="A663" s="49"/>
      <c r="B663" s="49"/>
      <c r="C663" s="49"/>
      <c r="D663" s="49"/>
      <c r="E663" s="49"/>
      <c r="F663" s="49"/>
      <c r="G663" s="49"/>
      <c r="H663" s="49"/>
      <c r="I663" s="49"/>
      <c r="J663" s="49"/>
      <c r="K663" s="49"/>
      <c r="L663" s="49"/>
    </row>
    <row r="664">
      <c r="A664" s="49"/>
      <c r="B664" s="49"/>
      <c r="C664" s="49"/>
      <c r="D664" s="49"/>
      <c r="E664" s="49"/>
      <c r="F664" s="49"/>
      <c r="G664" s="49"/>
      <c r="H664" s="49"/>
      <c r="I664" s="49"/>
      <c r="J664" s="49"/>
      <c r="K664" s="49"/>
      <c r="L664" s="49"/>
    </row>
    <row r="665">
      <c r="A665" s="49"/>
      <c r="B665" s="49"/>
      <c r="C665" s="49"/>
      <c r="D665" s="49"/>
      <c r="E665" s="49"/>
      <c r="F665" s="49"/>
      <c r="G665" s="49"/>
      <c r="H665" s="49"/>
      <c r="I665" s="49"/>
      <c r="J665" s="49"/>
      <c r="K665" s="49"/>
      <c r="L665" s="49"/>
    </row>
    <row r="666">
      <c r="A666" s="49"/>
      <c r="B666" s="49"/>
      <c r="C666" s="49"/>
      <c r="D666" s="49"/>
      <c r="E666" s="49"/>
      <c r="F666" s="49"/>
      <c r="G666" s="49"/>
      <c r="H666" s="49"/>
      <c r="I666" s="49"/>
      <c r="J666" s="49"/>
      <c r="K666" s="49"/>
      <c r="L666" s="49"/>
    </row>
    <row r="667">
      <c r="A667" s="49"/>
      <c r="B667" s="49"/>
      <c r="C667" s="49"/>
      <c r="D667" s="49"/>
      <c r="E667" s="49"/>
      <c r="F667" s="49"/>
      <c r="G667" s="49"/>
      <c r="H667" s="49"/>
      <c r="I667" s="49"/>
      <c r="J667" s="49"/>
      <c r="K667" s="49"/>
      <c r="L667" s="49"/>
    </row>
    <row r="668">
      <c r="A668" s="49"/>
      <c r="B668" s="49"/>
      <c r="C668" s="49"/>
      <c r="D668" s="49"/>
      <c r="E668" s="49"/>
      <c r="F668" s="49"/>
      <c r="G668" s="49"/>
      <c r="H668" s="49"/>
      <c r="I668" s="49"/>
      <c r="J668" s="49"/>
      <c r="K668" s="49"/>
      <c r="L668" s="49"/>
    </row>
    <row r="669">
      <c r="A669" s="49"/>
      <c r="B669" s="49"/>
      <c r="C669" s="49"/>
      <c r="D669" s="49"/>
      <c r="E669" s="49"/>
      <c r="F669" s="49"/>
      <c r="G669" s="49"/>
      <c r="H669" s="49"/>
      <c r="I669" s="49"/>
      <c r="J669" s="49"/>
      <c r="K669" s="49"/>
      <c r="L669" s="49"/>
    </row>
    <row r="670">
      <c r="A670" s="49"/>
      <c r="B670" s="49"/>
      <c r="C670" s="49"/>
      <c r="D670" s="49"/>
      <c r="E670" s="49"/>
      <c r="F670" s="49"/>
      <c r="G670" s="49"/>
      <c r="H670" s="49"/>
      <c r="I670" s="49"/>
      <c r="J670" s="49"/>
      <c r="K670" s="49"/>
      <c r="L670" s="49"/>
    </row>
    <row r="671">
      <c r="A671" s="49"/>
      <c r="B671" s="49"/>
      <c r="C671" s="49"/>
      <c r="D671" s="49"/>
      <c r="E671" s="49"/>
      <c r="F671" s="49"/>
      <c r="G671" s="49"/>
      <c r="H671" s="49"/>
      <c r="I671" s="49"/>
      <c r="J671" s="49"/>
      <c r="K671" s="49"/>
      <c r="L671" s="49"/>
    </row>
    <row r="672">
      <c r="A672" s="49"/>
      <c r="B672" s="49"/>
      <c r="C672" s="49"/>
      <c r="D672" s="49"/>
      <c r="E672" s="49"/>
      <c r="F672" s="49"/>
      <c r="G672" s="49"/>
      <c r="H672" s="49"/>
      <c r="I672" s="49"/>
      <c r="J672" s="49"/>
      <c r="K672" s="49"/>
      <c r="L672" s="49"/>
    </row>
    <row r="673">
      <c r="A673" s="49"/>
      <c r="B673" s="49"/>
      <c r="C673" s="49"/>
      <c r="D673" s="49"/>
      <c r="E673" s="49"/>
      <c r="F673" s="49"/>
      <c r="G673" s="49"/>
      <c r="H673" s="49"/>
      <c r="I673" s="49"/>
      <c r="J673" s="49"/>
      <c r="K673" s="49"/>
      <c r="L673" s="49"/>
    </row>
    <row r="674">
      <c r="A674" s="49"/>
      <c r="B674" s="49"/>
      <c r="C674" s="49"/>
      <c r="D674" s="49"/>
      <c r="E674" s="49"/>
      <c r="F674" s="49"/>
      <c r="G674" s="49"/>
      <c r="H674" s="49"/>
      <c r="I674" s="49"/>
      <c r="J674" s="49"/>
      <c r="K674" s="49"/>
      <c r="L674" s="49"/>
    </row>
    <row r="675">
      <c r="A675" s="49"/>
      <c r="B675" s="49"/>
      <c r="C675" s="49"/>
      <c r="D675" s="49"/>
      <c r="E675" s="49"/>
      <c r="F675" s="49"/>
      <c r="G675" s="49"/>
      <c r="H675" s="49"/>
      <c r="I675" s="49"/>
      <c r="J675" s="49"/>
      <c r="K675" s="49"/>
      <c r="L675" s="49"/>
    </row>
    <row r="676">
      <c r="A676" s="49"/>
      <c r="B676" s="49"/>
      <c r="C676" s="49"/>
      <c r="D676" s="49"/>
      <c r="E676" s="49"/>
      <c r="F676" s="49"/>
      <c r="G676" s="49"/>
      <c r="H676" s="49"/>
      <c r="I676" s="49"/>
      <c r="J676" s="49"/>
      <c r="K676" s="49"/>
      <c r="L676" s="49"/>
    </row>
    <row r="677">
      <c r="A677" s="49"/>
      <c r="B677" s="49"/>
      <c r="C677" s="49"/>
      <c r="D677" s="49"/>
      <c r="E677" s="49"/>
      <c r="F677" s="49"/>
      <c r="G677" s="49"/>
      <c r="H677" s="49"/>
      <c r="I677" s="49"/>
      <c r="J677" s="49"/>
      <c r="K677" s="49"/>
      <c r="L677" s="49"/>
    </row>
    <row r="678">
      <c r="A678" s="49"/>
      <c r="B678" s="49"/>
      <c r="C678" s="49"/>
      <c r="D678" s="49"/>
      <c r="E678" s="49"/>
      <c r="F678" s="49"/>
      <c r="G678" s="49"/>
      <c r="H678" s="49"/>
      <c r="I678" s="49"/>
      <c r="J678" s="49"/>
      <c r="K678" s="49"/>
      <c r="L678" s="49"/>
    </row>
    <row r="679">
      <c r="A679" s="49"/>
      <c r="B679" s="49"/>
      <c r="C679" s="49"/>
      <c r="D679" s="49"/>
      <c r="E679" s="49"/>
      <c r="F679" s="49"/>
      <c r="G679" s="49"/>
      <c r="H679" s="49"/>
      <c r="I679" s="49"/>
      <c r="J679" s="49"/>
      <c r="K679" s="49"/>
      <c r="L679" s="49"/>
    </row>
    <row r="680">
      <c r="A680" s="49"/>
      <c r="B680" s="49"/>
      <c r="C680" s="49"/>
      <c r="D680" s="49"/>
      <c r="E680" s="49"/>
      <c r="F680" s="49"/>
      <c r="G680" s="49"/>
      <c r="H680" s="49"/>
      <c r="I680" s="49"/>
      <c r="J680" s="49"/>
      <c r="K680" s="49"/>
      <c r="L680" s="49"/>
    </row>
    <row r="681">
      <c r="A681" s="49"/>
      <c r="B681" s="49"/>
      <c r="C681" s="49"/>
      <c r="D681" s="49"/>
      <c r="E681" s="49"/>
      <c r="F681" s="49"/>
      <c r="G681" s="49"/>
      <c r="H681" s="49"/>
      <c r="I681" s="49"/>
      <c r="J681" s="49"/>
      <c r="K681" s="49"/>
      <c r="L681" s="49"/>
    </row>
    <row r="682">
      <c r="A682" s="49"/>
      <c r="B682" s="49"/>
      <c r="C682" s="49"/>
      <c r="D682" s="49"/>
      <c r="E682" s="49"/>
      <c r="F682" s="49"/>
      <c r="G682" s="49"/>
      <c r="H682" s="49"/>
      <c r="I682" s="49"/>
      <c r="J682" s="49"/>
      <c r="K682" s="49"/>
      <c r="L682" s="49"/>
    </row>
    <row r="683">
      <c r="A683" s="49"/>
      <c r="B683" s="49"/>
      <c r="C683" s="49"/>
      <c r="D683" s="49"/>
      <c r="E683" s="49"/>
      <c r="F683" s="49"/>
      <c r="G683" s="49"/>
      <c r="H683" s="49"/>
      <c r="I683" s="49"/>
      <c r="J683" s="49"/>
      <c r="K683" s="49"/>
      <c r="L683" s="49"/>
    </row>
    <row r="684">
      <c r="A684" s="49"/>
      <c r="B684" s="49"/>
      <c r="C684" s="49"/>
      <c r="D684" s="49"/>
      <c r="E684" s="49"/>
      <c r="F684" s="49"/>
      <c r="G684" s="49"/>
      <c r="H684" s="49"/>
      <c r="I684" s="49"/>
      <c r="J684" s="49"/>
      <c r="K684" s="49"/>
      <c r="L684" s="49"/>
    </row>
    <row r="685">
      <c r="A685" s="49"/>
      <c r="B685" s="49"/>
      <c r="C685" s="49"/>
      <c r="D685" s="49"/>
      <c r="E685" s="49"/>
      <c r="F685" s="49"/>
      <c r="G685" s="49"/>
      <c r="H685" s="49"/>
      <c r="I685" s="49"/>
      <c r="J685" s="49"/>
      <c r="K685" s="49"/>
      <c r="L685" s="49"/>
    </row>
    <row r="686">
      <c r="A686" s="49"/>
      <c r="B686" s="49"/>
      <c r="C686" s="49"/>
      <c r="D686" s="49"/>
      <c r="E686" s="49"/>
      <c r="F686" s="49"/>
      <c r="G686" s="49"/>
      <c r="H686" s="49"/>
      <c r="I686" s="49"/>
      <c r="J686" s="49"/>
      <c r="K686" s="49"/>
      <c r="L686" s="49"/>
    </row>
    <row r="687">
      <c r="A687" s="49"/>
      <c r="B687" s="49"/>
      <c r="C687" s="49"/>
      <c r="D687" s="49"/>
      <c r="E687" s="49"/>
      <c r="F687" s="49"/>
      <c r="G687" s="49"/>
      <c r="H687" s="49"/>
      <c r="I687" s="49"/>
      <c r="J687" s="49"/>
      <c r="K687" s="49"/>
      <c r="L687" s="49"/>
    </row>
    <row r="688">
      <c r="A688" s="49"/>
      <c r="B688" s="49"/>
      <c r="C688" s="49"/>
      <c r="D688" s="49"/>
      <c r="E688" s="49"/>
      <c r="F688" s="49"/>
      <c r="G688" s="49"/>
      <c r="H688" s="49"/>
      <c r="I688" s="49"/>
      <c r="J688" s="49"/>
      <c r="K688" s="49"/>
      <c r="L688" s="49"/>
    </row>
    <row r="689">
      <c r="A689" s="49"/>
      <c r="B689" s="49"/>
      <c r="C689" s="49"/>
      <c r="D689" s="49"/>
      <c r="E689" s="49"/>
      <c r="F689" s="49"/>
      <c r="G689" s="49"/>
      <c r="H689" s="49"/>
      <c r="I689" s="49"/>
      <c r="J689" s="49"/>
      <c r="K689" s="49"/>
      <c r="L689" s="49"/>
    </row>
    <row r="690">
      <c r="A690" s="49"/>
      <c r="B690" s="49"/>
      <c r="C690" s="49"/>
      <c r="D690" s="49"/>
      <c r="E690" s="49"/>
      <c r="F690" s="49"/>
      <c r="G690" s="49"/>
      <c r="H690" s="49"/>
      <c r="I690" s="49"/>
      <c r="J690" s="49"/>
      <c r="K690" s="49"/>
      <c r="L690" s="49"/>
    </row>
    <row r="691">
      <c r="A691" s="49"/>
      <c r="B691" s="49"/>
      <c r="C691" s="49"/>
      <c r="D691" s="49"/>
      <c r="E691" s="49"/>
      <c r="F691" s="49"/>
      <c r="G691" s="49"/>
      <c r="H691" s="49"/>
      <c r="I691" s="49"/>
      <c r="J691" s="49"/>
      <c r="K691" s="49"/>
      <c r="L691" s="49"/>
    </row>
    <row r="692">
      <c r="A692" s="49"/>
      <c r="B692" s="49"/>
      <c r="C692" s="49"/>
      <c r="D692" s="49"/>
      <c r="E692" s="49"/>
      <c r="F692" s="49"/>
      <c r="G692" s="49"/>
      <c r="H692" s="49"/>
      <c r="I692" s="49"/>
      <c r="J692" s="49"/>
      <c r="K692" s="49"/>
      <c r="L692" s="49"/>
    </row>
    <row r="693">
      <c r="A693" s="49"/>
      <c r="B693" s="49"/>
      <c r="C693" s="49"/>
      <c r="D693" s="49"/>
      <c r="E693" s="49"/>
      <c r="F693" s="49"/>
      <c r="G693" s="49"/>
      <c r="H693" s="49"/>
      <c r="I693" s="49"/>
      <c r="J693" s="49"/>
      <c r="K693" s="49"/>
      <c r="L693" s="49"/>
    </row>
    <row r="694">
      <c r="A694" s="49"/>
      <c r="B694" s="49"/>
      <c r="C694" s="49"/>
      <c r="D694" s="49"/>
      <c r="E694" s="49"/>
      <c r="F694" s="49"/>
      <c r="G694" s="49"/>
      <c r="H694" s="49"/>
      <c r="I694" s="49"/>
      <c r="J694" s="49"/>
      <c r="K694" s="49"/>
      <c r="L694" s="49"/>
    </row>
    <row r="695">
      <c r="A695" s="49"/>
      <c r="B695" s="49"/>
      <c r="C695" s="49"/>
      <c r="D695" s="49"/>
      <c r="E695" s="49"/>
      <c r="F695" s="49"/>
      <c r="G695" s="49"/>
      <c r="H695" s="49"/>
      <c r="I695" s="49"/>
      <c r="J695" s="49"/>
      <c r="K695" s="49"/>
      <c r="L695" s="49"/>
    </row>
    <row r="696">
      <c r="A696" s="49"/>
      <c r="B696" s="49"/>
      <c r="C696" s="49"/>
      <c r="D696" s="49"/>
      <c r="E696" s="49"/>
      <c r="F696" s="49"/>
      <c r="G696" s="49"/>
      <c r="H696" s="49"/>
      <c r="I696" s="49"/>
      <c r="J696" s="49"/>
      <c r="K696" s="49"/>
      <c r="L696" s="49"/>
    </row>
    <row r="697">
      <c r="A697" s="49"/>
      <c r="B697" s="49"/>
      <c r="C697" s="49"/>
      <c r="D697" s="49"/>
      <c r="E697" s="49"/>
      <c r="F697" s="49"/>
      <c r="G697" s="49"/>
      <c r="H697" s="49"/>
      <c r="I697" s="49"/>
      <c r="J697" s="49"/>
      <c r="K697" s="49"/>
      <c r="L697" s="49"/>
    </row>
    <row r="698">
      <c r="A698" s="49"/>
      <c r="B698" s="49"/>
      <c r="C698" s="49"/>
      <c r="D698" s="49"/>
      <c r="E698" s="49"/>
      <c r="F698" s="49"/>
      <c r="G698" s="49"/>
      <c r="H698" s="49"/>
      <c r="I698" s="49"/>
      <c r="J698" s="49"/>
      <c r="K698" s="49"/>
      <c r="L698" s="49"/>
    </row>
    <row r="699">
      <c r="A699" s="49"/>
      <c r="B699" s="49"/>
      <c r="C699" s="49"/>
      <c r="D699" s="49"/>
      <c r="E699" s="49"/>
      <c r="F699" s="49"/>
      <c r="G699" s="49"/>
      <c r="H699" s="49"/>
      <c r="I699" s="49"/>
      <c r="J699" s="49"/>
      <c r="K699" s="49"/>
      <c r="L699" s="49"/>
    </row>
    <row r="700">
      <c r="A700" s="49"/>
      <c r="B700" s="49"/>
      <c r="C700" s="49"/>
      <c r="D700" s="49"/>
      <c r="E700" s="49"/>
      <c r="F700" s="49"/>
      <c r="G700" s="49"/>
      <c r="H700" s="49"/>
      <c r="I700" s="49"/>
      <c r="J700" s="49"/>
      <c r="K700" s="49"/>
      <c r="L700" s="49"/>
    </row>
    <row r="701">
      <c r="A701" s="49"/>
      <c r="B701" s="49"/>
      <c r="C701" s="49"/>
      <c r="D701" s="49"/>
      <c r="E701" s="49"/>
      <c r="F701" s="49"/>
      <c r="G701" s="49"/>
      <c r="H701" s="49"/>
      <c r="I701" s="49"/>
      <c r="J701" s="49"/>
      <c r="K701" s="49"/>
      <c r="L701" s="49"/>
    </row>
    <row r="702">
      <c r="A702" s="49"/>
      <c r="B702" s="49"/>
      <c r="C702" s="49"/>
      <c r="D702" s="49"/>
      <c r="E702" s="49"/>
      <c r="F702" s="49"/>
      <c r="G702" s="49"/>
      <c r="H702" s="49"/>
      <c r="I702" s="49"/>
      <c r="J702" s="49"/>
      <c r="K702" s="49"/>
      <c r="L702" s="49"/>
    </row>
    <row r="703">
      <c r="A703" s="49"/>
      <c r="B703" s="49"/>
      <c r="C703" s="49"/>
      <c r="D703" s="49"/>
      <c r="E703" s="49"/>
      <c r="F703" s="49"/>
      <c r="G703" s="49"/>
      <c r="H703" s="49"/>
      <c r="I703" s="49"/>
      <c r="J703" s="49"/>
      <c r="K703" s="49"/>
      <c r="L703" s="49"/>
    </row>
    <row r="704">
      <c r="A704" s="49"/>
      <c r="B704" s="49"/>
      <c r="C704" s="49"/>
      <c r="D704" s="49"/>
      <c r="E704" s="49"/>
      <c r="F704" s="49"/>
      <c r="G704" s="49"/>
      <c r="H704" s="49"/>
      <c r="I704" s="49"/>
      <c r="J704" s="49"/>
      <c r="K704" s="49"/>
      <c r="L704" s="49"/>
    </row>
    <row r="705">
      <c r="A705" s="49"/>
      <c r="B705" s="49"/>
      <c r="C705" s="49"/>
      <c r="D705" s="49"/>
      <c r="E705" s="49"/>
      <c r="F705" s="49"/>
      <c r="G705" s="49"/>
      <c r="H705" s="49"/>
      <c r="I705" s="49"/>
      <c r="J705" s="49"/>
      <c r="K705" s="49"/>
      <c r="L705" s="49"/>
    </row>
    <row r="706">
      <c r="A706" s="49"/>
      <c r="B706" s="49"/>
      <c r="C706" s="49"/>
      <c r="D706" s="49"/>
      <c r="E706" s="49"/>
      <c r="F706" s="49"/>
      <c r="G706" s="49"/>
      <c r="H706" s="49"/>
      <c r="I706" s="49"/>
      <c r="J706" s="49"/>
      <c r="K706" s="49"/>
      <c r="L706" s="49"/>
    </row>
    <row r="707">
      <c r="A707" s="49"/>
      <c r="B707" s="49"/>
      <c r="C707" s="49"/>
      <c r="D707" s="49"/>
      <c r="E707" s="49"/>
      <c r="F707" s="49"/>
      <c r="G707" s="49"/>
      <c r="H707" s="49"/>
      <c r="I707" s="49"/>
      <c r="J707" s="49"/>
      <c r="K707" s="49"/>
      <c r="L707" s="49"/>
    </row>
    <row r="708">
      <c r="A708" s="49"/>
      <c r="B708" s="49"/>
      <c r="C708" s="49"/>
      <c r="D708" s="49"/>
      <c r="E708" s="49"/>
      <c r="F708" s="49"/>
      <c r="G708" s="49"/>
      <c r="H708" s="49"/>
      <c r="I708" s="49"/>
      <c r="J708" s="49"/>
      <c r="K708" s="49"/>
      <c r="L708" s="49"/>
    </row>
    <row r="709">
      <c r="A709" s="49"/>
      <c r="B709" s="49"/>
      <c r="C709" s="49"/>
      <c r="D709" s="49"/>
      <c r="E709" s="49"/>
      <c r="F709" s="49"/>
      <c r="G709" s="49"/>
      <c r="H709" s="49"/>
      <c r="I709" s="49"/>
      <c r="J709" s="49"/>
      <c r="K709" s="49"/>
      <c r="L709" s="49"/>
    </row>
    <row r="710">
      <c r="A710" s="49"/>
      <c r="B710" s="49"/>
      <c r="C710" s="49"/>
      <c r="D710" s="49"/>
      <c r="E710" s="49"/>
      <c r="F710" s="49"/>
      <c r="G710" s="49"/>
      <c r="H710" s="49"/>
      <c r="I710" s="49"/>
      <c r="J710" s="49"/>
      <c r="K710" s="49"/>
      <c r="L710" s="49"/>
    </row>
    <row r="711">
      <c r="A711" s="49"/>
      <c r="B711" s="49"/>
      <c r="C711" s="49"/>
      <c r="D711" s="49"/>
      <c r="E711" s="49"/>
      <c r="F711" s="49"/>
      <c r="G711" s="49"/>
      <c r="H711" s="49"/>
      <c r="I711" s="49"/>
      <c r="J711" s="49"/>
      <c r="K711" s="49"/>
      <c r="L711" s="49"/>
    </row>
    <row r="712">
      <c r="A712" s="49"/>
      <c r="B712" s="49"/>
      <c r="C712" s="49"/>
      <c r="D712" s="49"/>
      <c r="E712" s="49"/>
      <c r="F712" s="49"/>
      <c r="G712" s="49"/>
      <c r="H712" s="49"/>
      <c r="I712" s="49"/>
      <c r="J712" s="49"/>
      <c r="K712" s="49"/>
      <c r="L712" s="49"/>
    </row>
    <row r="713">
      <c r="A713" s="49"/>
      <c r="B713" s="49"/>
      <c r="C713" s="49"/>
      <c r="D713" s="49"/>
      <c r="E713" s="49"/>
      <c r="F713" s="49"/>
      <c r="G713" s="49"/>
      <c r="H713" s="49"/>
      <c r="I713" s="49"/>
      <c r="J713" s="49"/>
      <c r="K713" s="49"/>
      <c r="L713" s="49"/>
    </row>
    <row r="714">
      <c r="A714" s="49"/>
      <c r="B714" s="49"/>
      <c r="C714" s="49"/>
      <c r="D714" s="49"/>
      <c r="E714" s="49"/>
      <c r="F714" s="49"/>
      <c r="G714" s="49"/>
      <c r="H714" s="49"/>
      <c r="I714" s="49"/>
      <c r="J714" s="49"/>
      <c r="K714" s="49"/>
      <c r="L714" s="49"/>
    </row>
    <row r="715">
      <c r="A715" s="49"/>
      <c r="B715" s="49"/>
      <c r="C715" s="49"/>
      <c r="D715" s="49"/>
      <c r="E715" s="49"/>
      <c r="F715" s="49"/>
      <c r="G715" s="49"/>
      <c r="H715" s="49"/>
      <c r="I715" s="49"/>
      <c r="J715" s="49"/>
      <c r="K715" s="49"/>
      <c r="L715" s="49"/>
    </row>
    <row r="716">
      <c r="A716" s="49"/>
      <c r="B716" s="49"/>
      <c r="C716" s="49"/>
      <c r="D716" s="49"/>
      <c r="E716" s="49"/>
      <c r="F716" s="49"/>
      <c r="G716" s="49"/>
      <c r="H716" s="49"/>
      <c r="I716" s="49"/>
      <c r="J716" s="49"/>
      <c r="K716" s="49"/>
      <c r="L716" s="49"/>
    </row>
    <row r="717">
      <c r="A717" s="49"/>
      <c r="B717" s="49"/>
      <c r="C717" s="49"/>
      <c r="D717" s="49"/>
      <c r="E717" s="49"/>
      <c r="F717" s="49"/>
      <c r="G717" s="49"/>
      <c r="H717" s="49"/>
      <c r="I717" s="49"/>
      <c r="J717" s="49"/>
      <c r="K717" s="49"/>
      <c r="L717" s="49"/>
    </row>
    <row r="718">
      <c r="A718" s="49"/>
      <c r="B718" s="49"/>
      <c r="C718" s="49"/>
      <c r="D718" s="49"/>
      <c r="E718" s="49"/>
      <c r="F718" s="49"/>
      <c r="G718" s="49"/>
      <c r="H718" s="49"/>
      <c r="I718" s="49"/>
      <c r="J718" s="49"/>
      <c r="K718" s="49"/>
      <c r="L718" s="49"/>
    </row>
    <row r="719">
      <c r="A719" s="49"/>
      <c r="B719" s="49"/>
      <c r="C719" s="49"/>
      <c r="D719" s="49"/>
      <c r="E719" s="49"/>
      <c r="F719" s="49"/>
      <c r="G719" s="49"/>
      <c r="H719" s="49"/>
      <c r="I719" s="49"/>
      <c r="J719" s="49"/>
      <c r="K719" s="49"/>
      <c r="L719" s="49"/>
    </row>
    <row r="720">
      <c r="A720" s="49"/>
      <c r="B720" s="49"/>
      <c r="C720" s="49"/>
      <c r="D720" s="49"/>
      <c r="E720" s="49"/>
      <c r="F720" s="49"/>
      <c r="G720" s="49"/>
      <c r="H720" s="49"/>
      <c r="I720" s="49"/>
      <c r="J720" s="49"/>
      <c r="K720" s="49"/>
      <c r="L720" s="49"/>
    </row>
    <row r="721">
      <c r="A721" s="49"/>
      <c r="B721" s="49"/>
      <c r="C721" s="49"/>
      <c r="D721" s="49"/>
      <c r="E721" s="49"/>
      <c r="F721" s="49"/>
      <c r="G721" s="49"/>
      <c r="H721" s="49"/>
      <c r="I721" s="49"/>
      <c r="J721" s="49"/>
      <c r="K721" s="49"/>
      <c r="L721" s="49"/>
    </row>
    <row r="722">
      <c r="A722" s="49"/>
      <c r="B722" s="49"/>
      <c r="C722" s="49"/>
      <c r="D722" s="49"/>
      <c r="E722" s="49"/>
      <c r="F722" s="49"/>
      <c r="G722" s="49"/>
      <c r="H722" s="49"/>
      <c r="I722" s="49"/>
      <c r="J722" s="49"/>
      <c r="K722" s="49"/>
      <c r="L722" s="49"/>
    </row>
    <row r="723">
      <c r="A723" s="49"/>
      <c r="B723" s="49"/>
      <c r="C723" s="49"/>
      <c r="D723" s="49"/>
      <c r="E723" s="49"/>
      <c r="F723" s="49"/>
      <c r="G723" s="49"/>
      <c r="H723" s="49"/>
      <c r="I723" s="49"/>
      <c r="J723" s="49"/>
      <c r="K723" s="49"/>
      <c r="L723" s="49"/>
    </row>
    <row r="724">
      <c r="A724" s="49"/>
      <c r="B724" s="49"/>
      <c r="C724" s="49"/>
      <c r="D724" s="49"/>
      <c r="E724" s="49"/>
      <c r="F724" s="49"/>
      <c r="G724" s="49"/>
      <c r="H724" s="49"/>
      <c r="I724" s="49"/>
      <c r="J724" s="49"/>
      <c r="K724" s="49"/>
      <c r="L724" s="49"/>
    </row>
    <row r="725">
      <c r="A725" s="49"/>
      <c r="B725" s="49"/>
      <c r="C725" s="49"/>
      <c r="D725" s="49"/>
      <c r="E725" s="49"/>
      <c r="F725" s="49"/>
      <c r="G725" s="49"/>
      <c r="H725" s="49"/>
      <c r="I725" s="49"/>
      <c r="J725" s="49"/>
      <c r="K725" s="49"/>
      <c r="L725" s="49"/>
    </row>
    <row r="726">
      <c r="A726" s="49"/>
      <c r="B726" s="49"/>
      <c r="C726" s="49"/>
      <c r="D726" s="49"/>
      <c r="E726" s="49"/>
      <c r="F726" s="49"/>
      <c r="G726" s="49"/>
      <c r="H726" s="49"/>
      <c r="I726" s="49"/>
      <c r="J726" s="49"/>
      <c r="K726" s="49"/>
      <c r="L726" s="49"/>
    </row>
    <row r="727">
      <c r="A727" s="49"/>
      <c r="B727" s="49"/>
      <c r="C727" s="49"/>
      <c r="D727" s="49"/>
      <c r="E727" s="49"/>
      <c r="F727" s="49"/>
      <c r="G727" s="49"/>
      <c r="H727" s="49"/>
      <c r="I727" s="49"/>
      <c r="J727" s="49"/>
      <c r="K727" s="49"/>
      <c r="L727" s="49"/>
    </row>
    <row r="728">
      <c r="A728" s="49"/>
      <c r="B728" s="49"/>
      <c r="C728" s="49"/>
      <c r="D728" s="49"/>
      <c r="E728" s="49"/>
      <c r="F728" s="49"/>
      <c r="G728" s="49"/>
      <c r="H728" s="49"/>
      <c r="I728" s="49"/>
      <c r="J728" s="49"/>
      <c r="K728" s="49"/>
      <c r="L728" s="49"/>
    </row>
    <row r="729">
      <c r="A729" s="49"/>
      <c r="B729" s="49"/>
      <c r="C729" s="49"/>
      <c r="D729" s="49"/>
      <c r="E729" s="49"/>
      <c r="F729" s="49"/>
      <c r="G729" s="49"/>
      <c r="H729" s="49"/>
      <c r="I729" s="49"/>
      <c r="J729" s="49"/>
      <c r="K729" s="49"/>
      <c r="L729" s="49"/>
    </row>
    <row r="730">
      <c r="A730" s="49"/>
      <c r="B730" s="49"/>
      <c r="C730" s="49"/>
      <c r="D730" s="49"/>
      <c r="E730" s="49"/>
      <c r="F730" s="49"/>
      <c r="G730" s="49"/>
      <c r="H730" s="49"/>
      <c r="I730" s="49"/>
      <c r="J730" s="49"/>
      <c r="K730" s="49"/>
      <c r="L730" s="49"/>
    </row>
    <row r="731">
      <c r="A731" s="49"/>
      <c r="B731" s="49"/>
      <c r="C731" s="49"/>
      <c r="D731" s="49"/>
      <c r="E731" s="49"/>
      <c r="F731" s="49"/>
      <c r="G731" s="49"/>
      <c r="H731" s="49"/>
      <c r="I731" s="49"/>
      <c r="J731" s="49"/>
      <c r="K731" s="49"/>
      <c r="L731" s="49"/>
    </row>
    <row r="732">
      <c r="A732" s="49"/>
      <c r="B732" s="49"/>
      <c r="C732" s="49"/>
      <c r="D732" s="49"/>
      <c r="E732" s="49"/>
      <c r="F732" s="49"/>
      <c r="G732" s="49"/>
      <c r="H732" s="49"/>
      <c r="I732" s="49"/>
      <c r="J732" s="49"/>
      <c r="K732" s="49"/>
      <c r="L732" s="49"/>
    </row>
    <row r="733">
      <c r="A733" s="49"/>
      <c r="B733" s="49"/>
      <c r="C733" s="49"/>
      <c r="D733" s="49"/>
      <c r="E733" s="49"/>
      <c r="F733" s="49"/>
      <c r="G733" s="49"/>
      <c r="H733" s="49"/>
      <c r="I733" s="49"/>
      <c r="J733" s="49"/>
      <c r="K733" s="49"/>
      <c r="L733" s="49"/>
    </row>
    <row r="734">
      <c r="A734" s="49"/>
      <c r="B734" s="49"/>
      <c r="C734" s="49"/>
      <c r="D734" s="49"/>
      <c r="E734" s="49"/>
      <c r="F734" s="49"/>
      <c r="G734" s="49"/>
      <c r="H734" s="49"/>
      <c r="I734" s="49"/>
      <c r="J734" s="49"/>
      <c r="K734" s="49"/>
      <c r="L734" s="49"/>
    </row>
    <row r="735">
      <c r="A735" s="49"/>
      <c r="B735" s="49"/>
      <c r="C735" s="49"/>
      <c r="D735" s="49"/>
      <c r="E735" s="49"/>
      <c r="F735" s="49"/>
      <c r="G735" s="49"/>
      <c r="H735" s="49"/>
      <c r="I735" s="49"/>
      <c r="J735" s="49"/>
      <c r="K735" s="49"/>
      <c r="L735" s="49"/>
    </row>
    <row r="736">
      <c r="A736" s="49"/>
      <c r="B736" s="49"/>
      <c r="C736" s="49"/>
      <c r="D736" s="49"/>
      <c r="E736" s="49"/>
      <c r="F736" s="49"/>
      <c r="G736" s="49"/>
      <c r="H736" s="49"/>
      <c r="I736" s="49"/>
      <c r="J736" s="49"/>
      <c r="K736" s="49"/>
      <c r="L736" s="49"/>
    </row>
    <row r="737">
      <c r="A737" s="49"/>
      <c r="B737" s="49"/>
      <c r="C737" s="49"/>
      <c r="D737" s="49"/>
      <c r="E737" s="49"/>
      <c r="F737" s="49"/>
      <c r="G737" s="49"/>
      <c r="H737" s="49"/>
      <c r="I737" s="49"/>
      <c r="J737" s="49"/>
      <c r="K737" s="49"/>
      <c r="L737" s="49"/>
    </row>
    <row r="738">
      <c r="A738" s="49"/>
      <c r="B738" s="49"/>
      <c r="C738" s="49"/>
      <c r="D738" s="49"/>
      <c r="E738" s="49"/>
      <c r="F738" s="49"/>
      <c r="G738" s="49"/>
      <c r="H738" s="49"/>
      <c r="I738" s="49"/>
      <c r="J738" s="49"/>
      <c r="K738" s="49"/>
      <c r="L738" s="49"/>
    </row>
    <row r="739">
      <c r="A739" s="49"/>
      <c r="B739" s="49"/>
      <c r="C739" s="49"/>
      <c r="D739" s="49"/>
      <c r="E739" s="49"/>
      <c r="F739" s="49"/>
      <c r="G739" s="49"/>
      <c r="H739" s="49"/>
      <c r="I739" s="49"/>
      <c r="J739" s="49"/>
      <c r="K739" s="49"/>
      <c r="L739" s="49"/>
    </row>
    <row r="740">
      <c r="A740" s="49"/>
      <c r="B740" s="49"/>
      <c r="C740" s="49"/>
      <c r="D740" s="49"/>
      <c r="E740" s="49"/>
      <c r="F740" s="49"/>
      <c r="G740" s="49"/>
      <c r="H740" s="49"/>
      <c r="I740" s="49"/>
      <c r="J740" s="49"/>
      <c r="K740" s="49"/>
      <c r="L740" s="49"/>
    </row>
    <row r="741">
      <c r="A741" s="49"/>
      <c r="B741" s="49"/>
      <c r="C741" s="49"/>
      <c r="D741" s="49"/>
      <c r="E741" s="49"/>
      <c r="F741" s="49"/>
      <c r="G741" s="49"/>
      <c r="H741" s="49"/>
      <c r="I741" s="49"/>
      <c r="J741" s="49"/>
      <c r="K741" s="49"/>
      <c r="L741" s="49"/>
    </row>
    <row r="742">
      <c r="A742" s="49"/>
      <c r="B742" s="49"/>
      <c r="C742" s="49"/>
      <c r="D742" s="49"/>
      <c r="E742" s="49"/>
      <c r="F742" s="49"/>
      <c r="G742" s="49"/>
      <c r="H742" s="49"/>
      <c r="I742" s="49"/>
      <c r="J742" s="49"/>
      <c r="K742" s="49"/>
      <c r="L742" s="49"/>
    </row>
    <row r="743">
      <c r="A743" s="49"/>
      <c r="B743" s="49"/>
      <c r="C743" s="49"/>
      <c r="D743" s="49"/>
      <c r="E743" s="49"/>
      <c r="F743" s="49"/>
      <c r="G743" s="49"/>
      <c r="H743" s="49"/>
      <c r="I743" s="49"/>
      <c r="J743" s="49"/>
      <c r="K743" s="49"/>
      <c r="L743" s="49"/>
    </row>
    <row r="744">
      <c r="A744" s="49"/>
      <c r="B744" s="49"/>
      <c r="C744" s="49"/>
      <c r="D744" s="49"/>
      <c r="E744" s="49"/>
      <c r="F744" s="49"/>
      <c r="G744" s="49"/>
      <c r="H744" s="49"/>
      <c r="I744" s="49"/>
      <c r="J744" s="49"/>
      <c r="K744" s="49"/>
      <c r="L744" s="49"/>
    </row>
    <row r="745">
      <c r="A745" s="49"/>
      <c r="B745" s="49"/>
      <c r="C745" s="49"/>
      <c r="D745" s="49"/>
      <c r="E745" s="49"/>
      <c r="F745" s="49"/>
      <c r="G745" s="49"/>
      <c r="H745" s="49"/>
      <c r="I745" s="49"/>
      <c r="J745" s="49"/>
      <c r="K745" s="49"/>
      <c r="L745" s="49"/>
    </row>
    <row r="746">
      <c r="A746" s="49"/>
      <c r="B746" s="49"/>
      <c r="C746" s="49"/>
      <c r="D746" s="49"/>
      <c r="E746" s="49"/>
      <c r="F746" s="49"/>
      <c r="G746" s="49"/>
      <c r="H746" s="49"/>
      <c r="I746" s="49"/>
      <c r="J746" s="49"/>
      <c r="K746" s="49"/>
      <c r="L746" s="49"/>
    </row>
    <row r="747">
      <c r="A747" s="49"/>
      <c r="B747" s="49"/>
      <c r="C747" s="49"/>
      <c r="D747" s="49"/>
      <c r="E747" s="49"/>
      <c r="F747" s="49"/>
      <c r="G747" s="49"/>
      <c r="H747" s="49"/>
      <c r="I747" s="49"/>
      <c r="J747" s="49"/>
      <c r="K747" s="49"/>
      <c r="L747" s="49"/>
    </row>
    <row r="748">
      <c r="A748" s="49"/>
      <c r="B748" s="49"/>
      <c r="C748" s="49"/>
      <c r="D748" s="49"/>
      <c r="E748" s="49"/>
      <c r="F748" s="49"/>
      <c r="G748" s="49"/>
      <c r="H748" s="49"/>
      <c r="I748" s="49"/>
      <c r="J748" s="49"/>
      <c r="K748" s="49"/>
      <c r="L748" s="49"/>
    </row>
    <row r="749">
      <c r="A749" s="49"/>
      <c r="B749" s="49"/>
      <c r="C749" s="49"/>
      <c r="D749" s="49"/>
      <c r="E749" s="49"/>
      <c r="F749" s="49"/>
      <c r="G749" s="49"/>
      <c r="H749" s="49"/>
      <c r="I749" s="49"/>
      <c r="J749" s="49"/>
      <c r="K749" s="49"/>
      <c r="L749" s="49"/>
    </row>
    <row r="750">
      <c r="A750" s="49"/>
      <c r="B750" s="49"/>
      <c r="C750" s="49"/>
      <c r="D750" s="49"/>
      <c r="E750" s="49"/>
      <c r="F750" s="49"/>
      <c r="G750" s="49"/>
      <c r="H750" s="49"/>
      <c r="I750" s="49"/>
      <c r="J750" s="49"/>
      <c r="K750" s="49"/>
      <c r="L750" s="49"/>
    </row>
    <row r="751">
      <c r="A751" s="49"/>
      <c r="B751" s="49"/>
      <c r="C751" s="49"/>
      <c r="D751" s="49"/>
      <c r="E751" s="49"/>
      <c r="F751" s="49"/>
      <c r="G751" s="49"/>
      <c r="H751" s="49"/>
      <c r="I751" s="49"/>
      <c r="J751" s="49"/>
      <c r="K751" s="49"/>
      <c r="L751" s="49"/>
    </row>
    <row r="752">
      <c r="A752" s="49"/>
      <c r="B752" s="49"/>
      <c r="C752" s="49"/>
      <c r="D752" s="49"/>
      <c r="E752" s="49"/>
      <c r="F752" s="49"/>
      <c r="G752" s="49"/>
      <c r="H752" s="49"/>
      <c r="I752" s="49"/>
      <c r="J752" s="49"/>
      <c r="K752" s="49"/>
      <c r="L752" s="49"/>
    </row>
    <row r="753">
      <c r="A753" s="49"/>
      <c r="B753" s="49"/>
      <c r="C753" s="49"/>
      <c r="D753" s="49"/>
      <c r="E753" s="49"/>
      <c r="F753" s="49"/>
      <c r="G753" s="49"/>
      <c r="H753" s="49"/>
      <c r="I753" s="49"/>
      <c r="J753" s="49"/>
      <c r="K753" s="49"/>
      <c r="L753" s="49"/>
    </row>
    <row r="754">
      <c r="A754" s="49"/>
      <c r="B754" s="49"/>
      <c r="C754" s="49"/>
      <c r="D754" s="49"/>
      <c r="E754" s="49"/>
      <c r="F754" s="49"/>
      <c r="G754" s="49"/>
      <c r="H754" s="49"/>
      <c r="I754" s="49"/>
      <c r="J754" s="49"/>
      <c r="K754" s="49"/>
      <c r="L754" s="49"/>
    </row>
    <row r="755">
      <c r="A755" s="49"/>
      <c r="B755" s="49"/>
      <c r="C755" s="49"/>
      <c r="D755" s="49"/>
      <c r="E755" s="49"/>
      <c r="F755" s="49"/>
      <c r="G755" s="49"/>
      <c r="H755" s="49"/>
      <c r="I755" s="49"/>
      <c r="J755" s="49"/>
      <c r="K755" s="49"/>
      <c r="L755" s="49"/>
    </row>
    <row r="756">
      <c r="A756" s="49"/>
      <c r="B756" s="49"/>
      <c r="C756" s="49"/>
      <c r="D756" s="49"/>
      <c r="E756" s="49"/>
      <c r="F756" s="49"/>
      <c r="G756" s="49"/>
      <c r="H756" s="49"/>
      <c r="I756" s="49"/>
      <c r="J756" s="49"/>
      <c r="K756" s="49"/>
      <c r="L756" s="49"/>
    </row>
    <row r="757">
      <c r="A757" s="49"/>
      <c r="B757" s="49"/>
      <c r="C757" s="49"/>
      <c r="D757" s="49"/>
      <c r="E757" s="49"/>
      <c r="F757" s="49"/>
      <c r="G757" s="49"/>
      <c r="H757" s="49"/>
      <c r="I757" s="49"/>
      <c r="J757" s="49"/>
      <c r="K757" s="49"/>
      <c r="L757" s="49"/>
    </row>
    <row r="758">
      <c r="A758" s="49"/>
      <c r="B758" s="49"/>
      <c r="C758" s="49"/>
      <c r="D758" s="49"/>
      <c r="E758" s="49"/>
      <c r="F758" s="49"/>
      <c r="G758" s="49"/>
      <c r="H758" s="49"/>
      <c r="I758" s="49"/>
      <c r="J758" s="49"/>
      <c r="K758" s="49"/>
      <c r="L758" s="49"/>
    </row>
    <row r="759">
      <c r="A759" s="49"/>
      <c r="B759" s="49"/>
      <c r="C759" s="49"/>
      <c r="D759" s="49"/>
      <c r="E759" s="49"/>
      <c r="F759" s="49"/>
      <c r="G759" s="49"/>
      <c r="H759" s="49"/>
      <c r="I759" s="49"/>
      <c r="J759" s="49"/>
      <c r="K759" s="49"/>
      <c r="L759" s="49"/>
    </row>
    <row r="760">
      <c r="A760" s="49"/>
      <c r="B760" s="49"/>
      <c r="C760" s="49"/>
      <c r="D760" s="49"/>
      <c r="E760" s="49"/>
      <c r="F760" s="49"/>
      <c r="G760" s="49"/>
      <c r="H760" s="49"/>
      <c r="I760" s="49"/>
      <c r="J760" s="49"/>
      <c r="K760" s="49"/>
      <c r="L760" s="49"/>
    </row>
    <row r="761">
      <c r="A761" s="49"/>
      <c r="B761" s="49"/>
      <c r="C761" s="49"/>
      <c r="D761" s="49"/>
      <c r="E761" s="49"/>
      <c r="F761" s="49"/>
      <c r="G761" s="49"/>
      <c r="H761" s="49"/>
      <c r="I761" s="49"/>
      <c r="J761" s="49"/>
      <c r="K761" s="49"/>
      <c r="L761" s="49"/>
    </row>
    <row r="762">
      <c r="A762" s="49"/>
      <c r="B762" s="49"/>
      <c r="C762" s="49"/>
      <c r="D762" s="49"/>
      <c r="E762" s="49"/>
      <c r="F762" s="49"/>
      <c r="G762" s="49"/>
      <c r="H762" s="49"/>
      <c r="I762" s="49"/>
      <c r="J762" s="49"/>
      <c r="K762" s="49"/>
      <c r="L762" s="49"/>
    </row>
    <row r="763">
      <c r="A763" s="49"/>
      <c r="B763" s="49"/>
      <c r="C763" s="49"/>
      <c r="D763" s="49"/>
      <c r="E763" s="49"/>
      <c r="F763" s="49"/>
      <c r="G763" s="49"/>
      <c r="H763" s="49"/>
      <c r="I763" s="49"/>
      <c r="J763" s="49"/>
      <c r="K763" s="49"/>
      <c r="L763" s="49"/>
    </row>
    <row r="764">
      <c r="A764" s="49"/>
      <c r="B764" s="49"/>
      <c r="C764" s="49"/>
      <c r="D764" s="49"/>
      <c r="E764" s="49"/>
      <c r="F764" s="49"/>
      <c r="G764" s="49"/>
      <c r="H764" s="49"/>
      <c r="I764" s="49"/>
      <c r="J764" s="49"/>
      <c r="K764" s="49"/>
      <c r="L764" s="49"/>
    </row>
    <row r="765">
      <c r="A765" s="49"/>
      <c r="B765" s="49"/>
      <c r="C765" s="49"/>
      <c r="D765" s="49"/>
      <c r="E765" s="49"/>
      <c r="F765" s="49"/>
      <c r="G765" s="49"/>
      <c r="H765" s="49"/>
      <c r="I765" s="49"/>
      <c r="J765" s="49"/>
      <c r="K765" s="49"/>
      <c r="L765" s="49"/>
    </row>
    <row r="766">
      <c r="A766" s="49"/>
      <c r="B766" s="49"/>
      <c r="C766" s="49"/>
      <c r="D766" s="49"/>
      <c r="E766" s="49"/>
      <c r="F766" s="49"/>
      <c r="G766" s="49"/>
      <c r="H766" s="49"/>
      <c r="I766" s="49"/>
      <c r="J766" s="49"/>
      <c r="K766" s="49"/>
      <c r="L766" s="49"/>
    </row>
    <row r="767">
      <c r="A767" s="49"/>
      <c r="B767" s="49"/>
      <c r="C767" s="49"/>
      <c r="D767" s="49"/>
      <c r="E767" s="49"/>
      <c r="F767" s="49"/>
      <c r="G767" s="49"/>
      <c r="H767" s="49"/>
      <c r="I767" s="49"/>
      <c r="J767" s="49"/>
      <c r="K767" s="49"/>
      <c r="L767" s="49"/>
    </row>
    <row r="768">
      <c r="A768" s="49"/>
      <c r="B768" s="49"/>
      <c r="C768" s="49"/>
      <c r="D768" s="49"/>
      <c r="E768" s="49"/>
      <c r="F768" s="49"/>
      <c r="G768" s="49"/>
      <c r="H768" s="49"/>
      <c r="I768" s="49"/>
      <c r="J768" s="49"/>
      <c r="K768" s="49"/>
      <c r="L768" s="49"/>
    </row>
    <row r="769">
      <c r="A769" s="49"/>
      <c r="B769" s="49"/>
      <c r="C769" s="49"/>
      <c r="D769" s="49"/>
      <c r="E769" s="49"/>
      <c r="F769" s="49"/>
      <c r="G769" s="49"/>
      <c r="H769" s="49"/>
      <c r="I769" s="49"/>
      <c r="J769" s="49"/>
      <c r="K769" s="49"/>
      <c r="L769" s="49"/>
    </row>
    <row r="770">
      <c r="A770" s="49"/>
      <c r="B770" s="49"/>
      <c r="C770" s="49"/>
      <c r="D770" s="49"/>
      <c r="E770" s="49"/>
      <c r="F770" s="49"/>
      <c r="G770" s="49"/>
      <c r="H770" s="49"/>
      <c r="I770" s="49"/>
      <c r="J770" s="49"/>
      <c r="K770" s="49"/>
      <c r="L770" s="49"/>
    </row>
    <row r="771">
      <c r="A771" s="49"/>
      <c r="B771" s="49"/>
      <c r="C771" s="49"/>
      <c r="D771" s="49"/>
      <c r="E771" s="49"/>
      <c r="F771" s="49"/>
      <c r="G771" s="49"/>
      <c r="H771" s="49"/>
      <c r="I771" s="49"/>
      <c r="J771" s="49"/>
      <c r="K771" s="49"/>
      <c r="L771" s="49"/>
    </row>
    <row r="772">
      <c r="A772" s="49"/>
      <c r="B772" s="49"/>
      <c r="C772" s="49"/>
      <c r="D772" s="49"/>
      <c r="E772" s="49"/>
      <c r="F772" s="49"/>
      <c r="G772" s="49"/>
      <c r="H772" s="49"/>
      <c r="I772" s="49"/>
      <c r="J772" s="49"/>
      <c r="K772" s="49"/>
      <c r="L772" s="49"/>
    </row>
    <row r="773">
      <c r="A773" s="49"/>
      <c r="B773" s="49"/>
      <c r="C773" s="49"/>
      <c r="D773" s="49"/>
      <c r="E773" s="49"/>
      <c r="F773" s="49"/>
      <c r="G773" s="49"/>
      <c r="H773" s="49"/>
      <c r="I773" s="49"/>
      <c r="J773" s="49"/>
      <c r="K773" s="49"/>
      <c r="L773" s="49"/>
    </row>
    <row r="774">
      <c r="A774" s="49"/>
      <c r="B774" s="49"/>
      <c r="C774" s="49"/>
      <c r="D774" s="49"/>
      <c r="E774" s="49"/>
      <c r="F774" s="49"/>
      <c r="G774" s="49"/>
      <c r="H774" s="49"/>
      <c r="I774" s="49"/>
      <c r="J774" s="49"/>
      <c r="K774" s="49"/>
      <c r="L774" s="49"/>
    </row>
    <row r="775">
      <c r="A775" s="49"/>
      <c r="B775" s="49"/>
      <c r="C775" s="49"/>
      <c r="D775" s="49"/>
      <c r="E775" s="49"/>
      <c r="F775" s="49"/>
      <c r="G775" s="49"/>
      <c r="H775" s="49"/>
      <c r="I775" s="49"/>
      <c r="J775" s="49"/>
      <c r="K775" s="49"/>
      <c r="L775" s="49"/>
    </row>
    <row r="776">
      <c r="A776" s="49"/>
      <c r="B776" s="49"/>
      <c r="C776" s="49"/>
      <c r="D776" s="49"/>
      <c r="E776" s="49"/>
      <c r="F776" s="49"/>
      <c r="G776" s="49"/>
      <c r="H776" s="49"/>
      <c r="I776" s="49"/>
      <c r="J776" s="49"/>
      <c r="K776" s="49"/>
      <c r="L776" s="49"/>
    </row>
    <row r="777">
      <c r="A777" s="49"/>
      <c r="B777" s="49"/>
      <c r="C777" s="49"/>
      <c r="D777" s="49"/>
      <c r="E777" s="49"/>
      <c r="F777" s="49"/>
      <c r="G777" s="49"/>
      <c r="H777" s="49"/>
      <c r="I777" s="49"/>
      <c r="J777" s="49"/>
      <c r="K777" s="49"/>
      <c r="L777" s="49"/>
    </row>
    <row r="778">
      <c r="A778" s="49"/>
      <c r="B778" s="49"/>
      <c r="C778" s="49"/>
      <c r="D778" s="49"/>
      <c r="E778" s="49"/>
      <c r="F778" s="49"/>
      <c r="G778" s="49"/>
      <c r="H778" s="49"/>
      <c r="I778" s="49"/>
      <c r="J778" s="49"/>
      <c r="K778" s="49"/>
      <c r="L778" s="49"/>
    </row>
    <row r="779">
      <c r="A779" s="49"/>
      <c r="B779" s="49"/>
      <c r="C779" s="49"/>
      <c r="D779" s="49"/>
      <c r="E779" s="49"/>
      <c r="F779" s="49"/>
      <c r="G779" s="49"/>
      <c r="H779" s="49"/>
      <c r="I779" s="49"/>
      <c r="J779" s="49"/>
      <c r="K779" s="49"/>
      <c r="L779" s="49"/>
    </row>
    <row r="780">
      <c r="A780" s="49"/>
      <c r="B780" s="49"/>
      <c r="C780" s="49"/>
      <c r="D780" s="49"/>
      <c r="E780" s="49"/>
      <c r="F780" s="49"/>
      <c r="G780" s="49"/>
      <c r="H780" s="49"/>
      <c r="I780" s="49"/>
      <c r="J780" s="49"/>
      <c r="K780" s="49"/>
      <c r="L780" s="49"/>
    </row>
    <row r="781">
      <c r="A781" s="49"/>
      <c r="B781" s="49"/>
      <c r="C781" s="49"/>
      <c r="D781" s="49"/>
      <c r="E781" s="49"/>
      <c r="F781" s="49"/>
      <c r="G781" s="49"/>
      <c r="H781" s="49"/>
      <c r="I781" s="49"/>
      <c r="J781" s="49"/>
      <c r="K781" s="49"/>
      <c r="L781" s="49"/>
    </row>
    <row r="782">
      <c r="A782" s="49"/>
      <c r="B782" s="49"/>
      <c r="C782" s="49"/>
      <c r="D782" s="49"/>
      <c r="E782" s="49"/>
      <c r="F782" s="49"/>
      <c r="G782" s="49"/>
      <c r="H782" s="49"/>
      <c r="I782" s="49"/>
      <c r="J782" s="49"/>
      <c r="K782" s="49"/>
      <c r="L782" s="49"/>
    </row>
    <row r="783">
      <c r="A783" s="49"/>
      <c r="B783" s="49"/>
      <c r="C783" s="49"/>
      <c r="D783" s="49"/>
      <c r="E783" s="49"/>
      <c r="F783" s="49"/>
      <c r="G783" s="49"/>
      <c r="H783" s="49"/>
      <c r="I783" s="49"/>
      <c r="J783" s="49"/>
      <c r="K783" s="49"/>
      <c r="L783" s="49"/>
    </row>
    <row r="784">
      <c r="A784" s="49"/>
      <c r="B784" s="49"/>
      <c r="C784" s="49"/>
      <c r="D784" s="49"/>
      <c r="E784" s="49"/>
      <c r="F784" s="49"/>
      <c r="G784" s="49"/>
      <c r="H784" s="49"/>
      <c r="I784" s="49"/>
      <c r="J784" s="49"/>
      <c r="K784" s="49"/>
      <c r="L784" s="49"/>
    </row>
    <row r="785">
      <c r="A785" s="49"/>
      <c r="B785" s="49"/>
      <c r="C785" s="49"/>
      <c r="D785" s="49"/>
      <c r="E785" s="49"/>
      <c r="F785" s="49"/>
      <c r="G785" s="49"/>
      <c r="H785" s="49"/>
      <c r="I785" s="49"/>
      <c r="J785" s="49"/>
      <c r="K785" s="49"/>
      <c r="L785" s="49"/>
    </row>
    <row r="786">
      <c r="A786" s="49"/>
      <c r="B786" s="49"/>
      <c r="C786" s="49"/>
      <c r="D786" s="49"/>
      <c r="E786" s="49"/>
      <c r="F786" s="49"/>
      <c r="G786" s="49"/>
      <c r="H786" s="49"/>
      <c r="I786" s="49"/>
      <c r="J786" s="49"/>
      <c r="K786" s="49"/>
      <c r="L786" s="49"/>
    </row>
    <row r="787">
      <c r="A787" s="49"/>
      <c r="B787" s="49"/>
      <c r="C787" s="49"/>
      <c r="D787" s="49"/>
      <c r="E787" s="49"/>
      <c r="F787" s="49"/>
      <c r="G787" s="49"/>
      <c r="H787" s="49"/>
      <c r="I787" s="49"/>
      <c r="J787" s="49"/>
      <c r="K787" s="49"/>
      <c r="L787" s="49"/>
    </row>
    <row r="788">
      <c r="A788" s="49"/>
      <c r="B788" s="49"/>
      <c r="C788" s="49"/>
      <c r="D788" s="49"/>
      <c r="E788" s="49"/>
      <c r="F788" s="49"/>
      <c r="G788" s="49"/>
      <c r="H788" s="49"/>
      <c r="I788" s="49"/>
      <c r="J788" s="49"/>
      <c r="K788" s="49"/>
      <c r="L788" s="49"/>
    </row>
    <row r="789">
      <c r="A789" s="49"/>
      <c r="B789" s="49"/>
      <c r="C789" s="49"/>
      <c r="D789" s="49"/>
      <c r="E789" s="49"/>
      <c r="F789" s="49"/>
      <c r="G789" s="49"/>
      <c r="H789" s="49"/>
      <c r="I789" s="49"/>
      <c r="J789" s="49"/>
      <c r="K789" s="49"/>
      <c r="L789" s="49"/>
    </row>
    <row r="790">
      <c r="A790" s="49"/>
      <c r="B790" s="49"/>
      <c r="C790" s="49"/>
      <c r="D790" s="49"/>
      <c r="E790" s="49"/>
      <c r="F790" s="49"/>
      <c r="G790" s="49"/>
      <c r="H790" s="49"/>
      <c r="I790" s="49"/>
      <c r="J790" s="49"/>
      <c r="K790" s="49"/>
      <c r="L790" s="49"/>
    </row>
    <row r="791">
      <c r="A791" s="49"/>
      <c r="B791" s="49"/>
      <c r="C791" s="49"/>
      <c r="D791" s="49"/>
      <c r="E791" s="49"/>
      <c r="F791" s="49"/>
      <c r="G791" s="49"/>
      <c r="H791" s="49"/>
      <c r="I791" s="49"/>
      <c r="J791" s="49"/>
      <c r="K791" s="49"/>
      <c r="L791" s="49"/>
    </row>
    <row r="792">
      <c r="A792" s="49"/>
      <c r="B792" s="49"/>
      <c r="C792" s="49"/>
      <c r="D792" s="49"/>
      <c r="E792" s="49"/>
      <c r="F792" s="49"/>
      <c r="G792" s="49"/>
      <c r="H792" s="49"/>
      <c r="I792" s="49"/>
      <c r="J792" s="49"/>
      <c r="K792" s="49"/>
      <c r="L792" s="49"/>
    </row>
    <row r="793">
      <c r="A793" s="49"/>
      <c r="B793" s="49"/>
      <c r="C793" s="49"/>
      <c r="D793" s="49"/>
      <c r="E793" s="49"/>
      <c r="F793" s="49"/>
      <c r="G793" s="49"/>
      <c r="H793" s="49"/>
      <c r="I793" s="49"/>
      <c r="J793" s="49"/>
      <c r="K793" s="49"/>
      <c r="L793" s="49"/>
    </row>
    <row r="794">
      <c r="A794" s="49"/>
      <c r="B794" s="49"/>
      <c r="C794" s="49"/>
      <c r="D794" s="49"/>
      <c r="E794" s="49"/>
      <c r="F794" s="49"/>
      <c r="G794" s="49"/>
      <c r="H794" s="49"/>
      <c r="I794" s="49"/>
      <c r="J794" s="49"/>
      <c r="K794" s="49"/>
      <c r="L794" s="49"/>
    </row>
    <row r="795">
      <c r="A795" s="49"/>
      <c r="B795" s="49"/>
      <c r="C795" s="49"/>
      <c r="D795" s="49"/>
      <c r="E795" s="49"/>
      <c r="F795" s="49"/>
      <c r="G795" s="49"/>
      <c r="H795" s="49"/>
      <c r="I795" s="49"/>
      <c r="J795" s="49"/>
      <c r="K795" s="49"/>
      <c r="L795" s="49"/>
    </row>
    <row r="796">
      <c r="A796" s="49"/>
      <c r="B796" s="49"/>
      <c r="C796" s="49"/>
      <c r="D796" s="49"/>
      <c r="E796" s="49"/>
      <c r="F796" s="49"/>
      <c r="G796" s="49"/>
      <c r="H796" s="49"/>
      <c r="I796" s="49"/>
      <c r="J796" s="49"/>
      <c r="K796" s="49"/>
      <c r="L796" s="49"/>
    </row>
    <row r="797">
      <c r="A797" s="49"/>
      <c r="B797" s="49"/>
      <c r="C797" s="49"/>
      <c r="D797" s="49"/>
      <c r="E797" s="49"/>
      <c r="F797" s="49"/>
      <c r="G797" s="49"/>
      <c r="H797" s="49"/>
      <c r="I797" s="49"/>
      <c r="J797" s="49"/>
      <c r="K797" s="49"/>
      <c r="L797" s="49"/>
    </row>
    <row r="798">
      <c r="A798" s="49"/>
      <c r="B798" s="49"/>
      <c r="C798" s="49"/>
      <c r="D798" s="49"/>
      <c r="E798" s="49"/>
      <c r="F798" s="49"/>
      <c r="G798" s="49"/>
      <c r="H798" s="49"/>
      <c r="I798" s="49"/>
      <c r="J798" s="49"/>
      <c r="K798" s="49"/>
      <c r="L798" s="49"/>
    </row>
    <row r="799">
      <c r="A799" s="49"/>
      <c r="B799" s="49"/>
      <c r="C799" s="49"/>
      <c r="D799" s="49"/>
      <c r="E799" s="49"/>
      <c r="F799" s="49"/>
      <c r="G799" s="49"/>
      <c r="H799" s="49"/>
      <c r="I799" s="49"/>
      <c r="J799" s="49"/>
      <c r="K799" s="49"/>
      <c r="L799" s="49"/>
    </row>
    <row r="800">
      <c r="A800" s="49"/>
      <c r="B800" s="49"/>
      <c r="C800" s="49"/>
      <c r="D800" s="49"/>
      <c r="E800" s="49"/>
      <c r="F800" s="49"/>
      <c r="G800" s="49"/>
      <c r="H800" s="49"/>
      <c r="I800" s="49"/>
      <c r="J800" s="49"/>
      <c r="K800" s="49"/>
      <c r="L800" s="49"/>
    </row>
    <row r="801">
      <c r="A801" s="49"/>
      <c r="B801" s="49"/>
      <c r="C801" s="49"/>
      <c r="D801" s="49"/>
      <c r="E801" s="49"/>
      <c r="F801" s="49"/>
      <c r="G801" s="49"/>
      <c r="H801" s="49"/>
      <c r="I801" s="49"/>
      <c r="J801" s="49"/>
      <c r="K801" s="49"/>
      <c r="L801" s="49"/>
    </row>
    <row r="802">
      <c r="A802" s="49"/>
      <c r="B802" s="49"/>
      <c r="C802" s="49"/>
      <c r="D802" s="49"/>
      <c r="E802" s="49"/>
      <c r="F802" s="49"/>
      <c r="G802" s="49"/>
      <c r="H802" s="49"/>
      <c r="I802" s="49"/>
      <c r="J802" s="49"/>
      <c r="K802" s="49"/>
      <c r="L802" s="49"/>
    </row>
    <row r="803">
      <c r="A803" s="49"/>
      <c r="B803" s="49"/>
      <c r="C803" s="49"/>
      <c r="D803" s="49"/>
      <c r="E803" s="49"/>
      <c r="F803" s="49"/>
      <c r="G803" s="49"/>
      <c r="H803" s="49"/>
      <c r="I803" s="49"/>
      <c r="J803" s="49"/>
      <c r="K803" s="49"/>
      <c r="L803" s="49"/>
    </row>
    <row r="804">
      <c r="A804" s="49"/>
      <c r="B804" s="49"/>
      <c r="C804" s="49"/>
      <c r="D804" s="49"/>
      <c r="E804" s="49"/>
      <c r="F804" s="49"/>
      <c r="G804" s="49"/>
      <c r="H804" s="49"/>
      <c r="I804" s="49"/>
      <c r="J804" s="49"/>
      <c r="K804" s="49"/>
      <c r="L804" s="49"/>
    </row>
    <row r="805">
      <c r="A805" s="49"/>
      <c r="B805" s="49"/>
      <c r="C805" s="49"/>
      <c r="D805" s="49"/>
      <c r="E805" s="49"/>
      <c r="F805" s="49"/>
      <c r="G805" s="49"/>
      <c r="H805" s="49"/>
      <c r="I805" s="49"/>
      <c r="J805" s="49"/>
      <c r="K805" s="49"/>
      <c r="L805" s="49"/>
    </row>
    <row r="806">
      <c r="A806" s="49"/>
      <c r="B806" s="49"/>
      <c r="C806" s="49"/>
      <c r="D806" s="49"/>
      <c r="E806" s="49"/>
      <c r="F806" s="49"/>
      <c r="G806" s="49"/>
      <c r="H806" s="49"/>
      <c r="I806" s="49"/>
      <c r="J806" s="49"/>
      <c r="K806" s="49"/>
      <c r="L806" s="49"/>
    </row>
    <row r="807">
      <c r="A807" s="49"/>
      <c r="B807" s="49"/>
      <c r="C807" s="49"/>
      <c r="D807" s="49"/>
      <c r="E807" s="49"/>
      <c r="F807" s="49"/>
      <c r="G807" s="49"/>
      <c r="H807" s="49"/>
      <c r="I807" s="49"/>
      <c r="J807" s="49"/>
      <c r="K807" s="49"/>
      <c r="L807" s="49"/>
    </row>
    <row r="808">
      <c r="A808" s="49"/>
      <c r="B808" s="49"/>
      <c r="C808" s="49"/>
      <c r="D808" s="49"/>
      <c r="E808" s="49"/>
      <c r="F808" s="49"/>
      <c r="G808" s="49"/>
      <c r="H808" s="49"/>
      <c r="I808" s="49"/>
      <c r="J808" s="49"/>
      <c r="K808" s="49"/>
      <c r="L808" s="49"/>
    </row>
    <row r="809">
      <c r="A809" s="49"/>
      <c r="B809" s="49"/>
      <c r="C809" s="49"/>
      <c r="D809" s="49"/>
      <c r="E809" s="49"/>
      <c r="F809" s="49"/>
      <c r="G809" s="49"/>
      <c r="H809" s="49"/>
      <c r="I809" s="49"/>
      <c r="J809" s="49"/>
      <c r="K809" s="49"/>
      <c r="L809" s="49"/>
    </row>
    <row r="810">
      <c r="A810" s="49"/>
      <c r="B810" s="49"/>
      <c r="C810" s="49"/>
      <c r="D810" s="49"/>
      <c r="E810" s="49"/>
      <c r="F810" s="49"/>
      <c r="G810" s="49"/>
      <c r="H810" s="49"/>
      <c r="I810" s="49"/>
      <c r="J810" s="49"/>
      <c r="K810" s="49"/>
      <c r="L810" s="49"/>
    </row>
    <row r="811">
      <c r="A811" s="49"/>
      <c r="B811" s="49"/>
      <c r="C811" s="49"/>
      <c r="D811" s="49"/>
      <c r="E811" s="49"/>
      <c r="F811" s="49"/>
      <c r="G811" s="49"/>
      <c r="H811" s="49"/>
      <c r="I811" s="49"/>
      <c r="J811" s="49"/>
      <c r="K811" s="49"/>
      <c r="L811" s="49"/>
    </row>
    <row r="812">
      <c r="A812" s="49"/>
      <c r="B812" s="49"/>
      <c r="C812" s="49"/>
      <c r="D812" s="49"/>
      <c r="E812" s="49"/>
      <c r="F812" s="49"/>
      <c r="G812" s="49"/>
      <c r="H812" s="49"/>
      <c r="I812" s="49"/>
      <c r="J812" s="49"/>
      <c r="K812" s="49"/>
      <c r="L812" s="49"/>
    </row>
    <row r="813">
      <c r="A813" s="49"/>
      <c r="B813" s="49"/>
      <c r="C813" s="49"/>
      <c r="D813" s="49"/>
      <c r="E813" s="49"/>
      <c r="F813" s="49"/>
      <c r="G813" s="49"/>
      <c r="H813" s="49"/>
      <c r="I813" s="49"/>
      <c r="J813" s="49"/>
      <c r="K813" s="49"/>
      <c r="L813" s="49"/>
    </row>
    <row r="814">
      <c r="A814" s="49"/>
      <c r="B814" s="49"/>
      <c r="C814" s="49"/>
      <c r="D814" s="49"/>
      <c r="E814" s="49"/>
      <c r="F814" s="49"/>
      <c r="G814" s="49"/>
      <c r="H814" s="49"/>
      <c r="I814" s="49"/>
      <c r="J814" s="49"/>
      <c r="K814" s="49"/>
      <c r="L814" s="49"/>
    </row>
    <row r="815">
      <c r="A815" s="49"/>
      <c r="B815" s="49"/>
      <c r="C815" s="49"/>
      <c r="D815" s="49"/>
      <c r="E815" s="49"/>
      <c r="F815" s="49"/>
      <c r="G815" s="49"/>
      <c r="H815" s="49"/>
      <c r="I815" s="49"/>
      <c r="J815" s="49"/>
      <c r="K815" s="49"/>
      <c r="L815" s="49"/>
    </row>
    <row r="816">
      <c r="A816" s="49"/>
      <c r="B816" s="49"/>
      <c r="C816" s="49"/>
      <c r="D816" s="49"/>
      <c r="E816" s="49"/>
      <c r="F816" s="49"/>
      <c r="G816" s="49"/>
      <c r="H816" s="49"/>
      <c r="I816" s="49"/>
      <c r="J816" s="49"/>
      <c r="K816" s="49"/>
      <c r="L816" s="49"/>
    </row>
    <row r="817">
      <c r="A817" s="49"/>
      <c r="B817" s="49"/>
      <c r="C817" s="49"/>
      <c r="D817" s="49"/>
      <c r="E817" s="49"/>
      <c r="F817" s="49"/>
      <c r="G817" s="49"/>
      <c r="H817" s="49"/>
      <c r="I817" s="49"/>
      <c r="J817" s="49"/>
      <c r="K817" s="49"/>
      <c r="L817" s="49"/>
    </row>
    <row r="818">
      <c r="A818" s="49"/>
      <c r="B818" s="49"/>
      <c r="C818" s="49"/>
      <c r="D818" s="49"/>
      <c r="E818" s="49"/>
      <c r="F818" s="49"/>
      <c r="G818" s="49"/>
      <c r="H818" s="49"/>
      <c r="I818" s="49"/>
      <c r="J818" s="49"/>
      <c r="K818" s="49"/>
      <c r="L818" s="49"/>
    </row>
    <row r="819">
      <c r="A819" s="49"/>
      <c r="B819" s="49"/>
      <c r="C819" s="49"/>
      <c r="D819" s="49"/>
      <c r="E819" s="49"/>
      <c r="F819" s="49"/>
      <c r="G819" s="49"/>
      <c r="H819" s="49"/>
      <c r="I819" s="49"/>
      <c r="J819" s="49"/>
      <c r="K819" s="49"/>
      <c r="L819" s="49"/>
    </row>
    <row r="820">
      <c r="A820" s="49"/>
      <c r="B820" s="49"/>
      <c r="C820" s="49"/>
      <c r="D820" s="49"/>
      <c r="E820" s="49"/>
      <c r="F820" s="49"/>
      <c r="G820" s="49"/>
      <c r="H820" s="49"/>
      <c r="I820" s="49"/>
      <c r="J820" s="49"/>
      <c r="K820" s="49"/>
      <c r="L820" s="49"/>
    </row>
    <row r="821">
      <c r="A821" s="49"/>
      <c r="B821" s="49"/>
      <c r="C821" s="49"/>
      <c r="D821" s="49"/>
      <c r="E821" s="49"/>
      <c r="F821" s="49"/>
      <c r="G821" s="49"/>
      <c r="H821" s="49"/>
      <c r="I821" s="49"/>
      <c r="J821" s="49"/>
      <c r="K821" s="49"/>
      <c r="L821" s="49"/>
    </row>
    <row r="822">
      <c r="A822" s="49"/>
      <c r="B822" s="49"/>
      <c r="C822" s="49"/>
      <c r="D822" s="49"/>
      <c r="E822" s="49"/>
      <c r="F822" s="49"/>
      <c r="G822" s="49"/>
      <c r="H822" s="49"/>
      <c r="I822" s="49"/>
      <c r="J822" s="49"/>
      <c r="K822" s="49"/>
      <c r="L822" s="49"/>
    </row>
    <row r="823">
      <c r="A823" s="49"/>
      <c r="B823" s="49"/>
      <c r="C823" s="49"/>
      <c r="D823" s="49"/>
      <c r="E823" s="49"/>
      <c r="F823" s="49"/>
      <c r="G823" s="49"/>
      <c r="H823" s="49"/>
      <c r="I823" s="49"/>
      <c r="J823" s="49"/>
      <c r="K823" s="49"/>
      <c r="L823" s="49"/>
    </row>
    <row r="824">
      <c r="A824" s="49"/>
      <c r="B824" s="49"/>
      <c r="C824" s="49"/>
      <c r="D824" s="49"/>
      <c r="E824" s="49"/>
      <c r="F824" s="49"/>
      <c r="G824" s="49"/>
      <c r="H824" s="49"/>
      <c r="I824" s="49"/>
      <c r="J824" s="49"/>
      <c r="K824" s="49"/>
      <c r="L824" s="49"/>
    </row>
    <row r="825">
      <c r="A825" s="49"/>
      <c r="B825" s="49"/>
      <c r="C825" s="49"/>
      <c r="D825" s="49"/>
      <c r="E825" s="49"/>
      <c r="F825" s="49"/>
      <c r="G825" s="49"/>
      <c r="H825" s="49"/>
      <c r="I825" s="49"/>
      <c r="J825" s="49"/>
      <c r="K825" s="49"/>
      <c r="L825" s="49"/>
    </row>
    <row r="826">
      <c r="A826" s="49"/>
      <c r="B826" s="49"/>
      <c r="C826" s="49"/>
      <c r="D826" s="49"/>
      <c r="E826" s="49"/>
      <c r="F826" s="49"/>
      <c r="G826" s="49"/>
      <c r="H826" s="49"/>
      <c r="I826" s="49"/>
      <c r="J826" s="49"/>
      <c r="K826" s="49"/>
      <c r="L826" s="49"/>
    </row>
    <row r="827">
      <c r="A827" s="49"/>
      <c r="B827" s="49"/>
      <c r="C827" s="49"/>
      <c r="D827" s="49"/>
      <c r="E827" s="49"/>
      <c r="F827" s="49"/>
      <c r="G827" s="49"/>
      <c r="H827" s="49"/>
      <c r="I827" s="49"/>
      <c r="J827" s="49"/>
      <c r="K827" s="49"/>
      <c r="L827" s="49"/>
    </row>
    <row r="828">
      <c r="A828" s="49"/>
      <c r="B828" s="49"/>
      <c r="C828" s="49"/>
      <c r="D828" s="49"/>
      <c r="E828" s="49"/>
      <c r="F828" s="49"/>
      <c r="G828" s="49"/>
      <c r="H828" s="49"/>
      <c r="I828" s="49"/>
      <c r="J828" s="49"/>
      <c r="K828" s="49"/>
      <c r="L828" s="49"/>
    </row>
    <row r="829">
      <c r="A829" s="49"/>
      <c r="B829" s="49"/>
      <c r="C829" s="49"/>
      <c r="D829" s="49"/>
      <c r="E829" s="49"/>
      <c r="F829" s="49"/>
      <c r="G829" s="49"/>
      <c r="H829" s="49"/>
      <c r="I829" s="49"/>
      <c r="J829" s="49"/>
      <c r="K829" s="49"/>
      <c r="L829" s="49"/>
    </row>
    <row r="830">
      <c r="A830" s="49"/>
      <c r="B830" s="49"/>
      <c r="C830" s="49"/>
      <c r="D830" s="49"/>
      <c r="E830" s="49"/>
      <c r="F830" s="49"/>
      <c r="G830" s="49"/>
      <c r="H830" s="49"/>
      <c r="I830" s="49"/>
      <c r="J830" s="49"/>
      <c r="K830" s="49"/>
      <c r="L830" s="49"/>
    </row>
    <row r="831">
      <c r="A831" s="49"/>
      <c r="B831" s="49"/>
      <c r="C831" s="49"/>
      <c r="D831" s="49"/>
      <c r="E831" s="49"/>
      <c r="F831" s="49"/>
      <c r="G831" s="49"/>
      <c r="H831" s="49"/>
      <c r="I831" s="49"/>
      <c r="J831" s="49"/>
      <c r="K831" s="49"/>
      <c r="L831" s="49"/>
    </row>
    <row r="832">
      <c r="A832" s="49"/>
      <c r="B832" s="49"/>
      <c r="C832" s="49"/>
      <c r="D832" s="49"/>
      <c r="E832" s="49"/>
      <c r="F832" s="49"/>
      <c r="G832" s="49"/>
      <c r="H832" s="49"/>
      <c r="I832" s="49"/>
      <c r="J832" s="49"/>
      <c r="K832" s="49"/>
      <c r="L832" s="49"/>
    </row>
    <row r="833">
      <c r="A833" s="49"/>
      <c r="B833" s="49"/>
      <c r="C833" s="49"/>
      <c r="D833" s="49"/>
      <c r="E833" s="49"/>
      <c r="F833" s="49"/>
      <c r="G833" s="49"/>
      <c r="H833" s="49"/>
      <c r="I833" s="49"/>
      <c r="J833" s="49"/>
      <c r="K833" s="49"/>
      <c r="L833" s="49"/>
    </row>
    <row r="834">
      <c r="A834" s="49"/>
      <c r="B834" s="49"/>
      <c r="C834" s="49"/>
      <c r="D834" s="49"/>
      <c r="E834" s="49"/>
      <c r="F834" s="49"/>
      <c r="G834" s="49"/>
      <c r="H834" s="49"/>
      <c r="I834" s="49"/>
      <c r="J834" s="49"/>
      <c r="K834" s="49"/>
      <c r="L834" s="49"/>
    </row>
    <row r="835">
      <c r="A835" s="49"/>
      <c r="B835" s="49"/>
      <c r="C835" s="49"/>
      <c r="D835" s="49"/>
      <c r="E835" s="49"/>
      <c r="F835" s="49"/>
      <c r="G835" s="49"/>
      <c r="H835" s="49"/>
      <c r="I835" s="49"/>
      <c r="J835" s="49"/>
      <c r="K835" s="49"/>
      <c r="L835" s="49"/>
    </row>
    <row r="836">
      <c r="A836" s="49"/>
      <c r="B836" s="49"/>
      <c r="C836" s="49"/>
      <c r="D836" s="49"/>
      <c r="E836" s="49"/>
      <c r="F836" s="49"/>
      <c r="G836" s="49"/>
      <c r="H836" s="49"/>
      <c r="I836" s="49"/>
      <c r="J836" s="49"/>
      <c r="K836" s="49"/>
      <c r="L836" s="49"/>
    </row>
    <row r="837">
      <c r="A837" s="49"/>
      <c r="B837" s="49"/>
      <c r="C837" s="49"/>
      <c r="D837" s="49"/>
      <c r="E837" s="49"/>
      <c r="F837" s="49"/>
      <c r="G837" s="49"/>
      <c r="H837" s="49"/>
      <c r="I837" s="49"/>
      <c r="J837" s="49"/>
      <c r="K837" s="49"/>
      <c r="L837" s="49"/>
    </row>
    <row r="838">
      <c r="A838" s="49"/>
      <c r="B838" s="49"/>
      <c r="C838" s="49"/>
      <c r="D838" s="49"/>
      <c r="E838" s="49"/>
      <c r="F838" s="49"/>
      <c r="G838" s="49"/>
      <c r="H838" s="49"/>
      <c r="I838" s="49"/>
      <c r="J838" s="49"/>
      <c r="K838" s="49"/>
      <c r="L838" s="49"/>
    </row>
    <row r="839">
      <c r="A839" s="49"/>
      <c r="B839" s="49"/>
      <c r="C839" s="49"/>
      <c r="D839" s="49"/>
      <c r="E839" s="49"/>
      <c r="F839" s="49"/>
      <c r="G839" s="49"/>
      <c r="H839" s="49"/>
      <c r="I839" s="49"/>
      <c r="J839" s="49"/>
      <c r="K839" s="49"/>
      <c r="L839" s="49"/>
    </row>
    <row r="840">
      <c r="A840" s="49"/>
      <c r="B840" s="49"/>
      <c r="C840" s="49"/>
      <c r="D840" s="49"/>
      <c r="E840" s="49"/>
      <c r="F840" s="49"/>
      <c r="G840" s="49"/>
      <c r="H840" s="49"/>
      <c r="I840" s="49"/>
      <c r="J840" s="49"/>
      <c r="K840" s="49"/>
      <c r="L840" s="49"/>
    </row>
    <row r="841">
      <c r="A841" s="49"/>
      <c r="B841" s="49"/>
      <c r="C841" s="49"/>
      <c r="D841" s="49"/>
      <c r="E841" s="49"/>
      <c r="F841" s="49"/>
      <c r="G841" s="49"/>
      <c r="H841" s="49"/>
      <c r="I841" s="49"/>
      <c r="J841" s="49"/>
      <c r="K841" s="49"/>
      <c r="L841" s="49"/>
    </row>
    <row r="842">
      <c r="A842" s="49"/>
      <c r="B842" s="49"/>
      <c r="C842" s="49"/>
      <c r="D842" s="49"/>
      <c r="E842" s="49"/>
      <c r="F842" s="49"/>
      <c r="G842" s="49"/>
      <c r="H842" s="49"/>
      <c r="I842" s="49"/>
      <c r="J842" s="49"/>
      <c r="K842" s="49"/>
      <c r="L842" s="49"/>
    </row>
    <row r="843">
      <c r="A843" s="49"/>
      <c r="B843" s="49"/>
      <c r="C843" s="49"/>
      <c r="D843" s="49"/>
      <c r="E843" s="49"/>
      <c r="F843" s="49"/>
      <c r="G843" s="49"/>
      <c r="H843" s="49"/>
      <c r="I843" s="49"/>
      <c r="J843" s="49"/>
      <c r="K843" s="49"/>
      <c r="L843" s="49"/>
    </row>
    <row r="844">
      <c r="A844" s="49"/>
      <c r="B844" s="49"/>
      <c r="C844" s="49"/>
      <c r="D844" s="49"/>
      <c r="E844" s="49"/>
      <c r="F844" s="49"/>
      <c r="G844" s="49"/>
      <c r="H844" s="49"/>
      <c r="I844" s="49"/>
      <c r="J844" s="49"/>
      <c r="K844" s="49"/>
      <c r="L844" s="49"/>
    </row>
    <row r="845">
      <c r="A845" s="49"/>
      <c r="B845" s="49"/>
      <c r="C845" s="49"/>
      <c r="D845" s="49"/>
      <c r="E845" s="49"/>
      <c r="F845" s="49"/>
      <c r="G845" s="49"/>
      <c r="H845" s="49"/>
      <c r="I845" s="49"/>
      <c r="J845" s="49"/>
      <c r="K845" s="49"/>
      <c r="L845" s="49"/>
    </row>
    <row r="846">
      <c r="A846" s="49"/>
      <c r="B846" s="49"/>
      <c r="C846" s="49"/>
      <c r="D846" s="49"/>
      <c r="E846" s="49"/>
      <c r="F846" s="49"/>
      <c r="G846" s="49"/>
      <c r="H846" s="49"/>
      <c r="I846" s="49"/>
      <c r="J846" s="49"/>
      <c r="K846" s="49"/>
      <c r="L846" s="49"/>
    </row>
    <row r="847">
      <c r="A847" s="49"/>
      <c r="B847" s="49"/>
      <c r="C847" s="49"/>
      <c r="D847" s="49"/>
      <c r="E847" s="49"/>
      <c r="F847" s="49"/>
      <c r="G847" s="49"/>
      <c r="H847" s="49"/>
      <c r="I847" s="49"/>
      <c r="J847" s="49"/>
      <c r="K847" s="49"/>
      <c r="L847" s="49"/>
    </row>
    <row r="848">
      <c r="A848" s="49"/>
      <c r="B848" s="49"/>
      <c r="C848" s="49"/>
      <c r="D848" s="49"/>
      <c r="E848" s="49"/>
      <c r="F848" s="49"/>
      <c r="G848" s="49"/>
      <c r="H848" s="49"/>
      <c r="I848" s="49"/>
      <c r="J848" s="49"/>
      <c r="K848" s="49"/>
      <c r="L848" s="49"/>
    </row>
    <row r="849">
      <c r="A849" s="49"/>
      <c r="B849" s="49"/>
      <c r="C849" s="49"/>
      <c r="D849" s="49"/>
      <c r="E849" s="49"/>
      <c r="F849" s="49"/>
      <c r="G849" s="49"/>
      <c r="H849" s="49"/>
      <c r="I849" s="49"/>
      <c r="J849" s="49"/>
      <c r="K849" s="49"/>
      <c r="L849" s="49"/>
    </row>
    <row r="850">
      <c r="A850" s="49"/>
      <c r="B850" s="49"/>
      <c r="C850" s="49"/>
      <c r="D850" s="49"/>
      <c r="E850" s="49"/>
      <c r="F850" s="49"/>
      <c r="G850" s="49"/>
      <c r="H850" s="49"/>
      <c r="I850" s="49"/>
      <c r="J850" s="49"/>
      <c r="K850" s="49"/>
      <c r="L850" s="49"/>
    </row>
    <row r="851">
      <c r="A851" s="49"/>
      <c r="B851" s="49"/>
      <c r="C851" s="49"/>
      <c r="D851" s="49"/>
      <c r="E851" s="49"/>
      <c r="F851" s="49"/>
      <c r="G851" s="49"/>
      <c r="H851" s="49"/>
      <c r="I851" s="49"/>
      <c r="J851" s="49"/>
      <c r="K851" s="49"/>
      <c r="L851" s="49"/>
    </row>
    <row r="852">
      <c r="A852" s="49"/>
      <c r="B852" s="49"/>
      <c r="C852" s="49"/>
      <c r="D852" s="49"/>
      <c r="E852" s="49"/>
      <c r="F852" s="49"/>
      <c r="G852" s="49"/>
      <c r="H852" s="49"/>
      <c r="I852" s="49"/>
      <c r="J852" s="49"/>
      <c r="K852" s="49"/>
      <c r="L852" s="49"/>
    </row>
    <row r="853">
      <c r="A853" s="49"/>
      <c r="B853" s="49"/>
      <c r="C853" s="49"/>
      <c r="D853" s="49"/>
      <c r="E853" s="49"/>
      <c r="F853" s="49"/>
      <c r="G853" s="49"/>
      <c r="H853" s="49"/>
      <c r="I853" s="49"/>
      <c r="J853" s="49"/>
      <c r="K853" s="49"/>
      <c r="L853" s="49"/>
    </row>
    <row r="854">
      <c r="A854" s="49"/>
      <c r="B854" s="49"/>
      <c r="C854" s="49"/>
      <c r="D854" s="49"/>
      <c r="E854" s="49"/>
      <c r="F854" s="49"/>
      <c r="G854" s="49"/>
      <c r="H854" s="49"/>
      <c r="I854" s="49"/>
      <c r="J854" s="49"/>
      <c r="K854" s="49"/>
      <c r="L854" s="49"/>
    </row>
    <row r="855">
      <c r="A855" s="49"/>
      <c r="B855" s="49"/>
      <c r="C855" s="49"/>
      <c r="D855" s="49"/>
      <c r="E855" s="49"/>
      <c r="F855" s="49"/>
      <c r="G855" s="49"/>
      <c r="H855" s="49"/>
      <c r="I855" s="49"/>
      <c r="J855" s="49"/>
      <c r="K855" s="49"/>
      <c r="L855" s="49"/>
    </row>
    <row r="856">
      <c r="A856" s="49"/>
      <c r="B856" s="49"/>
      <c r="C856" s="49"/>
      <c r="D856" s="49"/>
      <c r="E856" s="49"/>
      <c r="F856" s="49"/>
      <c r="G856" s="49"/>
      <c r="H856" s="49"/>
      <c r="I856" s="49"/>
      <c r="J856" s="49"/>
      <c r="K856" s="49"/>
      <c r="L856" s="49"/>
    </row>
    <row r="857">
      <c r="A857" s="49"/>
      <c r="B857" s="49"/>
      <c r="C857" s="49"/>
      <c r="D857" s="49"/>
      <c r="E857" s="49"/>
      <c r="F857" s="49"/>
      <c r="G857" s="49"/>
      <c r="H857" s="49"/>
      <c r="I857" s="49"/>
      <c r="J857" s="49"/>
      <c r="K857" s="49"/>
      <c r="L857" s="49"/>
    </row>
    <row r="858">
      <c r="A858" s="49"/>
      <c r="B858" s="49"/>
      <c r="C858" s="49"/>
      <c r="D858" s="49"/>
      <c r="E858" s="49"/>
      <c r="F858" s="49"/>
      <c r="G858" s="49"/>
      <c r="H858" s="49"/>
      <c r="I858" s="49"/>
      <c r="J858" s="49"/>
      <c r="K858" s="49"/>
      <c r="L858" s="49"/>
    </row>
    <row r="859">
      <c r="A859" s="49"/>
      <c r="B859" s="49"/>
      <c r="C859" s="49"/>
      <c r="D859" s="49"/>
      <c r="E859" s="49"/>
      <c r="F859" s="49"/>
      <c r="G859" s="49"/>
      <c r="H859" s="49"/>
      <c r="I859" s="49"/>
      <c r="J859" s="49"/>
      <c r="K859" s="49"/>
      <c r="L859" s="49"/>
    </row>
    <row r="860">
      <c r="A860" s="49"/>
      <c r="B860" s="49"/>
      <c r="C860" s="49"/>
      <c r="D860" s="49"/>
      <c r="E860" s="49"/>
      <c r="F860" s="49"/>
      <c r="G860" s="49"/>
      <c r="H860" s="49"/>
      <c r="I860" s="49"/>
      <c r="J860" s="49"/>
      <c r="K860" s="49"/>
      <c r="L860" s="49"/>
    </row>
    <row r="861">
      <c r="A861" s="49"/>
      <c r="B861" s="49"/>
      <c r="C861" s="49"/>
      <c r="D861" s="49"/>
      <c r="E861" s="49"/>
      <c r="F861" s="49"/>
      <c r="G861" s="49"/>
      <c r="H861" s="49"/>
      <c r="I861" s="49"/>
      <c r="J861" s="49"/>
      <c r="K861" s="49"/>
      <c r="L861" s="49"/>
    </row>
    <row r="862">
      <c r="A862" s="49"/>
      <c r="B862" s="49"/>
      <c r="C862" s="49"/>
      <c r="D862" s="49"/>
      <c r="E862" s="49"/>
      <c r="F862" s="49"/>
      <c r="G862" s="49"/>
      <c r="H862" s="49"/>
      <c r="I862" s="49"/>
      <c r="J862" s="49"/>
      <c r="K862" s="49"/>
      <c r="L862" s="49"/>
    </row>
    <row r="863">
      <c r="A863" s="49"/>
      <c r="B863" s="49"/>
      <c r="C863" s="49"/>
      <c r="D863" s="49"/>
      <c r="E863" s="49"/>
      <c r="F863" s="49"/>
      <c r="G863" s="49"/>
      <c r="H863" s="49"/>
      <c r="I863" s="49"/>
      <c r="J863" s="49"/>
      <c r="K863" s="49"/>
      <c r="L863" s="49"/>
    </row>
    <row r="864">
      <c r="A864" s="49"/>
      <c r="B864" s="49"/>
      <c r="C864" s="49"/>
      <c r="D864" s="49"/>
      <c r="E864" s="49"/>
      <c r="F864" s="49"/>
      <c r="G864" s="49"/>
      <c r="H864" s="49"/>
      <c r="I864" s="49"/>
      <c r="J864" s="49"/>
      <c r="K864" s="49"/>
      <c r="L864" s="49"/>
    </row>
    <row r="865">
      <c r="A865" s="49"/>
      <c r="B865" s="49"/>
      <c r="C865" s="49"/>
      <c r="D865" s="49"/>
      <c r="E865" s="49"/>
      <c r="F865" s="49"/>
      <c r="G865" s="49"/>
      <c r="H865" s="49"/>
      <c r="I865" s="49"/>
      <c r="J865" s="49"/>
      <c r="K865" s="49"/>
      <c r="L865" s="49"/>
    </row>
    <row r="866">
      <c r="A866" s="49"/>
      <c r="B866" s="49"/>
      <c r="C866" s="49"/>
      <c r="D866" s="49"/>
      <c r="E866" s="49"/>
      <c r="F866" s="49"/>
      <c r="G866" s="49"/>
      <c r="H866" s="49"/>
      <c r="I866" s="49"/>
      <c r="J866" s="49"/>
      <c r="K866" s="49"/>
      <c r="L866" s="49"/>
    </row>
    <row r="867">
      <c r="A867" s="49"/>
      <c r="B867" s="49"/>
      <c r="C867" s="49"/>
      <c r="D867" s="49"/>
      <c r="E867" s="49"/>
      <c r="F867" s="49"/>
      <c r="G867" s="49"/>
      <c r="H867" s="49"/>
      <c r="I867" s="49"/>
      <c r="J867" s="49"/>
      <c r="K867" s="49"/>
      <c r="L867" s="49"/>
    </row>
    <row r="868">
      <c r="A868" s="49"/>
      <c r="B868" s="49"/>
      <c r="C868" s="49"/>
      <c r="D868" s="49"/>
      <c r="E868" s="49"/>
      <c r="F868" s="49"/>
      <c r="G868" s="49"/>
      <c r="H868" s="49"/>
      <c r="I868" s="49"/>
      <c r="J868" s="49"/>
      <c r="K868" s="49"/>
      <c r="L868" s="49"/>
    </row>
    <row r="869">
      <c r="A869" s="49"/>
      <c r="B869" s="49"/>
      <c r="C869" s="49"/>
      <c r="D869" s="49"/>
      <c r="E869" s="49"/>
      <c r="F869" s="49"/>
      <c r="G869" s="49"/>
      <c r="H869" s="49"/>
      <c r="I869" s="49"/>
      <c r="J869" s="49"/>
      <c r="K869" s="49"/>
      <c r="L869" s="49"/>
    </row>
    <row r="870">
      <c r="A870" s="49"/>
      <c r="B870" s="49"/>
      <c r="C870" s="49"/>
      <c r="D870" s="49"/>
      <c r="E870" s="49"/>
      <c r="F870" s="49"/>
      <c r="G870" s="49"/>
      <c r="H870" s="49"/>
      <c r="I870" s="49"/>
      <c r="J870" s="49"/>
      <c r="K870" s="49"/>
      <c r="L870" s="49"/>
    </row>
    <row r="871">
      <c r="A871" s="49"/>
      <c r="B871" s="49"/>
      <c r="C871" s="49"/>
      <c r="D871" s="49"/>
      <c r="E871" s="49"/>
      <c r="F871" s="49"/>
      <c r="G871" s="49"/>
      <c r="H871" s="49"/>
      <c r="I871" s="49"/>
      <c r="J871" s="49"/>
      <c r="K871" s="49"/>
      <c r="L871" s="49"/>
    </row>
    <row r="872">
      <c r="A872" s="49"/>
      <c r="B872" s="49"/>
      <c r="C872" s="49"/>
      <c r="D872" s="49"/>
      <c r="E872" s="49"/>
      <c r="F872" s="49"/>
      <c r="G872" s="49"/>
      <c r="H872" s="49"/>
      <c r="I872" s="49"/>
      <c r="J872" s="49"/>
      <c r="K872" s="49"/>
      <c r="L872" s="49"/>
    </row>
    <row r="873">
      <c r="A873" s="49"/>
      <c r="B873" s="49"/>
      <c r="C873" s="49"/>
      <c r="D873" s="49"/>
      <c r="E873" s="49"/>
      <c r="F873" s="49"/>
      <c r="G873" s="49"/>
      <c r="H873" s="49"/>
      <c r="I873" s="49"/>
      <c r="J873" s="49"/>
      <c r="K873" s="49"/>
      <c r="L873" s="49"/>
    </row>
    <row r="874">
      <c r="A874" s="49"/>
      <c r="B874" s="49"/>
      <c r="C874" s="49"/>
      <c r="D874" s="49"/>
      <c r="E874" s="49"/>
      <c r="F874" s="49"/>
      <c r="G874" s="49"/>
      <c r="H874" s="49"/>
      <c r="I874" s="49"/>
      <c r="J874" s="49"/>
      <c r="K874" s="49"/>
      <c r="L874" s="49"/>
    </row>
    <row r="875">
      <c r="A875" s="49"/>
      <c r="B875" s="49"/>
      <c r="C875" s="49"/>
      <c r="D875" s="49"/>
      <c r="E875" s="49"/>
      <c r="F875" s="49"/>
      <c r="G875" s="49"/>
      <c r="H875" s="49"/>
      <c r="I875" s="49"/>
      <c r="J875" s="49"/>
      <c r="K875" s="49"/>
      <c r="L875" s="49"/>
    </row>
    <row r="876">
      <c r="A876" s="49"/>
      <c r="B876" s="49"/>
      <c r="C876" s="49"/>
      <c r="D876" s="49"/>
      <c r="E876" s="49"/>
      <c r="F876" s="49"/>
      <c r="G876" s="49"/>
      <c r="H876" s="49"/>
      <c r="I876" s="49"/>
      <c r="J876" s="49"/>
      <c r="K876" s="49"/>
      <c r="L876" s="49"/>
    </row>
    <row r="877">
      <c r="A877" s="49"/>
      <c r="B877" s="49"/>
      <c r="C877" s="49"/>
      <c r="D877" s="49"/>
      <c r="E877" s="49"/>
      <c r="F877" s="49"/>
      <c r="G877" s="49"/>
      <c r="H877" s="49"/>
      <c r="I877" s="49"/>
      <c r="J877" s="49"/>
      <c r="K877" s="49"/>
      <c r="L877" s="49"/>
    </row>
    <row r="878">
      <c r="A878" s="49"/>
      <c r="B878" s="49"/>
      <c r="C878" s="49"/>
      <c r="D878" s="49"/>
      <c r="E878" s="49"/>
      <c r="F878" s="49"/>
      <c r="G878" s="49"/>
      <c r="H878" s="49"/>
      <c r="I878" s="49"/>
      <c r="J878" s="49"/>
      <c r="K878" s="49"/>
      <c r="L878" s="49"/>
    </row>
    <row r="879">
      <c r="A879" s="49"/>
      <c r="B879" s="49"/>
      <c r="C879" s="49"/>
      <c r="D879" s="49"/>
      <c r="E879" s="49"/>
      <c r="F879" s="49"/>
      <c r="G879" s="49"/>
      <c r="H879" s="49"/>
      <c r="I879" s="49"/>
      <c r="J879" s="49"/>
      <c r="K879" s="49"/>
      <c r="L879" s="49"/>
    </row>
    <row r="880">
      <c r="A880" s="49"/>
      <c r="B880" s="49"/>
      <c r="C880" s="49"/>
      <c r="D880" s="49"/>
      <c r="E880" s="49"/>
      <c r="F880" s="49"/>
      <c r="G880" s="49"/>
      <c r="H880" s="49"/>
      <c r="I880" s="49"/>
      <c r="J880" s="49"/>
      <c r="K880" s="49"/>
      <c r="L880" s="49"/>
    </row>
    <row r="881">
      <c r="A881" s="49"/>
      <c r="B881" s="49"/>
      <c r="C881" s="49"/>
      <c r="D881" s="49"/>
      <c r="E881" s="49"/>
      <c r="F881" s="49"/>
      <c r="G881" s="49"/>
      <c r="H881" s="49"/>
      <c r="I881" s="49"/>
      <c r="J881" s="49"/>
      <c r="K881" s="49"/>
      <c r="L881" s="49"/>
    </row>
    <row r="882">
      <c r="A882" s="49"/>
      <c r="B882" s="49"/>
      <c r="C882" s="49"/>
      <c r="D882" s="49"/>
      <c r="E882" s="49"/>
      <c r="F882" s="49"/>
      <c r="G882" s="49"/>
      <c r="H882" s="49"/>
      <c r="I882" s="49"/>
      <c r="J882" s="49"/>
      <c r="K882" s="49"/>
      <c r="L882" s="49"/>
    </row>
    <row r="883">
      <c r="A883" s="49"/>
      <c r="B883" s="49"/>
      <c r="C883" s="49"/>
      <c r="D883" s="49"/>
      <c r="E883" s="49"/>
      <c r="F883" s="49"/>
      <c r="G883" s="49"/>
      <c r="H883" s="49"/>
      <c r="I883" s="49"/>
      <c r="J883" s="49"/>
      <c r="K883" s="49"/>
      <c r="L883" s="49"/>
    </row>
    <row r="884">
      <c r="A884" s="49"/>
      <c r="B884" s="49"/>
      <c r="C884" s="49"/>
      <c r="D884" s="49"/>
      <c r="E884" s="49"/>
      <c r="F884" s="49"/>
      <c r="G884" s="49"/>
      <c r="H884" s="49"/>
      <c r="I884" s="49"/>
      <c r="J884" s="49"/>
      <c r="K884" s="49"/>
      <c r="L884" s="49"/>
    </row>
    <row r="885">
      <c r="A885" s="49"/>
      <c r="B885" s="49"/>
      <c r="C885" s="49"/>
      <c r="D885" s="49"/>
      <c r="E885" s="49"/>
      <c r="F885" s="49"/>
      <c r="G885" s="49"/>
      <c r="H885" s="49"/>
      <c r="I885" s="49"/>
      <c r="J885" s="49"/>
      <c r="K885" s="49"/>
      <c r="L885" s="49"/>
    </row>
    <row r="886">
      <c r="A886" s="49"/>
      <c r="B886" s="49"/>
      <c r="C886" s="49"/>
      <c r="D886" s="49"/>
      <c r="E886" s="49"/>
      <c r="F886" s="49"/>
      <c r="G886" s="49"/>
      <c r="H886" s="49"/>
      <c r="I886" s="49"/>
      <c r="J886" s="49"/>
      <c r="K886" s="49"/>
      <c r="L886" s="49"/>
    </row>
    <row r="887">
      <c r="A887" s="49"/>
      <c r="B887" s="49"/>
      <c r="C887" s="49"/>
      <c r="D887" s="49"/>
      <c r="E887" s="49"/>
      <c r="F887" s="49"/>
      <c r="G887" s="49"/>
      <c r="H887" s="49"/>
      <c r="I887" s="49"/>
      <c r="J887" s="49"/>
      <c r="K887" s="49"/>
      <c r="L887" s="49"/>
    </row>
    <row r="888">
      <c r="A888" s="49"/>
      <c r="B888" s="49"/>
      <c r="C888" s="49"/>
      <c r="D888" s="49"/>
      <c r="E888" s="49"/>
      <c r="F888" s="49"/>
      <c r="G888" s="49"/>
      <c r="H888" s="49"/>
      <c r="I888" s="49"/>
      <c r="J888" s="49"/>
      <c r="K888" s="49"/>
      <c r="L888" s="49"/>
    </row>
    <row r="889">
      <c r="A889" s="49"/>
      <c r="B889" s="49"/>
      <c r="C889" s="49"/>
      <c r="D889" s="49"/>
      <c r="E889" s="49"/>
      <c r="F889" s="49"/>
      <c r="G889" s="49"/>
      <c r="H889" s="49"/>
      <c r="I889" s="49"/>
      <c r="J889" s="49"/>
      <c r="K889" s="49"/>
      <c r="L889" s="49"/>
    </row>
    <row r="890">
      <c r="A890" s="49"/>
      <c r="B890" s="49"/>
      <c r="C890" s="49"/>
      <c r="D890" s="49"/>
      <c r="E890" s="49"/>
      <c r="F890" s="49"/>
      <c r="G890" s="49"/>
      <c r="H890" s="49"/>
      <c r="I890" s="49"/>
      <c r="J890" s="49"/>
      <c r="K890" s="49"/>
      <c r="L890" s="49"/>
    </row>
    <row r="891">
      <c r="A891" s="49"/>
      <c r="B891" s="49"/>
      <c r="C891" s="49"/>
      <c r="D891" s="49"/>
      <c r="E891" s="49"/>
      <c r="F891" s="49"/>
      <c r="G891" s="49"/>
      <c r="H891" s="49"/>
      <c r="I891" s="49"/>
      <c r="J891" s="49"/>
      <c r="K891" s="49"/>
      <c r="L891" s="49"/>
    </row>
    <row r="892">
      <c r="A892" s="49"/>
      <c r="B892" s="49"/>
      <c r="C892" s="49"/>
      <c r="D892" s="49"/>
      <c r="E892" s="49"/>
      <c r="F892" s="49"/>
      <c r="G892" s="49"/>
      <c r="H892" s="49"/>
      <c r="I892" s="49"/>
      <c r="J892" s="49"/>
      <c r="K892" s="49"/>
      <c r="L892" s="49"/>
    </row>
    <row r="893">
      <c r="A893" s="49"/>
      <c r="B893" s="49"/>
      <c r="C893" s="49"/>
      <c r="D893" s="49"/>
      <c r="E893" s="49"/>
      <c r="F893" s="49"/>
      <c r="G893" s="49"/>
      <c r="H893" s="49"/>
      <c r="I893" s="49"/>
      <c r="J893" s="49"/>
      <c r="K893" s="49"/>
      <c r="L893" s="49"/>
    </row>
    <row r="894">
      <c r="A894" s="49"/>
      <c r="B894" s="49"/>
      <c r="C894" s="49"/>
      <c r="D894" s="49"/>
      <c r="E894" s="49"/>
      <c r="F894" s="49"/>
      <c r="G894" s="49"/>
      <c r="H894" s="49"/>
      <c r="I894" s="49"/>
      <c r="J894" s="49"/>
      <c r="K894" s="49"/>
      <c r="L894" s="49"/>
    </row>
    <row r="895">
      <c r="A895" s="49"/>
      <c r="B895" s="49"/>
      <c r="C895" s="49"/>
      <c r="D895" s="49"/>
      <c r="E895" s="49"/>
      <c r="F895" s="49"/>
      <c r="G895" s="49"/>
      <c r="H895" s="49"/>
      <c r="I895" s="49"/>
      <c r="J895" s="49"/>
      <c r="K895" s="49"/>
      <c r="L895" s="49"/>
    </row>
    <row r="896">
      <c r="A896" s="49"/>
      <c r="B896" s="49"/>
      <c r="C896" s="49"/>
      <c r="D896" s="49"/>
      <c r="E896" s="49"/>
      <c r="F896" s="49"/>
      <c r="G896" s="49"/>
      <c r="H896" s="49"/>
      <c r="I896" s="49"/>
      <c r="J896" s="49"/>
      <c r="K896" s="49"/>
      <c r="L896" s="49"/>
    </row>
    <row r="897">
      <c r="A897" s="49"/>
      <c r="B897" s="49"/>
      <c r="C897" s="49"/>
      <c r="D897" s="49"/>
      <c r="E897" s="49"/>
      <c r="F897" s="49"/>
      <c r="G897" s="49"/>
      <c r="H897" s="49"/>
      <c r="I897" s="49"/>
      <c r="J897" s="49"/>
      <c r="K897" s="49"/>
      <c r="L897" s="49"/>
    </row>
    <row r="898">
      <c r="A898" s="49"/>
      <c r="B898" s="49"/>
      <c r="C898" s="49"/>
      <c r="D898" s="49"/>
      <c r="E898" s="49"/>
      <c r="F898" s="49"/>
      <c r="G898" s="49"/>
      <c r="H898" s="49"/>
      <c r="I898" s="49"/>
      <c r="J898" s="49"/>
      <c r="K898" s="49"/>
      <c r="L898" s="49"/>
    </row>
    <row r="899">
      <c r="A899" s="49"/>
      <c r="B899" s="49"/>
      <c r="C899" s="49"/>
      <c r="D899" s="49"/>
      <c r="E899" s="49"/>
      <c r="F899" s="49"/>
      <c r="G899" s="49"/>
      <c r="H899" s="49"/>
      <c r="I899" s="49"/>
      <c r="J899" s="49"/>
      <c r="K899" s="49"/>
      <c r="L899" s="49"/>
    </row>
    <row r="900">
      <c r="A900" s="49"/>
      <c r="B900" s="49"/>
      <c r="C900" s="49"/>
      <c r="D900" s="49"/>
      <c r="E900" s="49"/>
      <c r="F900" s="49"/>
      <c r="G900" s="49"/>
      <c r="H900" s="49"/>
      <c r="I900" s="49"/>
      <c r="J900" s="49"/>
      <c r="K900" s="49"/>
      <c r="L900" s="49"/>
    </row>
    <row r="901">
      <c r="A901" s="49"/>
      <c r="B901" s="49"/>
      <c r="C901" s="49"/>
      <c r="D901" s="49"/>
      <c r="E901" s="49"/>
      <c r="F901" s="49"/>
      <c r="G901" s="49"/>
      <c r="H901" s="49"/>
      <c r="I901" s="49"/>
      <c r="J901" s="49"/>
      <c r="K901" s="49"/>
      <c r="L901" s="49"/>
    </row>
    <row r="902">
      <c r="A902" s="49"/>
      <c r="B902" s="49"/>
      <c r="C902" s="49"/>
      <c r="D902" s="49"/>
      <c r="E902" s="49"/>
      <c r="F902" s="49"/>
      <c r="G902" s="49"/>
      <c r="H902" s="49"/>
      <c r="I902" s="49"/>
      <c r="J902" s="49"/>
      <c r="K902" s="49"/>
      <c r="L902" s="49"/>
    </row>
    <row r="903">
      <c r="A903" s="49"/>
      <c r="B903" s="49"/>
      <c r="C903" s="49"/>
      <c r="D903" s="49"/>
      <c r="E903" s="49"/>
      <c r="F903" s="49"/>
      <c r="G903" s="49"/>
      <c r="H903" s="49"/>
      <c r="I903" s="49"/>
      <c r="J903" s="49"/>
      <c r="K903" s="49"/>
      <c r="L903" s="49"/>
    </row>
    <row r="904">
      <c r="A904" s="49"/>
      <c r="B904" s="49"/>
      <c r="C904" s="49"/>
      <c r="D904" s="49"/>
      <c r="E904" s="49"/>
      <c r="F904" s="49"/>
      <c r="G904" s="49"/>
      <c r="H904" s="49"/>
      <c r="I904" s="49"/>
      <c r="J904" s="49"/>
      <c r="K904" s="49"/>
      <c r="L904" s="49"/>
    </row>
    <row r="905">
      <c r="A905" s="49"/>
      <c r="B905" s="49"/>
      <c r="C905" s="49"/>
      <c r="D905" s="49"/>
      <c r="E905" s="49"/>
      <c r="F905" s="49"/>
      <c r="G905" s="49"/>
      <c r="H905" s="49"/>
      <c r="I905" s="49"/>
      <c r="J905" s="49"/>
      <c r="K905" s="49"/>
      <c r="L905" s="49"/>
    </row>
    <row r="906">
      <c r="A906" s="49"/>
      <c r="B906" s="49"/>
      <c r="C906" s="49"/>
      <c r="D906" s="49"/>
      <c r="E906" s="49"/>
      <c r="F906" s="49"/>
      <c r="G906" s="49"/>
      <c r="H906" s="49"/>
      <c r="I906" s="49"/>
      <c r="J906" s="49"/>
      <c r="K906" s="49"/>
      <c r="L906" s="49"/>
    </row>
    <row r="907">
      <c r="A907" s="49"/>
      <c r="B907" s="49"/>
      <c r="C907" s="49"/>
      <c r="D907" s="49"/>
      <c r="E907" s="49"/>
      <c r="F907" s="49"/>
      <c r="G907" s="49"/>
      <c r="H907" s="49"/>
      <c r="I907" s="49"/>
      <c r="J907" s="49"/>
      <c r="K907" s="49"/>
      <c r="L907" s="49"/>
    </row>
    <row r="908">
      <c r="A908" s="49"/>
      <c r="B908" s="49"/>
      <c r="C908" s="49"/>
      <c r="D908" s="49"/>
      <c r="E908" s="49"/>
      <c r="F908" s="49"/>
      <c r="G908" s="49"/>
      <c r="H908" s="49"/>
      <c r="I908" s="49"/>
      <c r="J908" s="49"/>
      <c r="K908" s="49"/>
      <c r="L908" s="49"/>
    </row>
    <row r="909">
      <c r="A909" s="49"/>
      <c r="B909" s="49"/>
      <c r="C909" s="49"/>
      <c r="D909" s="49"/>
      <c r="E909" s="49"/>
      <c r="F909" s="49"/>
      <c r="G909" s="49"/>
      <c r="H909" s="49"/>
      <c r="I909" s="49"/>
      <c r="J909" s="49"/>
      <c r="K909" s="49"/>
      <c r="L909" s="49"/>
    </row>
    <row r="910">
      <c r="A910" s="49"/>
      <c r="B910" s="49"/>
      <c r="C910" s="49"/>
      <c r="D910" s="49"/>
      <c r="E910" s="49"/>
      <c r="F910" s="49"/>
      <c r="G910" s="49"/>
      <c r="H910" s="49"/>
      <c r="I910" s="49"/>
      <c r="J910" s="49"/>
      <c r="K910" s="49"/>
      <c r="L910" s="49"/>
    </row>
    <row r="911">
      <c r="A911" s="49"/>
      <c r="B911" s="49"/>
      <c r="C911" s="49"/>
      <c r="D911" s="49"/>
      <c r="E911" s="49"/>
      <c r="F911" s="49"/>
      <c r="G911" s="49"/>
      <c r="H911" s="49"/>
      <c r="I911" s="49"/>
      <c r="J911" s="49"/>
      <c r="K911" s="49"/>
      <c r="L911" s="49"/>
    </row>
    <row r="912">
      <c r="A912" s="49"/>
      <c r="B912" s="49"/>
      <c r="C912" s="49"/>
      <c r="D912" s="49"/>
      <c r="E912" s="49"/>
      <c r="F912" s="49"/>
      <c r="G912" s="49"/>
      <c r="H912" s="49"/>
      <c r="I912" s="49"/>
      <c r="J912" s="49"/>
      <c r="K912" s="49"/>
      <c r="L912" s="49"/>
    </row>
    <row r="913">
      <c r="A913" s="49"/>
      <c r="B913" s="49"/>
      <c r="C913" s="49"/>
      <c r="D913" s="49"/>
      <c r="E913" s="49"/>
      <c r="F913" s="49"/>
      <c r="G913" s="49"/>
      <c r="H913" s="49"/>
      <c r="I913" s="49"/>
      <c r="J913" s="49"/>
      <c r="K913" s="49"/>
      <c r="L913" s="49"/>
    </row>
    <row r="914">
      <c r="A914" s="49"/>
      <c r="B914" s="49"/>
      <c r="C914" s="49"/>
      <c r="D914" s="49"/>
      <c r="E914" s="49"/>
      <c r="F914" s="49"/>
      <c r="G914" s="49"/>
      <c r="H914" s="49"/>
      <c r="I914" s="49"/>
      <c r="J914" s="49"/>
      <c r="K914" s="49"/>
      <c r="L914" s="49"/>
    </row>
    <row r="915">
      <c r="A915" s="49"/>
      <c r="B915" s="49"/>
      <c r="C915" s="49"/>
      <c r="D915" s="49"/>
      <c r="E915" s="49"/>
      <c r="F915" s="49"/>
      <c r="G915" s="49"/>
      <c r="H915" s="49"/>
      <c r="I915" s="49"/>
      <c r="J915" s="49"/>
      <c r="K915" s="49"/>
      <c r="L915" s="49"/>
    </row>
    <row r="916">
      <c r="A916" s="49"/>
      <c r="B916" s="49"/>
      <c r="C916" s="49"/>
      <c r="D916" s="49"/>
      <c r="E916" s="49"/>
      <c r="F916" s="49"/>
      <c r="G916" s="49"/>
      <c r="H916" s="49"/>
      <c r="I916" s="49"/>
      <c r="J916" s="49"/>
      <c r="K916" s="49"/>
      <c r="L916" s="49"/>
    </row>
    <row r="917">
      <c r="A917" s="49"/>
      <c r="B917" s="49"/>
      <c r="C917" s="49"/>
      <c r="D917" s="49"/>
      <c r="E917" s="49"/>
      <c r="F917" s="49"/>
      <c r="G917" s="49"/>
      <c r="H917" s="49"/>
      <c r="I917" s="49"/>
      <c r="J917" s="49"/>
      <c r="K917" s="49"/>
      <c r="L917" s="49"/>
    </row>
    <row r="918">
      <c r="A918" s="49"/>
      <c r="B918" s="49"/>
      <c r="C918" s="49"/>
      <c r="D918" s="49"/>
      <c r="E918" s="49"/>
      <c r="F918" s="49"/>
      <c r="G918" s="49"/>
      <c r="H918" s="49"/>
      <c r="I918" s="49"/>
      <c r="J918" s="49"/>
      <c r="K918" s="49"/>
      <c r="L918" s="49"/>
    </row>
    <row r="919">
      <c r="A919" s="49"/>
      <c r="B919" s="49"/>
      <c r="C919" s="49"/>
      <c r="D919" s="49"/>
      <c r="E919" s="49"/>
      <c r="F919" s="49"/>
      <c r="G919" s="49"/>
      <c r="H919" s="49"/>
      <c r="I919" s="49"/>
      <c r="J919" s="49"/>
      <c r="K919" s="49"/>
      <c r="L919" s="49"/>
    </row>
    <row r="920">
      <c r="A920" s="49"/>
      <c r="B920" s="49"/>
      <c r="C920" s="49"/>
      <c r="D920" s="49"/>
      <c r="E920" s="49"/>
      <c r="F920" s="49"/>
      <c r="G920" s="49"/>
      <c r="H920" s="49"/>
      <c r="I920" s="49"/>
      <c r="J920" s="49"/>
      <c r="K920" s="49"/>
      <c r="L920" s="49"/>
    </row>
    <row r="921">
      <c r="A921" s="49"/>
      <c r="B921" s="49"/>
      <c r="C921" s="49"/>
      <c r="D921" s="49"/>
      <c r="E921" s="49"/>
      <c r="F921" s="49"/>
      <c r="G921" s="49"/>
      <c r="H921" s="49"/>
      <c r="I921" s="49"/>
      <c r="J921" s="49"/>
      <c r="K921" s="49"/>
      <c r="L921" s="49"/>
    </row>
    <row r="922">
      <c r="A922" s="49"/>
      <c r="B922" s="49"/>
      <c r="C922" s="49"/>
      <c r="D922" s="49"/>
      <c r="E922" s="49"/>
      <c r="F922" s="49"/>
      <c r="G922" s="49"/>
      <c r="H922" s="49"/>
      <c r="I922" s="49"/>
      <c r="J922" s="49"/>
      <c r="K922" s="49"/>
      <c r="L922" s="49"/>
    </row>
    <row r="923">
      <c r="A923" s="49"/>
      <c r="B923" s="49"/>
      <c r="C923" s="49"/>
      <c r="D923" s="49"/>
      <c r="E923" s="49"/>
      <c r="F923" s="49"/>
      <c r="G923" s="49"/>
      <c r="H923" s="49"/>
      <c r="I923" s="49"/>
      <c r="J923" s="49"/>
      <c r="K923" s="49"/>
      <c r="L923" s="49"/>
    </row>
    <row r="924">
      <c r="A924" s="49"/>
      <c r="B924" s="49"/>
      <c r="C924" s="49"/>
      <c r="D924" s="49"/>
      <c r="E924" s="49"/>
      <c r="F924" s="49"/>
      <c r="G924" s="49"/>
      <c r="H924" s="49"/>
      <c r="I924" s="49"/>
      <c r="J924" s="49"/>
      <c r="K924" s="49"/>
      <c r="L924" s="49"/>
    </row>
    <row r="925">
      <c r="A925" s="49"/>
      <c r="B925" s="49"/>
      <c r="C925" s="49"/>
      <c r="D925" s="49"/>
      <c r="E925" s="49"/>
      <c r="F925" s="49"/>
      <c r="G925" s="49"/>
      <c r="H925" s="49"/>
      <c r="I925" s="49"/>
      <c r="J925" s="49"/>
      <c r="K925" s="49"/>
      <c r="L925" s="49"/>
    </row>
    <row r="926">
      <c r="A926" s="49"/>
      <c r="B926" s="49"/>
      <c r="C926" s="49"/>
      <c r="D926" s="49"/>
      <c r="E926" s="49"/>
      <c r="F926" s="49"/>
      <c r="G926" s="49"/>
      <c r="H926" s="49"/>
      <c r="I926" s="49"/>
      <c r="J926" s="49"/>
      <c r="K926" s="49"/>
      <c r="L926" s="49"/>
    </row>
    <row r="927">
      <c r="A927" s="49"/>
      <c r="B927" s="49"/>
      <c r="C927" s="49"/>
      <c r="D927" s="49"/>
      <c r="E927" s="49"/>
      <c r="F927" s="49"/>
      <c r="G927" s="49"/>
      <c r="H927" s="49"/>
      <c r="I927" s="49"/>
      <c r="J927" s="49"/>
      <c r="K927" s="49"/>
      <c r="L927" s="49"/>
    </row>
    <row r="928">
      <c r="A928" s="49"/>
      <c r="B928" s="49"/>
      <c r="C928" s="49"/>
      <c r="D928" s="49"/>
      <c r="E928" s="49"/>
      <c r="F928" s="49"/>
      <c r="G928" s="49"/>
      <c r="H928" s="49"/>
      <c r="I928" s="49"/>
      <c r="J928" s="49"/>
      <c r="K928" s="49"/>
      <c r="L928" s="49"/>
    </row>
    <row r="929">
      <c r="A929" s="49"/>
      <c r="B929" s="49"/>
      <c r="C929" s="49"/>
      <c r="D929" s="49"/>
      <c r="E929" s="49"/>
      <c r="F929" s="49"/>
      <c r="G929" s="49"/>
      <c r="H929" s="49"/>
      <c r="I929" s="49"/>
      <c r="J929" s="49"/>
      <c r="K929" s="49"/>
      <c r="L929" s="49"/>
    </row>
    <row r="930">
      <c r="A930" s="49"/>
      <c r="B930" s="49"/>
      <c r="C930" s="49"/>
      <c r="D930" s="49"/>
      <c r="E930" s="49"/>
      <c r="F930" s="49"/>
      <c r="G930" s="49"/>
      <c r="H930" s="49"/>
      <c r="I930" s="49"/>
      <c r="J930" s="49"/>
      <c r="K930" s="49"/>
      <c r="L930" s="49"/>
    </row>
    <row r="931">
      <c r="A931" s="49"/>
      <c r="B931" s="49"/>
      <c r="C931" s="49"/>
      <c r="D931" s="49"/>
      <c r="E931" s="49"/>
      <c r="F931" s="49"/>
      <c r="G931" s="49"/>
      <c r="H931" s="49"/>
      <c r="I931" s="49"/>
      <c r="J931" s="49"/>
      <c r="K931" s="49"/>
      <c r="L931" s="49"/>
    </row>
    <row r="932">
      <c r="A932" s="49"/>
      <c r="B932" s="49"/>
      <c r="C932" s="49"/>
      <c r="D932" s="49"/>
      <c r="E932" s="49"/>
      <c r="F932" s="49"/>
      <c r="G932" s="49"/>
      <c r="H932" s="49"/>
      <c r="I932" s="49"/>
      <c r="J932" s="49"/>
      <c r="K932" s="49"/>
      <c r="L932" s="49"/>
    </row>
    <row r="933">
      <c r="A933" s="49"/>
      <c r="B933" s="49"/>
      <c r="C933" s="49"/>
      <c r="D933" s="49"/>
      <c r="E933" s="49"/>
      <c r="F933" s="49"/>
      <c r="G933" s="49"/>
      <c r="H933" s="49"/>
      <c r="I933" s="49"/>
      <c r="J933" s="49"/>
      <c r="K933" s="49"/>
      <c r="L933" s="49"/>
    </row>
    <row r="934">
      <c r="A934" s="49"/>
      <c r="B934" s="49"/>
      <c r="C934" s="49"/>
      <c r="D934" s="49"/>
      <c r="E934" s="49"/>
      <c r="F934" s="49"/>
      <c r="G934" s="49"/>
      <c r="H934" s="49"/>
      <c r="I934" s="49"/>
      <c r="J934" s="49"/>
      <c r="K934" s="49"/>
      <c r="L934" s="49"/>
    </row>
    <row r="935">
      <c r="A935" s="49"/>
      <c r="B935" s="49"/>
      <c r="C935" s="49"/>
      <c r="D935" s="49"/>
      <c r="E935" s="49"/>
      <c r="F935" s="49"/>
      <c r="G935" s="49"/>
      <c r="H935" s="49"/>
      <c r="I935" s="49"/>
      <c r="J935" s="49"/>
      <c r="K935" s="49"/>
      <c r="L935" s="49"/>
    </row>
    <row r="936">
      <c r="A936" s="49"/>
      <c r="B936" s="49"/>
      <c r="C936" s="49"/>
      <c r="D936" s="49"/>
      <c r="E936" s="49"/>
      <c r="F936" s="49"/>
      <c r="G936" s="49"/>
      <c r="H936" s="49"/>
      <c r="I936" s="49"/>
      <c r="J936" s="49"/>
      <c r="K936" s="49"/>
      <c r="L936" s="49"/>
    </row>
    <row r="937">
      <c r="A937" s="49"/>
      <c r="B937" s="49"/>
      <c r="C937" s="49"/>
      <c r="D937" s="49"/>
      <c r="E937" s="49"/>
      <c r="F937" s="49"/>
      <c r="G937" s="49"/>
      <c r="H937" s="49"/>
      <c r="I937" s="49"/>
      <c r="J937" s="49"/>
      <c r="K937" s="49"/>
      <c r="L937" s="49"/>
    </row>
    <row r="938">
      <c r="A938" s="49"/>
      <c r="B938" s="49"/>
      <c r="C938" s="49"/>
      <c r="D938" s="49"/>
      <c r="E938" s="49"/>
      <c r="F938" s="49"/>
      <c r="G938" s="49"/>
      <c r="H938" s="49"/>
      <c r="I938" s="49"/>
      <c r="J938" s="49"/>
      <c r="K938" s="49"/>
      <c r="L938" s="49"/>
    </row>
    <row r="939">
      <c r="A939" s="49"/>
      <c r="B939" s="49"/>
      <c r="C939" s="49"/>
      <c r="D939" s="49"/>
      <c r="E939" s="49"/>
      <c r="F939" s="49"/>
      <c r="G939" s="49"/>
      <c r="H939" s="49"/>
      <c r="I939" s="49"/>
      <c r="J939" s="49"/>
      <c r="K939" s="49"/>
      <c r="L939" s="49"/>
    </row>
    <row r="940">
      <c r="A940" s="49"/>
      <c r="B940" s="49"/>
      <c r="C940" s="49"/>
      <c r="D940" s="49"/>
      <c r="E940" s="49"/>
      <c r="F940" s="49"/>
      <c r="G940" s="49"/>
      <c r="H940" s="49"/>
      <c r="I940" s="49"/>
      <c r="J940" s="49"/>
      <c r="K940" s="49"/>
      <c r="L940" s="49"/>
    </row>
    <row r="941">
      <c r="A941" s="49"/>
      <c r="B941" s="49"/>
      <c r="C941" s="49"/>
      <c r="D941" s="49"/>
      <c r="E941" s="49"/>
      <c r="F941" s="49"/>
      <c r="G941" s="49"/>
      <c r="H941" s="49"/>
      <c r="I941" s="49"/>
      <c r="J941" s="49"/>
      <c r="K941" s="49"/>
      <c r="L941" s="49"/>
    </row>
    <row r="942">
      <c r="A942" s="49"/>
      <c r="B942" s="49"/>
      <c r="C942" s="49"/>
      <c r="D942" s="49"/>
      <c r="E942" s="49"/>
      <c r="F942" s="49"/>
      <c r="G942" s="49"/>
      <c r="H942" s="49"/>
      <c r="I942" s="49"/>
      <c r="J942" s="49"/>
      <c r="K942" s="49"/>
      <c r="L942" s="49"/>
    </row>
    <row r="943">
      <c r="A943" s="49"/>
      <c r="B943" s="49"/>
      <c r="C943" s="49"/>
      <c r="D943" s="49"/>
      <c r="E943" s="49"/>
      <c r="F943" s="49"/>
      <c r="G943" s="49"/>
      <c r="H943" s="49"/>
      <c r="I943" s="49"/>
      <c r="J943" s="49"/>
      <c r="K943" s="49"/>
      <c r="L943" s="49"/>
    </row>
    <row r="944">
      <c r="A944" s="49"/>
      <c r="B944" s="49"/>
      <c r="C944" s="49"/>
      <c r="D944" s="49"/>
      <c r="E944" s="49"/>
      <c r="F944" s="49"/>
      <c r="G944" s="49"/>
      <c r="H944" s="49"/>
      <c r="I944" s="49"/>
      <c r="J944" s="49"/>
      <c r="K944" s="49"/>
      <c r="L944" s="49"/>
    </row>
    <row r="945">
      <c r="A945" s="49"/>
      <c r="B945" s="49"/>
      <c r="C945" s="49"/>
      <c r="D945" s="49"/>
      <c r="E945" s="49"/>
      <c r="F945" s="49"/>
      <c r="G945" s="49"/>
      <c r="H945" s="49"/>
      <c r="I945" s="49"/>
      <c r="J945" s="49"/>
      <c r="K945" s="49"/>
      <c r="L945" s="49"/>
    </row>
    <row r="946">
      <c r="A946" s="49"/>
      <c r="B946" s="49"/>
      <c r="C946" s="49"/>
      <c r="D946" s="49"/>
      <c r="E946" s="49"/>
      <c r="F946" s="49"/>
      <c r="G946" s="49"/>
      <c r="H946" s="49"/>
      <c r="I946" s="49"/>
      <c r="J946" s="49"/>
      <c r="K946" s="49"/>
      <c r="L946" s="49"/>
    </row>
    <row r="947">
      <c r="A947" s="49"/>
      <c r="B947" s="49"/>
      <c r="C947" s="49"/>
      <c r="D947" s="49"/>
      <c r="E947" s="49"/>
      <c r="F947" s="49"/>
      <c r="G947" s="49"/>
      <c r="H947" s="49"/>
      <c r="I947" s="49"/>
      <c r="J947" s="49"/>
      <c r="K947" s="49"/>
      <c r="L947" s="49"/>
    </row>
    <row r="948">
      <c r="A948" s="49"/>
      <c r="B948" s="49"/>
      <c r="C948" s="49"/>
      <c r="D948" s="49"/>
      <c r="E948" s="49"/>
      <c r="F948" s="49"/>
      <c r="G948" s="49"/>
      <c r="H948" s="49"/>
      <c r="I948" s="49"/>
      <c r="J948" s="49"/>
      <c r="K948" s="49"/>
      <c r="L948" s="49"/>
    </row>
    <row r="949">
      <c r="A949" s="49"/>
      <c r="B949" s="49"/>
      <c r="C949" s="49"/>
      <c r="D949" s="49"/>
      <c r="E949" s="49"/>
      <c r="F949" s="49"/>
      <c r="G949" s="49"/>
      <c r="H949" s="49"/>
      <c r="I949" s="49"/>
      <c r="J949" s="49"/>
      <c r="K949" s="49"/>
      <c r="L949" s="49"/>
    </row>
    <row r="950">
      <c r="A950" s="49"/>
      <c r="B950" s="49"/>
      <c r="C950" s="49"/>
      <c r="D950" s="49"/>
      <c r="E950" s="49"/>
      <c r="F950" s="49"/>
      <c r="G950" s="49"/>
      <c r="H950" s="49"/>
      <c r="I950" s="49"/>
      <c r="J950" s="49"/>
      <c r="K950" s="49"/>
      <c r="L950" s="49"/>
    </row>
    <row r="951">
      <c r="A951" s="49"/>
      <c r="B951" s="49"/>
      <c r="C951" s="49"/>
      <c r="D951" s="49"/>
      <c r="E951" s="49"/>
      <c r="F951" s="49"/>
      <c r="G951" s="49"/>
      <c r="H951" s="49"/>
      <c r="I951" s="49"/>
      <c r="J951" s="49"/>
      <c r="K951" s="49"/>
      <c r="L951" s="49"/>
    </row>
    <row r="952">
      <c r="A952" s="49"/>
      <c r="B952" s="49"/>
      <c r="C952" s="49"/>
      <c r="D952" s="49"/>
      <c r="E952" s="49"/>
      <c r="F952" s="49"/>
      <c r="G952" s="49"/>
      <c r="H952" s="49"/>
      <c r="I952" s="49"/>
      <c r="J952" s="49"/>
      <c r="K952" s="49"/>
      <c r="L952" s="49"/>
    </row>
    <row r="953">
      <c r="A953" s="49"/>
      <c r="B953" s="49"/>
      <c r="C953" s="49"/>
      <c r="D953" s="49"/>
      <c r="E953" s="49"/>
      <c r="F953" s="49"/>
      <c r="G953" s="49"/>
      <c r="H953" s="49"/>
      <c r="I953" s="49"/>
      <c r="J953" s="49"/>
      <c r="K953" s="49"/>
      <c r="L953" s="49"/>
    </row>
    <row r="954">
      <c r="A954" s="49"/>
      <c r="B954" s="49"/>
      <c r="C954" s="49"/>
      <c r="D954" s="49"/>
      <c r="E954" s="49"/>
      <c r="F954" s="49"/>
      <c r="G954" s="49"/>
      <c r="H954" s="49"/>
      <c r="I954" s="49"/>
      <c r="J954" s="49"/>
      <c r="K954" s="49"/>
      <c r="L954" s="49"/>
    </row>
    <row r="955">
      <c r="A955" s="49"/>
      <c r="B955" s="49"/>
      <c r="C955" s="49"/>
      <c r="D955" s="49"/>
      <c r="E955" s="49"/>
      <c r="F955" s="49"/>
      <c r="G955" s="49"/>
      <c r="H955" s="49"/>
      <c r="I955" s="49"/>
      <c r="J955" s="49"/>
      <c r="K955" s="49"/>
      <c r="L955" s="49"/>
    </row>
    <row r="956">
      <c r="A956" s="49"/>
      <c r="B956" s="49"/>
      <c r="C956" s="49"/>
      <c r="D956" s="49"/>
      <c r="E956" s="49"/>
      <c r="F956" s="49"/>
      <c r="G956" s="49"/>
      <c r="H956" s="49"/>
      <c r="I956" s="49"/>
      <c r="J956" s="49"/>
      <c r="K956" s="49"/>
      <c r="L956" s="49"/>
    </row>
    <row r="957">
      <c r="A957" s="49"/>
      <c r="B957" s="49"/>
      <c r="C957" s="49"/>
      <c r="D957" s="49"/>
      <c r="E957" s="49"/>
      <c r="F957" s="49"/>
      <c r="G957" s="49"/>
      <c r="H957" s="49"/>
      <c r="I957" s="49"/>
      <c r="J957" s="49"/>
      <c r="K957" s="49"/>
      <c r="L957" s="49"/>
    </row>
    <row r="958">
      <c r="A958" s="49"/>
      <c r="B958" s="49"/>
      <c r="C958" s="49"/>
      <c r="D958" s="49"/>
      <c r="E958" s="49"/>
      <c r="F958" s="49"/>
      <c r="G958" s="49"/>
      <c r="H958" s="49"/>
      <c r="I958" s="49"/>
      <c r="J958" s="49"/>
      <c r="K958" s="49"/>
      <c r="L958" s="49"/>
    </row>
    <row r="959">
      <c r="A959" s="49"/>
      <c r="B959" s="49"/>
      <c r="C959" s="49"/>
      <c r="D959" s="49"/>
      <c r="E959" s="49"/>
      <c r="F959" s="49"/>
      <c r="G959" s="49"/>
      <c r="H959" s="49"/>
      <c r="I959" s="49"/>
      <c r="J959" s="49"/>
      <c r="K959" s="49"/>
      <c r="L959" s="49"/>
    </row>
    <row r="960">
      <c r="A960" s="49"/>
      <c r="B960" s="49"/>
      <c r="C960" s="49"/>
      <c r="D960" s="49"/>
      <c r="E960" s="49"/>
      <c r="F960" s="49"/>
      <c r="G960" s="49"/>
      <c r="H960" s="49"/>
      <c r="I960" s="49"/>
      <c r="J960" s="49"/>
      <c r="K960" s="49"/>
      <c r="L960" s="49"/>
    </row>
    <row r="961">
      <c r="A961" s="49"/>
      <c r="B961" s="49"/>
      <c r="C961" s="49"/>
      <c r="D961" s="49"/>
      <c r="E961" s="49"/>
      <c r="F961" s="49"/>
      <c r="G961" s="49"/>
      <c r="H961" s="49"/>
      <c r="I961" s="49"/>
      <c r="J961" s="49"/>
      <c r="K961" s="49"/>
      <c r="L961" s="49"/>
    </row>
    <row r="962">
      <c r="A962" s="49"/>
      <c r="B962" s="49"/>
      <c r="C962" s="49"/>
      <c r="D962" s="49"/>
      <c r="E962" s="49"/>
      <c r="F962" s="49"/>
      <c r="G962" s="49"/>
      <c r="H962" s="49"/>
      <c r="I962" s="49"/>
      <c r="J962" s="49"/>
      <c r="K962" s="49"/>
      <c r="L962" s="49"/>
    </row>
    <row r="963">
      <c r="A963" s="49"/>
      <c r="B963" s="49"/>
      <c r="C963" s="49"/>
      <c r="D963" s="49"/>
      <c r="E963" s="49"/>
      <c r="F963" s="49"/>
      <c r="G963" s="49"/>
      <c r="H963" s="49"/>
      <c r="I963" s="49"/>
      <c r="J963" s="49"/>
      <c r="K963" s="49"/>
      <c r="L963" s="49"/>
    </row>
    <row r="964">
      <c r="A964" s="49"/>
      <c r="B964" s="49"/>
      <c r="C964" s="49"/>
      <c r="D964" s="49"/>
      <c r="E964" s="49"/>
      <c r="F964" s="49"/>
      <c r="G964" s="49"/>
      <c r="H964" s="49"/>
      <c r="I964" s="49"/>
      <c r="J964" s="49"/>
      <c r="K964" s="49"/>
      <c r="L964" s="49"/>
    </row>
    <row r="965">
      <c r="A965" s="49"/>
      <c r="B965" s="49"/>
      <c r="C965" s="49"/>
      <c r="D965" s="49"/>
      <c r="E965" s="49"/>
      <c r="F965" s="49"/>
      <c r="G965" s="49"/>
      <c r="H965" s="49"/>
      <c r="I965" s="49"/>
      <c r="J965" s="49"/>
      <c r="K965" s="49"/>
      <c r="L965" s="49"/>
    </row>
    <row r="966">
      <c r="A966" s="49"/>
      <c r="B966" s="49"/>
      <c r="C966" s="49"/>
      <c r="D966" s="49"/>
      <c r="E966" s="49"/>
      <c r="F966" s="49"/>
      <c r="G966" s="49"/>
      <c r="H966" s="49"/>
      <c r="I966" s="49"/>
      <c r="J966" s="49"/>
      <c r="K966" s="49"/>
      <c r="L966" s="49"/>
    </row>
    <row r="967">
      <c r="A967" s="49"/>
      <c r="B967" s="49"/>
      <c r="C967" s="49"/>
      <c r="D967" s="49"/>
      <c r="E967" s="49"/>
      <c r="F967" s="49"/>
      <c r="G967" s="49"/>
      <c r="H967" s="49"/>
      <c r="I967" s="49"/>
      <c r="J967" s="49"/>
      <c r="K967" s="49"/>
      <c r="L967" s="49"/>
    </row>
    <row r="968">
      <c r="A968" s="49"/>
      <c r="B968" s="49"/>
      <c r="C968" s="49"/>
      <c r="D968" s="49"/>
      <c r="E968" s="49"/>
      <c r="F968" s="49"/>
      <c r="G968" s="49"/>
      <c r="H968" s="49"/>
      <c r="I968" s="49"/>
      <c r="J968" s="49"/>
      <c r="K968" s="49"/>
      <c r="L968" s="49"/>
    </row>
    <row r="969">
      <c r="A969" s="49"/>
      <c r="B969" s="49"/>
      <c r="C969" s="49"/>
      <c r="D969" s="49"/>
      <c r="E969" s="49"/>
      <c r="F969" s="49"/>
      <c r="G969" s="49"/>
      <c r="H969" s="49"/>
      <c r="I969" s="49"/>
      <c r="J969" s="49"/>
      <c r="K969" s="49"/>
      <c r="L969" s="49"/>
    </row>
    <row r="970">
      <c r="A970" s="49"/>
      <c r="B970" s="49"/>
      <c r="C970" s="49"/>
      <c r="D970" s="49"/>
      <c r="E970" s="49"/>
      <c r="F970" s="49"/>
      <c r="G970" s="49"/>
      <c r="H970" s="49"/>
      <c r="I970" s="49"/>
      <c r="J970" s="49"/>
      <c r="K970" s="49"/>
      <c r="L970" s="49"/>
    </row>
    <row r="971">
      <c r="A971" s="49"/>
      <c r="B971" s="49"/>
      <c r="C971" s="49"/>
      <c r="D971" s="49"/>
      <c r="E971" s="49"/>
      <c r="F971" s="49"/>
      <c r="G971" s="49"/>
      <c r="H971" s="49"/>
      <c r="I971" s="49"/>
      <c r="J971" s="49"/>
      <c r="K971" s="49"/>
      <c r="L971" s="49"/>
    </row>
    <row r="972">
      <c r="A972" s="49"/>
      <c r="B972" s="49"/>
      <c r="C972" s="49"/>
      <c r="D972" s="49"/>
      <c r="E972" s="49"/>
      <c r="F972" s="49"/>
      <c r="G972" s="49"/>
      <c r="H972" s="49"/>
      <c r="I972" s="49"/>
      <c r="J972" s="49"/>
      <c r="K972" s="49"/>
      <c r="L972" s="49"/>
    </row>
    <row r="973">
      <c r="A973" s="49"/>
      <c r="B973" s="49"/>
      <c r="C973" s="49"/>
      <c r="D973" s="49"/>
      <c r="E973" s="49"/>
      <c r="F973" s="49"/>
      <c r="G973" s="49"/>
      <c r="H973" s="49"/>
      <c r="I973" s="49"/>
      <c r="J973" s="49"/>
      <c r="K973" s="49"/>
      <c r="L973" s="49"/>
    </row>
    <row r="974">
      <c r="A974" s="49"/>
      <c r="B974" s="49"/>
      <c r="C974" s="49"/>
      <c r="D974" s="49"/>
      <c r="E974" s="49"/>
      <c r="F974" s="49"/>
      <c r="G974" s="49"/>
      <c r="H974" s="49"/>
      <c r="I974" s="49"/>
      <c r="J974" s="49"/>
      <c r="K974" s="49"/>
      <c r="L974" s="49"/>
    </row>
    <row r="975">
      <c r="A975" s="49"/>
      <c r="B975" s="49"/>
      <c r="C975" s="49"/>
      <c r="D975" s="49"/>
      <c r="E975" s="49"/>
      <c r="F975" s="49"/>
      <c r="G975" s="49"/>
      <c r="H975" s="49"/>
      <c r="I975" s="49"/>
      <c r="J975" s="49"/>
      <c r="K975" s="49"/>
      <c r="L975" s="49"/>
    </row>
    <row r="976">
      <c r="A976" s="49"/>
      <c r="B976" s="49"/>
      <c r="C976" s="49"/>
      <c r="D976" s="49"/>
      <c r="E976" s="49"/>
      <c r="F976" s="49"/>
      <c r="G976" s="49"/>
      <c r="H976" s="49"/>
      <c r="I976" s="49"/>
      <c r="J976" s="49"/>
      <c r="K976" s="49"/>
      <c r="L976" s="49"/>
    </row>
    <row r="977">
      <c r="A977" s="49"/>
      <c r="B977" s="49"/>
      <c r="C977" s="49"/>
      <c r="D977" s="49"/>
      <c r="E977" s="49"/>
      <c r="F977" s="49"/>
      <c r="G977" s="49"/>
      <c r="H977" s="49"/>
      <c r="I977" s="49"/>
      <c r="J977" s="49"/>
      <c r="K977" s="49"/>
      <c r="L977" s="49"/>
    </row>
    <row r="978">
      <c r="A978" s="49"/>
      <c r="B978" s="49"/>
      <c r="C978" s="49"/>
      <c r="D978" s="49"/>
      <c r="E978" s="49"/>
      <c r="F978" s="49"/>
      <c r="G978" s="49"/>
      <c r="H978" s="49"/>
      <c r="I978" s="49"/>
      <c r="J978" s="49"/>
      <c r="K978" s="49"/>
      <c r="L978" s="49"/>
    </row>
    <row r="979">
      <c r="A979" s="49"/>
      <c r="B979" s="49"/>
      <c r="C979" s="49"/>
      <c r="D979" s="49"/>
      <c r="E979" s="49"/>
      <c r="F979" s="49"/>
      <c r="G979" s="49"/>
      <c r="H979" s="49"/>
      <c r="I979" s="49"/>
      <c r="J979" s="49"/>
      <c r="K979" s="49"/>
      <c r="L979" s="49"/>
    </row>
    <row r="980">
      <c r="A980" s="49"/>
      <c r="B980" s="49"/>
      <c r="C980" s="49"/>
      <c r="D980" s="49"/>
      <c r="E980" s="49"/>
      <c r="F980" s="49"/>
      <c r="G980" s="49"/>
      <c r="H980" s="49"/>
      <c r="I980" s="49"/>
      <c r="J980" s="49"/>
      <c r="K980" s="49"/>
      <c r="L980" s="49"/>
    </row>
    <row r="981">
      <c r="A981" s="49"/>
      <c r="B981" s="49"/>
      <c r="C981" s="49"/>
      <c r="D981" s="49"/>
      <c r="E981" s="49"/>
      <c r="F981" s="49"/>
      <c r="G981" s="49"/>
      <c r="H981" s="49"/>
      <c r="I981" s="49"/>
      <c r="J981" s="49"/>
      <c r="K981" s="49"/>
      <c r="L981" s="49"/>
    </row>
    <row r="982">
      <c r="A982" s="49"/>
      <c r="B982" s="49"/>
      <c r="C982" s="49"/>
      <c r="D982" s="49"/>
      <c r="E982" s="49"/>
      <c r="F982" s="49"/>
      <c r="G982" s="49"/>
      <c r="H982" s="49"/>
      <c r="I982" s="49"/>
      <c r="J982" s="49"/>
      <c r="K982" s="49"/>
      <c r="L982" s="49"/>
    </row>
    <row r="983">
      <c r="A983" s="49"/>
      <c r="B983" s="49"/>
      <c r="C983" s="49"/>
      <c r="D983" s="49"/>
      <c r="E983" s="49"/>
      <c r="F983" s="49"/>
      <c r="G983" s="49"/>
      <c r="H983" s="49"/>
      <c r="I983" s="49"/>
      <c r="J983" s="49"/>
      <c r="K983" s="49"/>
      <c r="L983" s="49"/>
    </row>
    <row r="984">
      <c r="A984" s="49"/>
      <c r="B984" s="49"/>
      <c r="C984" s="49"/>
      <c r="D984" s="49"/>
      <c r="E984" s="49"/>
      <c r="F984" s="49"/>
      <c r="G984" s="49"/>
      <c r="H984" s="49"/>
      <c r="I984" s="49"/>
      <c r="J984" s="49"/>
      <c r="K984" s="49"/>
      <c r="L984" s="49"/>
    </row>
    <row r="985">
      <c r="A985" s="49"/>
      <c r="B985" s="49"/>
      <c r="C985" s="49"/>
      <c r="D985" s="49"/>
      <c r="E985" s="49"/>
      <c r="F985" s="49"/>
      <c r="G985" s="49"/>
      <c r="H985" s="49"/>
      <c r="I985" s="49"/>
      <c r="J985" s="49"/>
      <c r="K985" s="49"/>
      <c r="L985" s="49"/>
    </row>
    <row r="986">
      <c r="A986" s="49"/>
      <c r="B986" s="49"/>
      <c r="C986" s="49"/>
      <c r="D986" s="49"/>
      <c r="E986" s="49"/>
      <c r="F986" s="49"/>
      <c r="G986" s="49"/>
      <c r="H986" s="49"/>
      <c r="I986" s="49"/>
      <c r="J986" s="49"/>
      <c r="K986" s="49"/>
      <c r="L986" s="49"/>
    </row>
    <row r="987">
      <c r="A987" s="49"/>
      <c r="B987" s="49"/>
      <c r="C987" s="49"/>
      <c r="D987" s="49"/>
      <c r="E987" s="49"/>
      <c r="F987" s="49"/>
      <c r="G987" s="49"/>
      <c r="H987" s="49"/>
      <c r="I987" s="49"/>
      <c r="J987" s="49"/>
      <c r="K987" s="49"/>
      <c r="L987" s="49"/>
    </row>
    <row r="988">
      <c r="A988" s="49"/>
      <c r="B988" s="49"/>
      <c r="C988" s="49"/>
      <c r="D988" s="49"/>
      <c r="E988" s="49"/>
      <c r="F988" s="49"/>
      <c r="G988" s="49"/>
      <c r="H988" s="49"/>
      <c r="I988" s="49"/>
      <c r="J988" s="49"/>
      <c r="K988" s="49"/>
      <c r="L988" s="49"/>
    </row>
    <row r="989">
      <c r="A989" s="49"/>
      <c r="B989" s="49"/>
      <c r="C989" s="49"/>
      <c r="D989" s="49"/>
      <c r="E989" s="49"/>
      <c r="F989" s="49"/>
      <c r="G989" s="49"/>
      <c r="H989" s="49"/>
      <c r="I989" s="49"/>
      <c r="J989" s="49"/>
      <c r="K989" s="49"/>
      <c r="L989" s="49"/>
    </row>
    <row r="990">
      <c r="A990" s="49"/>
      <c r="B990" s="49"/>
      <c r="C990" s="49"/>
      <c r="D990" s="49"/>
      <c r="E990" s="49"/>
      <c r="F990" s="49"/>
      <c r="G990" s="49"/>
      <c r="H990" s="49"/>
      <c r="I990" s="49"/>
      <c r="J990" s="49"/>
      <c r="K990" s="49"/>
      <c r="L990" s="49"/>
    </row>
    <row r="991">
      <c r="A991" s="49"/>
      <c r="B991" s="49"/>
      <c r="C991" s="49"/>
      <c r="D991" s="49"/>
      <c r="E991" s="49"/>
      <c r="F991" s="49"/>
      <c r="G991" s="49"/>
      <c r="H991" s="49"/>
      <c r="I991" s="49"/>
      <c r="J991" s="49"/>
      <c r="K991" s="49"/>
      <c r="L991" s="49"/>
    </row>
    <row r="992">
      <c r="A992" s="49"/>
      <c r="B992" s="49"/>
      <c r="C992" s="49"/>
      <c r="D992" s="49"/>
      <c r="E992" s="49"/>
      <c r="F992" s="49"/>
      <c r="G992" s="49"/>
      <c r="H992" s="49"/>
      <c r="I992" s="49"/>
      <c r="J992" s="49"/>
      <c r="K992" s="49"/>
      <c r="L992" s="49"/>
    </row>
    <row r="993">
      <c r="A993" s="49"/>
      <c r="B993" s="49"/>
      <c r="C993" s="49"/>
      <c r="D993" s="49"/>
      <c r="E993" s="49"/>
      <c r="F993" s="49"/>
      <c r="G993" s="49"/>
      <c r="H993" s="49"/>
      <c r="I993" s="49"/>
      <c r="J993" s="49"/>
      <c r="K993" s="49"/>
      <c r="L993" s="49"/>
    </row>
    <row r="994">
      <c r="A994" s="49"/>
      <c r="B994" s="49"/>
      <c r="C994" s="49"/>
      <c r="D994" s="49"/>
      <c r="E994" s="49"/>
      <c r="F994" s="49"/>
      <c r="G994" s="49"/>
      <c r="H994" s="49"/>
      <c r="I994" s="49"/>
      <c r="J994" s="49"/>
      <c r="K994" s="49"/>
      <c r="L994" s="49"/>
    </row>
    <row r="995">
      <c r="A995" s="49"/>
      <c r="B995" s="49"/>
      <c r="C995" s="49"/>
      <c r="D995" s="49"/>
      <c r="E995" s="49"/>
      <c r="F995" s="49"/>
      <c r="G995" s="49"/>
      <c r="H995" s="49"/>
      <c r="I995" s="49"/>
      <c r="J995" s="49"/>
      <c r="K995" s="49"/>
      <c r="L995" s="49"/>
    </row>
    <row r="996">
      <c r="A996" s="49"/>
      <c r="B996" s="49"/>
      <c r="C996" s="49"/>
      <c r="D996" s="49"/>
      <c r="E996" s="49"/>
      <c r="F996" s="49"/>
      <c r="G996" s="49"/>
      <c r="H996" s="49"/>
      <c r="I996" s="49"/>
      <c r="J996" s="49"/>
      <c r="K996" s="49"/>
      <c r="L996" s="49"/>
    </row>
    <row r="997">
      <c r="A997" s="49"/>
      <c r="B997" s="49"/>
      <c r="C997" s="49"/>
      <c r="D997" s="49"/>
      <c r="E997" s="49"/>
      <c r="F997" s="49"/>
      <c r="G997" s="49"/>
      <c r="H997" s="49"/>
      <c r="I997" s="49"/>
      <c r="J997" s="49"/>
      <c r="K997" s="49"/>
      <c r="L997" s="49"/>
    </row>
    <row r="998">
      <c r="A998" s="49"/>
      <c r="B998" s="49"/>
      <c r="C998" s="49"/>
      <c r="D998" s="49"/>
      <c r="E998" s="49"/>
      <c r="F998" s="49"/>
      <c r="G998" s="49"/>
      <c r="H998" s="49"/>
      <c r="I998" s="49"/>
      <c r="J998" s="49"/>
      <c r="K998" s="49"/>
      <c r="L998" s="49"/>
    </row>
    <row r="999">
      <c r="A999" s="49"/>
      <c r="B999" s="49"/>
      <c r="C999" s="49"/>
      <c r="D999" s="49"/>
      <c r="E999" s="49"/>
      <c r="F999" s="49"/>
      <c r="G999" s="49"/>
      <c r="H999" s="49"/>
      <c r="I999" s="49"/>
      <c r="J999" s="49"/>
      <c r="K999" s="49"/>
      <c r="L999" s="49"/>
    </row>
    <row r="1000">
      <c r="A1000" s="49"/>
      <c r="B1000" s="49"/>
      <c r="C1000" s="49"/>
      <c r="D1000" s="49"/>
      <c r="E1000" s="49"/>
      <c r="F1000" s="49"/>
      <c r="G1000" s="49"/>
      <c r="H1000" s="49"/>
      <c r="I1000" s="49"/>
      <c r="J1000" s="49"/>
      <c r="K1000" s="49"/>
      <c r="L1000" s="49"/>
    </row>
  </sheetData>
  <hyperlinks>
    <hyperlink display="RETURN TO DASHBOARD" location="Dashboard!A1" ref="A1"/>
    <hyperlink r:id="rId1" ref="L2"/>
    <hyperlink r:id="rId2" ref="L3"/>
    <hyperlink r:id="rId3" ref="L4"/>
    <hyperlink r:id="rId4" ref="L5"/>
    <hyperlink r:id="rId5" ref="L6"/>
    <hyperlink r:id="rId6" ref="L7"/>
    <hyperlink r:id="rId7" ref="L8"/>
    <hyperlink r:id="rId8" ref="L9"/>
    <hyperlink r:id="rId9" ref="L10"/>
    <hyperlink r:id="rId10" ref="L11"/>
    <hyperlink r:id="rId11" ref="L12"/>
    <hyperlink r:id="rId12" ref="L13"/>
  </hyperlinks>
  <drawing r:id="rId1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0.5"/>
    <col customWidth="1" min="5" max="5" width="15.38"/>
    <col customWidth="1" min="7" max="7" width="16.25"/>
    <col customWidth="1" min="9" max="9" width="9.75"/>
    <col customWidth="1" min="10" max="10" width="23.75"/>
  </cols>
  <sheetData>
    <row r="1">
      <c r="A1" s="64" t="s">
        <v>1258</v>
      </c>
      <c r="B1" s="46" t="str">
        <f>IFERROR(__xludf.DUMMYFUNCTION("QUERY('Form Responses 1'!A:AAC, ""SELECT T, U, V, W, X, Y, Z, AA, AB, AC WHERE C = 'Masters Abroad'"", 1)"),"Students Name")</f>
        <v>Students Name</v>
      </c>
      <c r="C1" s="46" t="str">
        <f>IFERROR(__xludf.DUMMYFUNCTION("""COMPUTED_VALUE"""),"Country")</f>
        <v>Country</v>
      </c>
      <c r="D1" s="46" t="str">
        <f>IFERROR(__xludf.DUMMYFUNCTION("""COMPUTED_VALUE"""),"University")</f>
        <v>University</v>
      </c>
      <c r="E1" s="46" t="str">
        <f>IFERROR(__xludf.DUMMYFUNCTION("""COMPUTED_VALUE"""),"Course Studying")</f>
        <v>Course Studying</v>
      </c>
      <c r="F1" s="46" t="str">
        <f>IFERROR(__xludf.DUMMYFUNCTION("""COMPUTED_VALUE"""),"Course Tenure")</f>
        <v>Course Tenure</v>
      </c>
      <c r="G1" s="46" t="str">
        <f>IFERROR(__xludf.DUMMYFUNCTION("""COMPUTED_VALUE"""),"Passport Number")</f>
        <v>Passport Number</v>
      </c>
      <c r="H1" s="46" t="str">
        <f>IFERROR(__xludf.DUMMYFUNCTION("""COMPUTED_VALUE"""),"USN Number")</f>
        <v>USN Number</v>
      </c>
      <c r="I1" s="46" t="str">
        <f>IFERROR(__xludf.DUMMYFUNCTION("""COMPUTED_VALUE"""),"CGPA")</f>
        <v>CGPA</v>
      </c>
      <c r="J1" s="46" t="str">
        <f>IFERROR(__xludf.DUMMYFUNCTION("""COMPUTED_VALUE"""),"School of Study (UG at DSU)")</f>
        <v>School of Study (UG at DSU)</v>
      </c>
      <c r="K1" s="46" t="str">
        <f>IFERROR(__xludf.DUMMYFUNCTION("""COMPUTED_VALUE"""),"Masters Abroad -   Upload Zip FIle")</f>
        <v>Masters Abroad -   Upload Zip FIle</v>
      </c>
      <c r="L1" s="46"/>
      <c r="M1" s="46"/>
      <c r="N1" s="46"/>
      <c r="O1" s="46"/>
      <c r="P1" s="46"/>
      <c r="Q1" s="46"/>
      <c r="R1" s="46"/>
      <c r="S1" s="46"/>
      <c r="T1" s="46"/>
      <c r="U1" s="46"/>
      <c r="V1" s="46"/>
      <c r="W1" s="46"/>
      <c r="X1" s="46"/>
      <c r="Y1" s="46"/>
      <c r="Z1" s="46"/>
      <c r="AA1" s="46"/>
    </row>
  </sheetData>
  <hyperlinks>
    <hyperlink display="RETURN TO DASHBOARD" location="Dashboard!A1" ref="A1"/>
  </hyperlink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63"/>
    <col customWidth="1" min="5" max="5" width="59.88"/>
    <col customWidth="1" min="7" max="7" width="21.75"/>
    <col customWidth="1" min="10" max="10" width="25.63"/>
  </cols>
  <sheetData>
    <row r="1">
      <c r="A1" s="43" t="s">
        <v>1258</v>
      </c>
      <c r="B1" s="45" t="str">
        <f>IFERROR(__xludf.DUMMYFUNCTION("QUERY('Form Responses 1'!A:AAC, ""SELECT K, L, M, N, O, P, Q, R, S WHERE C = 'Memberships'"", 1)"),"Date")</f>
        <v>Date</v>
      </c>
      <c r="C1" s="45" t="str">
        <f>IFERROR(__xludf.DUMMYFUNCTION("""COMPUTED_VALUE"""),"Status")</f>
        <v>Status</v>
      </c>
      <c r="D1" s="45" t="str">
        <f>IFERROR(__xludf.DUMMYFUNCTION("""COMPUTED_VALUE"""),"Name")</f>
        <v>Name</v>
      </c>
      <c r="E1" s="45" t="str">
        <f>IFERROR(__xludf.DUMMYFUNCTION("""COMPUTED_VALUE"""),"Summary")</f>
        <v>Summary</v>
      </c>
      <c r="F1" s="45" t="str">
        <f>IFERROR(__xludf.DUMMYFUNCTION("""COMPUTED_VALUE"""),"Country")</f>
        <v>Country</v>
      </c>
      <c r="G1" s="45" t="str">
        <f>IFERROR(__xludf.DUMMYFUNCTION("""COMPUTED_VALUE"""),"Membership Duration ")</f>
        <v>Membership Duration </v>
      </c>
      <c r="H1" s="45" t="str">
        <f>IFERROR(__xludf.DUMMYFUNCTION("""COMPUTED_VALUE"""),"Start Date")</f>
        <v>Start Date</v>
      </c>
      <c r="I1" s="45" t="str">
        <f>IFERROR(__xludf.DUMMYFUNCTION("""COMPUTED_VALUE"""),"End Date")</f>
        <v>End Date</v>
      </c>
      <c r="J1" s="45" t="str">
        <f>IFERROR(__xludf.DUMMYFUNCTION("""COMPUTED_VALUE"""),"Memberships -   Upload Zip FIle")</f>
        <v>Memberships -   Upload Zip FIle</v>
      </c>
      <c r="K1" s="46"/>
      <c r="L1" s="46"/>
      <c r="M1" s="46"/>
      <c r="N1" s="46"/>
      <c r="O1" s="46"/>
      <c r="P1" s="46"/>
      <c r="Q1" s="46"/>
      <c r="R1" s="46"/>
      <c r="S1" s="46"/>
      <c r="T1" s="46"/>
      <c r="U1" s="46"/>
      <c r="V1" s="46"/>
      <c r="W1" s="46"/>
      <c r="X1" s="46"/>
      <c r="Y1" s="46"/>
      <c r="Z1" s="46"/>
      <c r="AA1" s="46"/>
    </row>
    <row r="2">
      <c r="A2" s="63"/>
      <c r="B2" s="53">
        <f>IFERROR(__xludf.DUMMYFUNCTION("""COMPUTED_VALUE"""),45117.0)</f>
        <v>45117</v>
      </c>
      <c r="C2" s="49" t="str">
        <f>IFERROR(__xludf.DUMMYFUNCTION("""COMPUTED_VALUE"""),"Completed")</f>
        <v>Completed</v>
      </c>
      <c r="D2" s="49" t="str">
        <f>IFERROR(__xludf.DUMMYFUNCTION("""COMPUTED_VALUE"""),"ACU- The Association of Commonwealth Universities")</f>
        <v>ACU- The Association of Commonwealth Universities</v>
      </c>
      <c r="E2" s="50" t="str">
        <f>IFERROR(__xludf.DUMMYFUNCTION("""COMPUTED_VALUE"""),"https://www.acu.ac.uk/about-us/work-with-us/")</f>
        <v>https://www.acu.ac.uk/about-us/work-with-us/</v>
      </c>
      <c r="F2" s="49" t="str">
        <f>IFERROR(__xludf.DUMMYFUNCTION("""COMPUTED_VALUE"""),"UK")</f>
        <v>UK</v>
      </c>
      <c r="G2" s="49"/>
      <c r="H2" s="53">
        <f>IFERROR(__xludf.DUMMYFUNCTION("""COMPUTED_VALUE"""),45117.0)</f>
        <v>45117</v>
      </c>
      <c r="I2" s="53">
        <f>IFERROR(__xludf.DUMMYFUNCTION("""COMPUTED_VALUE"""),45482.0)</f>
        <v>45482</v>
      </c>
      <c r="J2" s="50" t="str">
        <f>IFERROR(__xludf.DUMMYFUNCTION("""COMPUTED_VALUE"""),"https://drive.google.com/open?id=1wwk5OStg4wgWB_KwJJZon3ojWgG6QoWt")</f>
        <v>https://drive.google.com/open?id=1wwk5OStg4wgWB_KwJJZon3ojWgG6QoWt</v>
      </c>
    </row>
    <row r="3">
      <c r="A3" s="63"/>
      <c r="B3" s="53">
        <f>IFERROR(__xludf.DUMMYFUNCTION("""COMPUTED_VALUE"""),45353.0)</f>
        <v>45353</v>
      </c>
      <c r="C3" s="49" t="str">
        <f>IFERROR(__xludf.DUMMYFUNCTION("""COMPUTED_VALUE"""),"Completed")</f>
        <v>Completed</v>
      </c>
      <c r="D3" s="49" t="str">
        <f>IFERROR(__xludf.DUMMYFUNCTION("""COMPUTED_VALUE"""),"Karnataka State Higher Education Council")</f>
        <v>Karnataka State Higher Education Council</v>
      </c>
      <c r="E3" s="50" t="str">
        <f>IFERROR(__xludf.DUMMYFUNCTION("""COMPUTED_VALUE"""),"https://kshec.karnataka.gov.in/2/contact-us/en")</f>
        <v>https://kshec.karnataka.gov.in/2/contact-us/en</v>
      </c>
      <c r="F3" s="49" t="str">
        <f>IFERROR(__xludf.DUMMYFUNCTION("""COMPUTED_VALUE"""),"India")</f>
        <v>India</v>
      </c>
      <c r="G3" s="49">
        <f>IFERROR(__xludf.DUMMYFUNCTION("""COMPUTED_VALUE"""),5.0)</f>
        <v>5</v>
      </c>
      <c r="H3" s="53">
        <f>IFERROR(__xludf.DUMMYFUNCTION("""COMPUTED_VALUE"""),45353.0)</f>
        <v>45353</v>
      </c>
      <c r="I3" s="53">
        <f>IFERROR(__xludf.DUMMYFUNCTION("""COMPUTED_VALUE"""),47178.0)</f>
        <v>47178</v>
      </c>
      <c r="J3" s="50" t="str">
        <f>IFERROR(__xludf.DUMMYFUNCTION("""COMPUTED_VALUE"""),"https://drive.google.com/open?id=1VWArJYN9Co9RSZZ9AOw6UhlB245f04Fh")</f>
        <v>https://drive.google.com/open?id=1VWArJYN9Co9RSZZ9AOw6UhlB245f04Fh</v>
      </c>
    </row>
    <row r="4">
      <c r="A4" s="63"/>
      <c r="B4" s="53">
        <f>IFERROR(__xludf.DUMMYFUNCTION("""COMPUTED_VALUE"""),45356.0)</f>
        <v>45356</v>
      </c>
      <c r="C4" s="49" t="str">
        <f>IFERROR(__xludf.DUMMYFUNCTION("""COMPUTED_VALUE"""),"Completed")</f>
        <v>Completed</v>
      </c>
      <c r="D4" s="49" t="str">
        <f>IFERROR(__xludf.DUMMYFUNCTION("""COMPUTED_VALUE"""),"Study in India")</f>
        <v>Study in India</v>
      </c>
      <c r="E4" s="49" t="str">
        <f>IFERROR(__xludf.DUMMYFUNCTION("""COMPUTED_VALUE"""),"The Study in India Membership is a national initiative designed to promote India as a preferred global education destination and to strengthen partnerships with higher education institutions worldwide. Through this membership, universities gain access to "&amp;"a wide network of international students, streamlined admission support, and enhanced global visibility.
The program facilitates collaboration, student recruitment, and academic exchange by showcasing the strengths of Indian higher education—ranging from"&amp;" diverse academic offerings and world-class faculty to an affordable and quality-driven learning environment. Member institutions benefit from centralized promotional activities, participation in international education fairs, digital campaigns, and inclu"&amp;"sion on the official Study in India platform.")</f>
        <v>The Study in India Membership is a national initiative designed to promote India as a preferred global education destination and to strengthen partnerships with higher education institutions worldwide. Through this membership, universities gain access to a wide network of international students, streamlined admission support, and enhanced global visibility.
The program facilitates collaboration, student recruitment, and academic exchange by showcasing the strengths of Indian higher education—ranging from diverse academic offerings and world-class faculty to an affordable and quality-driven learning environment. Member institutions benefit from centralized promotional activities, participation in international education fairs, digital campaigns, and inclusion on the official Study in India platform.</v>
      </c>
      <c r="F4" s="49" t="str">
        <f>IFERROR(__xludf.DUMMYFUNCTION("""COMPUTED_VALUE"""),"India")</f>
        <v>India</v>
      </c>
      <c r="G4" s="49">
        <f>IFERROR(__xludf.DUMMYFUNCTION("""COMPUTED_VALUE"""),10.0)</f>
        <v>10</v>
      </c>
      <c r="H4" s="53">
        <f>IFERROR(__xludf.DUMMYFUNCTION("""COMPUTED_VALUE"""),45356.0)</f>
        <v>45356</v>
      </c>
      <c r="I4" s="53">
        <f>IFERROR(__xludf.DUMMYFUNCTION("""COMPUTED_VALUE"""),49008.0)</f>
        <v>49008</v>
      </c>
      <c r="J4" s="50" t="str">
        <f>IFERROR(__xludf.DUMMYFUNCTION("""COMPUTED_VALUE"""),"https://drive.google.com/open?id=1LEfwhxGz_coycwET540_qvHhT9p-xYpk")</f>
        <v>https://drive.google.com/open?id=1LEfwhxGz_coycwET540_qvHhT9p-xYpk</v>
      </c>
    </row>
    <row r="5">
      <c r="A5" s="63"/>
      <c r="B5" s="53">
        <f>IFERROR(__xludf.DUMMYFUNCTION("""COMPUTED_VALUE"""),45940.0)</f>
        <v>45940</v>
      </c>
      <c r="C5" s="49" t="str">
        <f>IFERROR(__xludf.DUMMYFUNCTION("""COMPUTED_VALUE"""),"Completed")</f>
        <v>Completed</v>
      </c>
      <c r="D5" s="49" t="str">
        <f>IFERROR(__xludf.DUMMYFUNCTION("""COMPUTED_VALUE""")," International Association of Law Schools – IALS")</f>
        <v> International Association of Law Schools – IALS</v>
      </c>
      <c r="E5" s="49" t="str">
        <f>IFERROR(__xludf.DUMMYFUNCTION("""COMPUTED_VALUE"""),"The International Association of Law Schools (IALS) is a global consortium of law schools and legal education institutions dedicated to improving legal education worldwide. It provides a collaborative platform for member institutions to share best practic"&amp;"es, strengthen academic standards, and promote innovation in legal teaching, research, and community engagement.")</f>
        <v>The International Association of Law Schools (IALS) is a global consortium of law schools and legal education institutions dedicated to improving legal education worldwide. It provides a collaborative platform for member institutions to share best practices, strengthen academic standards, and promote innovation in legal teaching, research, and community engagement.</v>
      </c>
      <c r="F5" s="49" t="str">
        <f>IFERROR(__xludf.DUMMYFUNCTION("""COMPUTED_VALUE"""),"USA")</f>
        <v>USA</v>
      </c>
      <c r="G5" s="49">
        <f>IFERROR(__xludf.DUMMYFUNCTION("""COMPUTED_VALUE"""),1.0)</f>
        <v>1</v>
      </c>
      <c r="H5" s="53">
        <f>IFERROR(__xludf.DUMMYFUNCTION("""COMPUTED_VALUE"""),45940.0)</f>
        <v>45940</v>
      </c>
      <c r="I5" s="53">
        <f>IFERROR(__xludf.DUMMYFUNCTION("""COMPUTED_VALUE"""),46305.0)</f>
        <v>46305</v>
      </c>
      <c r="J5" s="50" t="str">
        <f>IFERROR(__xludf.DUMMYFUNCTION("""COMPUTED_VALUE"""),"https://drive.google.com/open?id=1mV-txk2P5WpmBIwT-kst122xiEM6Ra7L")</f>
        <v>https://drive.google.com/open?id=1mV-txk2P5WpmBIwT-kst122xiEM6Ra7L</v>
      </c>
    </row>
    <row r="6">
      <c r="A6" s="63"/>
      <c r="B6" s="49"/>
      <c r="C6" s="49"/>
      <c r="D6" s="49"/>
      <c r="E6" s="49"/>
      <c r="F6" s="49"/>
      <c r="G6" s="49"/>
      <c r="H6" s="49"/>
      <c r="I6" s="49"/>
      <c r="J6" s="49"/>
    </row>
    <row r="7">
      <c r="A7" s="63"/>
      <c r="B7" s="49"/>
      <c r="C7" s="49"/>
      <c r="D7" s="49"/>
      <c r="E7" s="49"/>
      <c r="F7" s="49"/>
      <c r="G7" s="49"/>
      <c r="H7" s="49"/>
      <c r="I7" s="49"/>
      <c r="J7" s="49"/>
    </row>
    <row r="8">
      <c r="A8" s="63"/>
      <c r="B8" s="49"/>
      <c r="C8" s="49"/>
      <c r="D8" s="49"/>
      <c r="E8" s="49"/>
      <c r="F8" s="49"/>
      <c r="G8" s="49"/>
      <c r="H8" s="49"/>
      <c r="I8" s="49"/>
      <c r="J8" s="49"/>
    </row>
    <row r="9">
      <c r="A9" s="63"/>
      <c r="B9" s="49"/>
      <c r="C9" s="49"/>
      <c r="D9" s="49"/>
      <c r="E9" s="49"/>
      <c r="F9" s="49"/>
      <c r="G9" s="49"/>
      <c r="H9" s="49"/>
      <c r="I9" s="49"/>
      <c r="J9" s="49"/>
    </row>
    <row r="10">
      <c r="A10" s="63"/>
      <c r="B10" s="49"/>
      <c r="C10" s="49"/>
      <c r="D10" s="49"/>
      <c r="E10" s="49"/>
      <c r="F10" s="49"/>
      <c r="G10" s="49"/>
      <c r="H10" s="49"/>
      <c r="I10" s="49"/>
      <c r="J10" s="49"/>
    </row>
    <row r="11">
      <c r="A11" s="63"/>
      <c r="B11" s="49"/>
      <c r="C11" s="49"/>
      <c r="D11" s="49"/>
      <c r="E11" s="49"/>
      <c r="F11" s="49"/>
      <c r="G11" s="49"/>
      <c r="H11" s="49"/>
      <c r="I11" s="49"/>
      <c r="J11" s="49"/>
    </row>
    <row r="12">
      <c r="A12" s="63"/>
      <c r="B12" s="49"/>
      <c r="C12" s="49"/>
      <c r="D12" s="49"/>
      <c r="E12" s="49"/>
      <c r="F12" s="49"/>
      <c r="G12" s="49"/>
      <c r="H12" s="49"/>
      <c r="I12" s="49"/>
      <c r="J12" s="49"/>
    </row>
    <row r="13">
      <c r="A13" s="63"/>
      <c r="B13" s="49"/>
      <c r="C13" s="49"/>
      <c r="D13" s="49"/>
      <c r="E13" s="49"/>
      <c r="F13" s="49"/>
      <c r="G13" s="49"/>
      <c r="H13" s="49"/>
      <c r="I13" s="49"/>
      <c r="J13" s="49"/>
    </row>
    <row r="14">
      <c r="A14" s="63"/>
      <c r="B14" s="49"/>
      <c r="C14" s="49"/>
      <c r="D14" s="49"/>
      <c r="E14" s="49"/>
      <c r="F14" s="49"/>
      <c r="G14" s="49"/>
      <c r="H14" s="49"/>
      <c r="I14" s="49"/>
      <c r="J14" s="49"/>
    </row>
    <row r="15">
      <c r="A15" s="63"/>
      <c r="B15" s="49"/>
      <c r="C15" s="49"/>
      <c r="D15" s="49"/>
      <c r="E15" s="49"/>
      <c r="F15" s="49"/>
      <c r="G15" s="49"/>
      <c r="H15" s="49"/>
      <c r="I15" s="49"/>
      <c r="J15" s="49"/>
    </row>
    <row r="16">
      <c r="A16" s="63"/>
      <c r="B16" s="49"/>
      <c r="C16" s="49"/>
      <c r="D16" s="49"/>
      <c r="E16" s="49"/>
      <c r="F16" s="49"/>
      <c r="G16" s="49"/>
      <c r="H16" s="49"/>
      <c r="I16" s="49"/>
      <c r="J16" s="49"/>
    </row>
    <row r="17">
      <c r="A17" s="63"/>
      <c r="B17" s="49"/>
      <c r="C17" s="49"/>
      <c r="D17" s="49"/>
      <c r="E17" s="49"/>
      <c r="F17" s="49"/>
      <c r="G17" s="49"/>
      <c r="H17" s="49"/>
      <c r="I17" s="49"/>
      <c r="J17" s="49"/>
    </row>
    <row r="18">
      <c r="A18" s="63"/>
      <c r="B18" s="49"/>
      <c r="C18" s="49"/>
      <c r="D18" s="49"/>
      <c r="E18" s="49"/>
      <c r="F18" s="49"/>
      <c r="G18" s="49"/>
      <c r="H18" s="49"/>
      <c r="I18" s="49"/>
      <c r="J18" s="49"/>
    </row>
    <row r="19">
      <c r="A19" s="63"/>
      <c r="B19" s="49"/>
      <c r="C19" s="49"/>
      <c r="D19" s="49"/>
      <c r="E19" s="49"/>
      <c r="F19" s="49"/>
      <c r="G19" s="49"/>
      <c r="H19" s="49"/>
      <c r="I19" s="49"/>
      <c r="J19" s="49"/>
    </row>
    <row r="20">
      <c r="A20" s="63"/>
      <c r="B20" s="49"/>
      <c r="C20" s="49"/>
      <c r="D20" s="49"/>
      <c r="E20" s="49"/>
      <c r="F20" s="49"/>
      <c r="G20" s="49"/>
      <c r="H20" s="49"/>
      <c r="I20" s="49"/>
      <c r="J20" s="49"/>
    </row>
    <row r="21">
      <c r="A21" s="63"/>
      <c r="B21" s="49"/>
      <c r="C21" s="49"/>
      <c r="D21" s="49"/>
      <c r="E21" s="49"/>
      <c r="F21" s="49"/>
      <c r="G21" s="49"/>
      <c r="H21" s="49"/>
      <c r="I21" s="49"/>
      <c r="J21" s="49"/>
    </row>
    <row r="22">
      <c r="A22" s="63"/>
      <c r="B22" s="49"/>
      <c r="C22" s="49"/>
      <c r="D22" s="49"/>
      <c r="E22" s="49"/>
      <c r="F22" s="49"/>
      <c r="G22" s="49"/>
      <c r="H22" s="49"/>
      <c r="I22" s="49"/>
      <c r="J22" s="49"/>
    </row>
    <row r="23">
      <c r="A23" s="63"/>
      <c r="B23" s="49"/>
      <c r="C23" s="49"/>
      <c r="D23" s="49"/>
      <c r="E23" s="49"/>
      <c r="F23" s="49"/>
      <c r="G23" s="49"/>
      <c r="H23" s="49"/>
      <c r="I23" s="49"/>
      <c r="J23" s="49"/>
    </row>
    <row r="24">
      <c r="A24" s="63"/>
      <c r="B24" s="49"/>
      <c r="C24" s="49"/>
      <c r="D24" s="49"/>
      <c r="E24" s="49"/>
      <c r="F24" s="49"/>
      <c r="G24" s="49"/>
      <c r="H24" s="49"/>
      <c r="I24" s="49"/>
      <c r="J24" s="49"/>
    </row>
    <row r="25">
      <c r="A25" s="63"/>
      <c r="B25" s="49"/>
      <c r="C25" s="49"/>
      <c r="D25" s="49"/>
      <c r="E25" s="49"/>
      <c r="F25" s="49"/>
      <c r="G25" s="49"/>
      <c r="H25" s="49"/>
      <c r="I25" s="49"/>
      <c r="J25" s="49"/>
    </row>
    <row r="26">
      <c r="A26" s="63"/>
      <c r="B26" s="49"/>
      <c r="C26" s="49"/>
      <c r="D26" s="49"/>
      <c r="E26" s="49"/>
      <c r="F26" s="49"/>
      <c r="G26" s="49"/>
      <c r="H26" s="49"/>
      <c r="I26" s="49"/>
      <c r="J26" s="49"/>
    </row>
    <row r="27">
      <c r="A27" s="63"/>
      <c r="B27" s="49"/>
      <c r="C27" s="49"/>
      <c r="D27" s="49"/>
      <c r="E27" s="49"/>
      <c r="F27" s="49"/>
      <c r="G27" s="49"/>
      <c r="H27" s="49"/>
      <c r="I27" s="49"/>
      <c r="J27" s="49"/>
    </row>
    <row r="28">
      <c r="A28" s="63"/>
      <c r="B28" s="49"/>
      <c r="C28" s="49"/>
      <c r="D28" s="49"/>
      <c r="E28" s="49"/>
      <c r="F28" s="49"/>
      <c r="G28" s="49"/>
      <c r="H28" s="49"/>
      <c r="I28" s="49"/>
      <c r="J28" s="49"/>
    </row>
    <row r="29">
      <c r="A29" s="63"/>
      <c r="B29" s="49"/>
      <c r="C29" s="49"/>
      <c r="D29" s="49"/>
      <c r="E29" s="49"/>
      <c r="F29" s="49"/>
      <c r="G29" s="49"/>
      <c r="H29" s="49"/>
      <c r="I29" s="49"/>
      <c r="J29" s="49"/>
    </row>
    <row r="30">
      <c r="A30" s="63"/>
      <c r="B30" s="49"/>
      <c r="C30" s="49"/>
      <c r="D30" s="49"/>
      <c r="E30" s="49"/>
      <c r="F30" s="49"/>
      <c r="G30" s="49"/>
      <c r="H30" s="49"/>
      <c r="I30" s="49"/>
      <c r="J30" s="49"/>
    </row>
    <row r="31">
      <c r="A31" s="63"/>
      <c r="B31" s="49"/>
      <c r="C31" s="49"/>
      <c r="D31" s="49"/>
      <c r="E31" s="49"/>
      <c r="F31" s="49"/>
      <c r="G31" s="49"/>
      <c r="H31" s="49"/>
      <c r="I31" s="49"/>
      <c r="J31" s="49"/>
    </row>
    <row r="32">
      <c r="A32" s="63"/>
      <c r="B32" s="49"/>
      <c r="C32" s="49"/>
      <c r="D32" s="49"/>
      <c r="E32" s="49"/>
      <c r="F32" s="49"/>
      <c r="G32" s="49"/>
      <c r="H32" s="49"/>
      <c r="I32" s="49"/>
      <c r="J32" s="49"/>
    </row>
    <row r="33">
      <c r="A33" s="63"/>
      <c r="B33" s="49"/>
      <c r="C33" s="49"/>
      <c r="D33" s="49"/>
      <c r="E33" s="49"/>
      <c r="F33" s="49"/>
      <c r="G33" s="49"/>
      <c r="H33" s="49"/>
      <c r="I33" s="49"/>
      <c r="J33" s="49"/>
    </row>
    <row r="34">
      <c r="A34" s="63"/>
      <c r="B34" s="49"/>
      <c r="C34" s="49"/>
      <c r="D34" s="49"/>
      <c r="E34" s="49"/>
      <c r="F34" s="49"/>
      <c r="G34" s="49"/>
      <c r="H34" s="49"/>
      <c r="I34" s="49"/>
      <c r="J34" s="49"/>
    </row>
    <row r="35">
      <c r="A35" s="63"/>
      <c r="B35" s="49"/>
      <c r="C35" s="49"/>
      <c r="D35" s="49"/>
      <c r="E35" s="49"/>
      <c r="F35" s="49"/>
      <c r="G35" s="49"/>
      <c r="H35" s="49"/>
      <c r="I35" s="49"/>
      <c r="J35" s="49"/>
    </row>
    <row r="36">
      <c r="A36" s="63"/>
      <c r="B36" s="49"/>
      <c r="C36" s="49"/>
      <c r="D36" s="49"/>
      <c r="E36" s="49"/>
      <c r="F36" s="49"/>
      <c r="G36" s="49"/>
      <c r="H36" s="49"/>
      <c r="I36" s="49"/>
      <c r="J36" s="49"/>
    </row>
    <row r="37">
      <c r="A37" s="63"/>
      <c r="B37" s="49"/>
      <c r="C37" s="49"/>
      <c r="D37" s="49"/>
      <c r="E37" s="49"/>
      <c r="F37" s="49"/>
      <c r="G37" s="49"/>
      <c r="H37" s="49"/>
      <c r="I37" s="49"/>
      <c r="J37" s="49"/>
    </row>
    <row r="38">
      <c r="A38" s="63"/>
      <c r="B38" s="49"/>
      <c r="C38" s="49"/>
      <c r="D38" s="49"/>
      <c r="E38" s="49"/>
      <c r="F38" s="49"/>
      <c r="G38" s="49"/>
      <c r="H38" s="49"/>
      <c r="I38" s="49"/>
      <c r="J38" s="49"/>
    </row>
    <row r="39">
      <c r="A39" s="63"/>
      <c r="B39" s="49"/>
      <c r="C39" s="49"/>
      <c r="D39" s="49"/>
      <c r="E39" s="49"/>
      <c r="F39" s="49"/>
      <c r="G39" s="49"/>
      <c r="H39" s="49"/>
      <c r="I39" s="49"/>
      <c r="J39" s="49"/>
    </row>
    <row r="40">
      <c r="A40" s="63"/>
      <c r="B40" s="49"/>
      <c r="C40" s="49"/>
      <c r="D40" s="49"/>
      <c r="E40" s="49"/>
      <c r="F40" s="49"/>
      <c r="G40" s="49"/>
      <c r="H40" s="49"/>
      <c r="I40" s="49"/>
      <c r="J40" s="49"/>
    </row>
    <row r="41">
      <c r="A41" s="63"/>
      <c r="B41" s="49"/>
      <c r="C41" s="49"/>
      <c r="D41" s="49"/>
      <c r="E41" s="49"/>
      <c r="F41" s="49"/>
      <c r="G41" s="49"/>
      <c r="H41" s="49"/>
      <c r="I41" s="49"/>
      <c r="J41" s="49"/>
    </row>
    <row r="42">
      <c r="A42" s="63"/>
      <c r="B42" s="49"/>
      <c r="C42" s="49"/>
      <c r="D42" s="49"/>
      <c r="E42" s="49"/>
      <c r="F42" s="49"/>
      <c r="G42" s="49"/>
      <c r="H42" s="49"/>
      <c r="I42" s="49"/>
      <c r="J42" s="49"/>
    </row>
    <row r="43">
      <c r="A43" s="63"/>
      <c r="B43" s="49"/>
      <c r="C43" s="49"/>
      <c r="D43" s="49"/>
      <c r="E43" s="49"/>
      <c r="F43" s="49"/>
      <c r="G43" s="49"/>
      <c r="H43" s="49"/>
      <c r="I43" s="49"/>
      <c r="J43" s="49"/>
    </row>
    <row r="44">
      <c r="A44" s="63"/>
      <c r="B44" s="49"/>
      <c r="C44" s="49"/>
      <c r="D44" s="49"/>
      <c r="E44" s="49"/>
      <c r="F44" s="49"/>
      <c r="G44" s="49"/>
      <c r="H44" s="49"/>
      <c r="I44" s="49"/>
      <c r="J44" s="49"/>
    </row>
    <row r="45">
      <c r="A45" s="63"/>
      <c r="B45" s="49"/>
      <c r="C45" s="49"/>
      <c r="D45" s="49"/>
      <c r="E45" s="49"/>
      <c r="F45" s="49"/>
      <c r="G45" s="49"/>
      <c r="H45" s="49"/>
      <c r="I45" s="49"/>
      <c r="J45" s="49"/>
    </row>
    <row r="46">
      <c r="A46" s="63"/>
      <c r="B46" s="49"/>
      <c r="C46" s="49"/>
      <c r="D46" s="49"/>
      <c r="E46" s="49"/>
      <c r="F46" s="49"/>
      <c r="G46" s="49"/>
      <c r="H46" s="49"/>
      <c r="I46" s="49"/>
      <c r="J46" s="49"/>
    </row>
    <row r="47">
      <c r="A47" s="63"/>
      <c r="B47" s="49"/>
      <c r="C47" s="49"/>
      <c r="D47" s="49"/>
      <c r="E47" s="49"/>
      <c r="F47" s="49"/>
      <c r="G47" s="49"/>
      <c r="H47" s="49"/>
      <c r="I47" s="49"/>
      <c r="J47" s="49"/>
    </row>
    <row r="48">
      <c r="A48" s="63"/>
      <c r="B48" s="49"/>
      <c r="C48" s="49"/>
      <c r="D48" s="49"/>
      <c r="E48" s="49"/>
      <c r="F48" s="49"/>
      <c r="G48" s="49"/>
      <c r="H48" s="49"/>
      <c r="I48" s="49"/>
      <c r="J48" s="49"/>
    </row>
    <row r="49">
      <c r="A49" s="63"/>
      <c r="B49" s="49"/>
      <c r="C49" s="49"/>
      <c r="D49" s="49"/>
      <c r="E49" s="49"/>
      <c r="F49" s="49"/>
      <c r="G49" s="49"/>
      <c r="H49" s="49"/>
      <c r="I49" s="49"/>
      <c r="J49" s="49"/>
    </row>
    <row r="50">
      <c r="A50" s="63"/>
      <c r="B50" s="49"/>
      <c r="C50" s="49"/>
      <c r="D50" s="49"/>
      <c r="E50" s="49"/>
      <c r="F50" s="49"/>
      <c r="G50" s="49"/>
      <c r="H50" s="49"/>
      <c r="I50" s="49"/>
      <c r="J50" s="49"/>
    </row>
    <row r="51">
      <c r="A51" s="63"/>
      <c r="B51" s="49"/>
      <c r="C51" s="49"/>
      <c r="D51" s="49"/>
      <c r="E51" s="49"/>
      <c r="F51" s="49"/>
      <c r="G51" s="49"/>
      <c r="H51" s="49"/>
      <c r="I51" s="49"/>
      <c r="J51" s="49"/>
    </row>
    <row r="52">
      <c r="A52" s="63"/>
      <c r="B52" s="49"/>
      <c r="C52" s="49"/>
      <c r="D52" s="49"/>
      <c r="E52" s="49"/>
      <c r="F52" s="49"/>
      <c r="G52" s="49"/>
      <c r="H52" s="49"/>
      <c r="I52" s="49"/>
      <c r="J52" s="49"/>
    </row>
    <row r="53">
      <c r="A53" s="63"/>
      <c r="B53" s="49"/>
      <c r="C53" s="49"/>
      <c r="D53" s="49"/>
      <c r="E53" s="49"/>
      <c r="F53" s="49"/>
      <c r="G53" s="49"/>
      <c r="H53" s="49"/>
      <c r="I53" s="49"/>
      <c r="J53" s="49"/>
    </row>
    <row r="54">
      <c r="A54" s="63"/>
      <c r="B54" s="49"/>
      <c r="C54" s="49"/>
      <c r="D54" s="49"/>
      <c r="E54" s="49"/>
      <c r="F54" s="49"/>
      <c r="G54" s="49"/>
      <c r="H54" s="49"/>
      <c r="I54" s="49"/>
      <c r="J54" s="49"/>
    </row>
    <row r="55">
      <c r="A55" s="63"/>
      <c r="B55" s="49"/>
      <c r="C55" s="49"/>
      <c r="D55" s="49"/>
      <c r="E55" s="49"/>
      <c r="F55" s="49"/>
      <c r="G55" s="49"/>
      <c r="H55" s="49"/>
      <c r="I55" s="49"/>
      <c r="J55" s="49"/>
    </row>
    <row r="56">
      <c r="A56" s="63"/>
      <c r="B56" s="49"/>
      <c r="C56" s="49"/>
      <c r="D56" s="49"/>
      <c r="E56" s="49"/>
      <c r="F56" s="49"/>
      <c r="G56" s="49"/>
      <c r="H56" s="49"/>
      <c r="I56" s="49"/>
      <c r="J56" s="49"/>
    </row>
    <row r="57">
      <c r="A57" s="63"/>
      <c r="B57" s="49"/>
      <c r="C57" s="49"/>
      <c r="D57" s="49"/>
      <c r="E57" s="49"/>
      <c r="F57" s="49"/>
      <c r="G57" s="49"/>
      <c r="H57" s="49"/>
      <c r="I57" s="49"/>
      <c r="J57" s="49"/>
    </row>
    <row r="58">
      <c r="A58" s="63"/>
      <c r="B58" s="49"/>
      <c r="C58" s="49"/>
      <c r="D58" s="49"/>
      <c r="E58" s="49"/>
      <c r="F58" s="49"/>
      <c r="G58" s="49"/>
      <c r="H58" s="49"/>
      <c r="I58" s="49"/>
      <c r="J58" s="49"/>
    </row>
    <row r="59">
      <c r="A59" s="63"/>
      <c r="B59" s="49"/>
      <c r="C59" s="49"/>
      <c r="D59" s="49"/>
      <c r="E59" s="49"/>
      <c r="F59" s="49"/>
      <c r="G59" s="49"/>
      <c r="H59" s="49"/>
      <c r="I59" s="49"/>
      <c r="J59" s="49"/>
    </row>
    <row r="60">
      <c r="A60" s="63"/>
      <c r="B60" s="49"/>
      <c r="C60" s="49"/>
      <c r="D60" s="49"/>
      <c r="E60" s="49"/>
      <c r="F60" s="49"/>
      <c r="G60" s="49"/>
      <c r="H60" s="49"/>
      <c r="I60" s="49"/>
      <c r="J60" s="49"/>
    </row>
    <row r="61">
      <c r="A61" s="63"/>
      <c r="B61" s="49"/>
      <c r="C61" s="49"/>
      <c r="D61" s="49"/>
      <c r="E61" s="49"/>
      <c r="F61" s="49"/>
      <c r="G61" s="49"/>
      <c r="H61" s="49"/>
      <c r="I61" s="49"/>
      <c r="J61" s="49"/>
    </row>
    <row r="62">
      <c r="A62" s="63"/>
      <c r="B62" s="49"/>
      <c r="C62" s="49"/>
      <c r="D62" s="49"/>
      <c r="E62" s="49"/>
      <c r="F62" s="49"/>
      <c r="G62" s="49"/>
      <c r="H62" s="49"/>
      <c r="I62" s="49"/>
      <c r="J62" s="49"/>
    </row>
    <row r="63">
      <c r="A63" s="63"/>
      <c r="B63" s="49"/>
      <c r="C63" s="49"/>
      <c r="D63" s="49"/>
      <c r="E63" s="49"/>
      <c r="F63" s="49"/>
      <c r="G63" s="49"/>
      <c r="H63" s="49"/>
      <c r="I63" s="49"/>
      <c r="J63" s="49"/>
    </row>
    <row r="64">
      <c r="A64" s="63"/>
      <c r="B64" s="49"/>
      <c r="C64" s="49"/>
      <c r="D64" s="49"/>
      <c r="E64" s="49"/>
      <c r="F64" s="49"/>
      <c r="G64" s="49"/>
      <c r="H64" s="49"/>
      <c r="I64" s="49"/>
      <c r="J64" s="49"/>
    </row>
    <row r="65">
      <c r="A65" s="63"/>
      <c r="B65" s="49"/>
      <c r="C65" s="49"/>
      <c r="D65" s="49"/>
      <c r="E65" s="49"/>
      <c r="F65" s="49"/>
      <c r="G65" s="49"/>
      <c r="H65" s="49"/>
      <c r="I65" s="49"/>
      <c r="J65" s="49"/>
    </row>
    <row r="66">
      <c r="A66" s="63"/>
      <c r="B66" s="49"/>
      <c r="C66" s="49"/>
      <c r="D66" s="49"/>
      <c r="E66" s="49"/>
      <c r="F66" s="49"/>
      <c r="G66" s="49"/>
      <c r="H66" s="49"/>
      <c r="I66" s="49"/>
      <c r="J66" s="49"/>
    </row>
    <row r="67">
      <c r="A67" s="63"/>
      <c r="B67" s="49"/>
      <c r="C67" s="49"/>
      <c r="D67" s="49"/>
      <c r="E67" s="49"/>
      <c r="F67" s="49"/>
      <c r="G67" s="49"/>
      <c r="H67" s="49"/>
      <c r="I67" s="49"/>
      <c r="J67" s="49"/>
    </row>
    <row r="68">
      <c r="A68" s="63"/>
      <c r="B68" s="49"/>
      <c r="C68" s="49"/>
      <c r="D68" s="49"/>
      <c r="E68" s="49"/>
      <c r="F68" s="49"/>
      <c r="G68" s="49"/>
      <c r="H68" s="49"/>
      <c r="I68" s="49"/>
      <c r="J68" s="49"/>
    </row>
    <row r="69">
      <c r="A69" s="63"/>
      <c r="B69" s="49"/>
      <c r="C69" s="49"/>
      <c r="D69" s="49"/>
      <c r="E69" s="49"/>
      <c r="F69" s="49"/>
      <c r="G69" s="49"/>
      <c r="H69" s="49"/>
      <c r="I69" s="49"/>
      <c r="J69" s="49"/>
    </row>
    <row r="70">
      <c r="A70" s="63"/>
      <c r="B70" s="49"/>
      <c r="C70" s="49"/>
      <c r="D70" s="49"/>
      <c r="E70" s="49"/>
      <c r="F70" s="49"/>
      <c r="G70" s="49"/>
      <c r="H70" s="49"/>
      <c r="I70" s="49"/>
      <c r="J70" s="49"/>
    </row>
    <row r="71">
      <c r="A71" s="63"/>
      <c r="B71" s="49"/>
      <c r="C71" s="49"/>
      <c r="D71" s="49"/>
      <c r="E71" s="49"/>
      <c r="F71" s="49"/>
      <c r="G71" s="49"/>
      <c r="H71" s="49"/>
      <c r="I71" s="49"/>
      <c r="J71" s="49"/>
    </row>
    <row r="72">
      <c r="A72" s="63"/>
      <c r="B72" s="49"/>
      <c r="C72" s="49"/>
      <c r="D72" s="49"/>
      <c r="E72" s="49"/>
      <c r="F72" s="49"/>
      <c r="G72" s="49"/>
      <c r="H72" s="49"/>
      <c r="I72" s="49"/>
      <c r="J72" s="49"/>
    </row>
    <row r="73">
      <c r="A73" s="63"/>
      <c r="B73" s="49"/>
      <c r="C73" s="49"/>
      <c r="D73" s="49"/>
      <c r="E73" s="49"/>
      <c r="F73" s="49"/>
      <c r="G73" s="49"/>
      <c r="H73" s="49"/>
      <c r="I73" s="49"/>
      <c r="J73" s="49"/>
    </row>
    <row r="74">
      <c r="A74" s="63"/>
      <c r="B74" s="49"/>
      <c r="C74" s="49"/>
      <c r="D74" s="49"/>
      <c r="E74" s="49"/>
      <c r="F74" s="49"/>
      <c r="G74" s="49"/>
      <c r="H74" s="49"/>
      <c r="I74" s="49"/>
      <c r="J74" s="49"/>
    </row>
    <row r="75">
      <c r="A75" s="63"/>
      <c r="B75" s="49"/>
      <c r="C75" s="49"/>
      <c r="D75" s="49"/>
      <c r="E75" s="49"/>
      <c r="F75" s="49"/>
      <c r="G75" s="49"/>
      <c r="H75" s="49"/>
      <c r="I75" s="49"/>
      <c r="J75" s="49"/>
    </row>
    <row r="76">
      <c r="A76" s="63"/>
      <c r="B76" s="49"/>
      <c r="C76" s="49"/>
      <c r="D76" s="49"/>
      <c r="E76" s="49"/>
      <c r="F76" s="49"/>
      <c r="G76" s="49"/>
      <c r="H76" s="49"/>
      <c r="I76" s="49"/>
      <c r="J76" s="49"/>
    </row>
    <row r="77">
      <c r="A77" s="63"/>
      <c r="B77" s="49"/>
      <c r="C77" s="49"/>
      <c r="D77" s="49"/>
      <c r="E77" s="49"/>
      <c r="F77" s="49"/>
      <c r="G77" s="49"/>
      <c r="H77" s="49"/>
      <c r="I77" s="49"/>
      <c r="J77" s="49"/>
    </row>
    <row r="78">
      <c r="A78" s="63"/>
      <c r="B78" s="49"/>
      <c r="C78" s="49"/>
      <c r="D78" s="49"/>
      <c r="E78" s="49"/>
      <c r="F78" s="49"/>
      <c r="G78" s="49"/>
      <c r="H78" s="49"/>
      <c r="I78" s="49"/>
      <c r="J78" s="49"/>
    </row>
    <row r="79">
      <c r="A79" s="63"/>
      <c r="B79" s="49"/>
      <c r="C79" s="49"/>
      <c r="D79" s="49"/>
      <c r="E79" s="49"/>
      <c r="F79" s="49"/>
      <c r="G79" s="49"/>
      <c r="H79" s="49"/>
      <c r="I79" s="49"/>
      <c r="J79" s="49"/>
    </row>
    <row r="80">
      <c r="A80" s="63"/>
      <c r="B80" s="49"/>
      <c r="C80" s="49"/>
      <c r="D80" s="49"/>
      <c r="E80" s="49"/>
      <c r="F80" s="49"/>
      <c r="G80" s="49"/>
      <c r="H80" s="49"/>
      <c r="I80" s="49"/>
      <c r="J80" s="49"/>
    </row>
    <row r="81">
      <c r="A81" s="63"/>
      <c r="B81" s="49"/>
      <c r="C81" s="49"/>
      <c r="D81" s="49"/>
      <c r="E81" s="49"/>
      <c r="F81" s="49"/>
      <c r="G81" s="49"/>
      <c r="H81" s="49"/>
      <c r="I81" s="49"/>
      <c r="J81" s="49"/>
    </row>
    <row r="82">
      <c r="A82" s="63"/>
      <c r="B82" s="49"/>
      <c r="C82" s="49"/>
      <c r="D82" s="49"/>
      <c r="E82" s="49"/>
      <c r="F82" s="49"/>
      <c r="G82" s="49"/>
      <c r="H82" s="49"/>
      <c r="I82" s="49"/>
      <c r="J82" s="49"/>
    </row>
    <row r="83">
      <c r="A83" s="63"/>
      <c r="B83" s="49"/>
      <c r="C83" s="49"/>
      <c r="D83" s="49"/>
      <c r="E83" s="49"/>
      <c r="F83" s="49"/>
      <c r="G83" s="49"/>
      <c r="H83" s="49"/>
      <c r="I83" s="49"/>
      <c r="J83" s="49"/>
    </row>
    <row r="84">
      <c r="A84" s="63"/>
      <c r="B84" s="49"/>
      <c r="C84" s="49"/>
      <c r="D84" s="49"/>
      <c r="E84" s="49"/>
      <c r="F84" s="49"/>
      <c r="G84" s="49"/>
      <c r="H84" s="49"/>
      <c r="I84" s="49"/>
      <c r="J84" s="49"/>
    </row>
    <row r="85">
      <c r="A85" s="63"/>
      <c r="B85" s="49"/>
      <c r="C85" s="49"/>
      <c r="D85" s="49"/>
      <c r="E85" s="49"/>
      <c r="F85" s="49"/>
      <c r="G85" s="49"/>
      <c r="H85" s="49"/>
      <c r="I85" s="49"/>
      <c r="J85" s="49"/>
    </row>
    <row r="86">
      <c r="A86" s="63"/>
      <c r="B86" s="49"/>
      <c r="C86" s="49"/>
      <c r="D86" s="49"/>
      <c r="E86" s="49"/>
      <c r="F86" s="49"/>
      <c r="G86" s="49"/>
      <c r="H86" s="49"/>
      <c r="I86" s="49"/>
      <c r="J86" s="49"/>
    </row>
    <row r="87">
      <c r="A87" s="63"/>
      <c r="B87" s="49"/>
      <c r="C87" s="49"/>
      <c r="D87" s="49"/>
      <c r="E87" s="49"/>
      <c r="F87" s="49"/>
      <c r="G87" s="49"/>
      <c r="H87" s="49"/>
      <c r="I87" s="49"/>
      <c r="J87" s="49"/>
    </row>
    <row r="88">
      <c r="A88" s="63"/>
      <c r="B88" s="49"/>
      <c r="C88" s="49"/>
      <c r="D88" s="49"/>
      <c r="E88" s="49"/>
      <c r="F88" s="49"/>
      <c r="G88" s="49"/>
      <c r="H88" s="49"/>
      <c r="I88" s="49"/>
      <c r="J88" s="49"/>
    </row>
    <row r="89">
      <c r="A89" s="63"/>
      <c r="B89" s="49"/>
      <c r="C89" s="49"/>
      <c r="D89" s="49"/>
      <c r="E89" s="49"/>
      <c r="F89" s="49"/>
      <c r="G89" s="49"/>
      <c r="H89" s="49"/>
      <c r="I89" s="49"/>
      <c r="J89" s="49"/>
    </row>
    <row r="90">
      <c r="A90" s="63"/>
      <c r="B90" s="49"/>
      <c r="C90" s="49"/>
      <c r="D90" s="49"/>
      <c r="E90" s="49"/>
      <c r="F90" s="49"/>
      <c r="G90" s="49"/>
      <c r="H90" s="49"/>
      <c r="I90" s="49"/>
      <c r="J90" s="49"/>
    </row>
    <row r="91">
      <c r="A91" s="63"/>
      <c r="B91" s="49"/>
      <c r="C91" s="49"/>
      <c r="D91" s="49"/>
      <c r="E91" s="49"/>
      <c r="F91" s="49"/>
      <c r="G91" s="49"/>
      <c r="H91" s="49"/>
      <c r="I91" s="49"/>
      <c r="J91" s="49"/>
    </row>
    <row r="92">
      <c r="A92" s="63"/>
      <c r="B92" s="49"/>
      <c r="C92" s="49"/>
      <c r="D92" s="49"/>
      <c r="E92" s="49"/>
      <c r="F92" s="49"/>
      <c r="G92" s="49"/>
      <c r="H92" s="49"/>
      <c r="I92" s="49"/>
      <c r="J92" s="49"/>
    </row>
    <row r="93">
      <c r="A93" s="63"/>
      <c r="B93" s="49"/>
      <c r="C93" s="49"/>
      <c r="D93" s="49"/>
      <c r="E93" s="49"/>
      <c r="F93" s="49"/>
      <c r="G93" s="49"/>
      <c r="H93" s="49"/>
      <c r="I93" s="49"/>
      <c r="J93" s="49"/>
    </row>
    <row r="94">
      <c r="A94" s="63"/>
      <c r="B94" s="49"/>
      <c r="C94" s="49"/>
      <c r="D94" s="49"/>
      <c r="E94" s="49"/>
      <c r="F94" s="49"/>
      <c r="G94" s="49"/>
      <c r="H94" s="49"/>
      <c r="I94" s="49"/>
      <c r="J94" s="49"/>
    </row>
    <row r="95">
      <c r="A95" s="63"/>
      <c r="B95" s="49"/>
      <c r="C95" s="49"/>
      <c r="D95" s="49"/>
      <c r="E95" s="49"/>
      <c r="F95" s="49"/>
      <c r="G95" s="49"/>
      <c r="H95" s="49"/>
      <c r="I95" s="49"/>
      <c r="J95" s="49"/>
    </row>
    <row r="96">
      <c r="A96" s="63"/>
      <c r="B96" s="49"/>
      <c r="C96" s="49"/>
      <c r="D96" s="49"/>
      <c r="E96" s="49"/>
      <c r="F96" s="49"/>
      <c r="G96" s="49"/>
      <c r="H96" s="49"/>
      <c r="I96" s="49"/>
      <c r="J96" s="49"/>
    </row>
    <row r="97">
      <c r="A97" s="63"/>
      <c r="B97" s="49"/>
      <c r="C97" s="49"/>
      <c r="D97" s="49"/>
      <c r="E97" s="49"/>
      <c r="F97" s="49"/>
      <c r="G97" s="49"/>
      <c r="H97" s="49"/>
      <c r="I97" s="49"/>
      <c r="J97" s="49"/>
    </row>
    <row r="98">
      <c r="A98" s="63"/>
      <c r="B98" s="49"/>
      <c r="C98" s="49"/>
      <c r="D98" s="49"/>
      <c r="E98" s="49"/>
      <c r="F98" s="49"/>
      <c r="G98" s="49"/>
      <c r="H98" s="49"/>
      <c r="I98" s="49"/>
      <c r="J98" s="49"/>
    </row>
    <row r="99">
      <c r="A99" s="63"/>
      <c r="B99" s="49"/>
      <c r="C99" s="49"/>
      <c r="D99" s="49"/>
      <c r="E99" s="49"/>
      <c r="F99" s="49"/>
      <c r="G99" s="49"/>
      <c r="H99" s="49"/>
      <c r="I99" s="49"/>
      <c r="J99" s="49"/>
    </row>
    <row r="100">
      <c r="A100" s="63"/>
      <c r="B100" s="49"/>
      <c r="C100" s="49"/>
      <c r="D100" s="49"/>
      <c r="E100" s="49"/>
      <c r="F100" s="49"/>
      <c r="G100" s="49"/>
      <c r="H100" s="49"/>
      <c r="I100" s="49"/>
      <c r="J100" s="49"/>
    </row>
    <row r="101">
      <c r="A101" s="63"/>
      <c r="B101" s="49"/>
      <c r="C101" s="49"/>
      <c r="D101" s="49"/>
      <c r="E101" s="49"/>
      <c r="F101" s="49"/>
      <c r="G101" s="49"/>
      <c r="H101" s="49"/>
      <c r="I101" s="49"/>
      <c r="J101" s="49"/>
    </row>
    <row r="102">
      <c r="A102" s="63"/>
      <c r="B102" s="49"/>
      <c r="C102" s="49"/>
      <c r="D102" s="49"/>
      <c r="E102" s="49"/>
      <c r="F102" s="49"/>
      <c r="G102" s="49"/>
      <c r="H102" s="49"/>
      <c r="I102" s="49"/>
      <c r="J102" s="49"/>
    </row>
    <row r="103">
      <c r="A103" s="63"/>
      <c r="B103" s="49"/>
      <c r="C103" s="49"/>
      <c r="D103" s="49"/>
      <c r="E103" s="49"/>
      <c r="F103" s="49"/>
      <c r="G103" s="49"/>
      <c r="H103" s="49"/>
      <c r="I103" s="49"/>
      <c r="J103" s="49"/>
    </row>
    <row r="104">
      <c r="A104" s="63"/>
      <c r="B104" s="49"/>
      <c r="C104" s="49"/>
      <c r="D104" s="49"/>
      <c r="E104" s="49"/>
      <c r="F104" s="49"/>
      <c r="G104" s="49"/>
      <c r="H104" s="49"/>
      <c r="I104" s="49"/>
      <c r="J104" s="49"/>
    </row>
    <row r="105">
      <c r="A105" s="63"/>
      <c r="B105" s="49"/>
      <c r="C105" s="49"/>
      <c r="D105" s="49"/>
      <c r="E105" s="49"/>
      <c r="F105" s="49"/>
      <c r="G105" s="49"/>
      <c r="H105" s="49"/>
      <c r="I105" s="49"/>
      <c r="J105" s="49"/>
    </row>
    <row r="106">
      <c r="A106" s="63"/>
      <c r="B106" s="49"/>
      <c r="C106" s="49"/>
      <c r="D106" s="49"/>
      <c r="E106" s="49"/>
      <c r="F106" s="49"/>
      <c r="G106" s="49"/>
      <c r="H106" s="49"/>
      <c r="I106" s="49"/>
      <c r="J106" s="49"/>
    </row>
    <row r="107">
      <c r="A107" s="63"/>
      <c r="B107" s="49"/>
      <c r="C107" s="49"/>
      <c r="D107" s="49"/>
      <c r="E107" s="49"/>
      <c r="F107" s="49"/>
      <c r="G107" s="49"/>
      <c r="H107" s="49"/>
      <c r="I107" s="49"/>
      <c r="J107" s="49"/>
    </row>
    <row r="108">
      <c r="A108" s="63"/>
      <c r="B108" s="49"/>
      <c r="C108" s="49"/>
      <c r="D108" s="49"/>
      <c r="E108" s="49"/>
      <c r="F108" s="49"/>
      <c r="G108" s="49"/>
      <c r="H108" s="49"/>
      <c r="I108" s="49"/>
      <c r="J108" s="49"/>
    </row>
    <row r="109">
      <c r="A109" s="63"/>
      <c r="B109" s="49"/>
      <c r="C109" s="49"/>
      <c r="D109" s="49"/>
      <c r="E109" s="49"/>
      <c r="F109" s="49"/>
      <c r="G109" s="49"/>
      <c r="H109" s="49"/>
      <c r="I109" s="49"/>
      <c r="J109" s="49"/>
    </row>
    <row r="110">
      <c r="A110" s="63"/>
      <c r="B110" s="49"/>
      <c r="C110" s="49"/>
      <c r="D110" s="49"/>
      <c r="E110" s="49"/>
      <c r="F110" s="49"/>
      <c r="G110" s="49"/>
      <c r="H110" s="49"/>
      <c r="I110" s="49"/>
      <c r="J110" s="49"/>
    </row>
    <row r="111">
      <c r="A111" s="63"/>
      <c r="B111" s="49"/>
      <c r="C111" s="49"/>
      <c r="D111" s="49"/>
      <c r="E111" s="49"/>
      <c r="F111" s="49"/>
      <c r="G111" s="49"/>
      <c r="H111" s="49"/>
      <c r="I111" s="49"/>
      <c r="J111" s="49"/>
    </row>
    <row r="112">
      <c r="A112" s="63"/>
      <c r="B112" s="49"/>
      <c r="C112" s="49"/>
      <c r="D112" s="49"/>
      <c r="E112" s="49"/>
      <c r="F112" s="49"/>
      <c r="G112" s="49"/>
      <c r="H112" s="49"/>
      <c r="I112" s="49"/>
      <c r="J112" s="49"/>
    </row>
    <row r="113">
      <c r="A113" s="63"/>
      <c r="B113" s="49"/>
      <c r="C113" s="49"/>
      <c r="D113" s="49"/>
      <c r="E113" s="49"/>
      <c r="F113" s="49"/>
      <c r="G113" s="49"/>
      <c r="H113" s="49"/>
      <c r="I113" s="49"/>
      <c r="J113" s="49"/>
    </row>
    <row r="114">
      <c r="A114" s="63"/>
      <c r="B114" s="49"/>
      <c r="C114" s="49"/>
      <c r="D114" s="49"/>
      <c r="E114" s="49"/>
      <c r="F114" s="49"/>
      <c r="G114" s="49"/>
      <c r="H114" s="49"/>
      <c r="I114" s="49"/>
      <c r="J114" s="49"/>
    </row>
    <row r="115">
      <c r="A115" s="63"/>
      <c r="B115" s="49"/>
      <c r="C115" s="49"/>
      <c r="D115" s="49"/>
      <c r="E115" s="49"/>
      <c r="F115" s="49"/>
      <c r="G115" s="49"/>
      <c r="H115" s="49"/>
      <c r="I115" s="49"/>
      <c r="J115" s="49"/>
    </row>
    <row r="116">
      <c r="A116" s="63"/>
      <c r="B116" s="49"/>
      <c r="C116" s="49"/>
      <c r="D116" s="49"/>
      <c r="E116" s="49"/>
      <c r="F116" s="49"/>
      <c r="G116" s="49"/>
      <c r="H116" s="49"/>
      <c r="I116" s="49"/>
      <c r="J116" s="49"/>
    </row>
    <row r="117">
      <c r="A117" s="63"/>
      <c r="B117" s="49"/>
      <c r="C117" s="49"/>
      <c r="D117" s="49"/>
      <c r="E117" s="49"/>
      <c r="F117" s="49"/>
      <c r="G117" s="49"/>
      <c r="H117" s="49"/>
      <c r="I117" s="49"/>
      <c r="J117" s="49"/>
    </row>
    <row r="118">
      <c r="A118" s="63"/>
      <c r="B118" s="49"/>
      <c r="C118" s="49"/>
      <c r="D118" s="49"/>
      <c r="E118" s="49"/>
      <c r="F118" s="49"/>
      <c r="G118" s="49"/>
      <c r="H118" s="49"/>
      <c r="I118" s="49"/>
      <c r="J118" s="49"/>
    </row>
    <row r="119">
      <c r="A119" s="63"/>
      <c r="B119" s="49"/>
      <c r="C119" s="49"/>
      <c r="D119" s="49"/>
      <c r="E119" s="49"/>
      <c r="F119" s="49"/>
      <c r="G119" s="49"/>
      <c r="H119" s="49"/>
      <c r="I119" s="49"/>
      <c r="J119" s="49"/>
    </row>
    <row r="120">
      <c r="A120" s="63"/>
      <c r="B120" s="49"/>
      <c r="C120" s="49"/>
      <c r="D120" s="49"/>
      <c r="E120" s="49"/>
      <c r="F120" s="49"/>
      <c r="G120" s="49"/>
      <c r="H120" s="49"/>
      <c r="I120" s="49"/>
      <c r="J120" s="49"/>
    </row>
    <row r="121">
      <c r="A121" s="63"/>
      <c r="B121" s="49"/>
      <c r="C121" s="49"/>
      <c r="D121" s="49"/>
      <c r="E121" s="49"/>
      <c r="F121" s="49"/>
      <c r="G121" s="49"/>
      <c r="H121" s="49"/>
      <c r="I121" s="49"/>
      <c r="J121" s="49"/>
    </row>
    <row r="122">
      <c r="A122" s="63"/>
      <c r="B122" s="49"/>
      <c r="C122" s="49"/>
      <c r="D122" s="49"/>
      <c r="E122" s="49"/>
      <c r="F122" s="49"/>
      <c r="G122" s="49"/>
      <c r="H122" s="49"/>
      <c r="I122" s="49"/>
      <c r="J122" s="49"/>
    </row>
    <row r="123">
      <c r="A123" s="63"/>
      <c r="B123" s="49"/>
      <c r="C123" s="49"/>
      <c r="D123" s="49"/>
      <c r="E123" s="49"/>
      <c r="F123" s="49"/>
      <c r="G123" s="49"/>
      <c r="H123" s="49"/>
      <c r="I123" s="49"/>
      <c r="J123" s="49"/>
    </row>
    <row r="124">
      <c r="A124" s="63"/>
      <c r="B124" s="49"/>
      <c r="C124" s="49"/>
      <c r="D124" s="49"/>
      <c r="E124" s="49"/>
      <c r="F124" s="49"/>
      <c r="G124" s="49"/>
      <c r="H124" s="49"/>
      <c r="I124" s="49"/>
      <c r="J124" s="49"/>
    </row>
    <row r="125">
      <c r="A125" s="63"/>
      <c r="B125" s="49"/>
      <c r="C125" s="49"/>
      <c r="D125" s="49"/>
      <c r="E125" s="49"/>
      <c r="F125" s="49"/>
      <c r="G125" s="49"/>
      <c r="H125" s="49"/>
      <c r="I125" s="49"/>
      <c r="J125" s="49"/>
    </row>
    <row r="126">
      <c r="A126" s="63"/>
      <c r="B126" s="49"/>
      <c r="C126" s="49"/>
      <c r="D126" s="49"/>
      <c r="E126" s="49"/>
      <c r="F126" s="49"/>
      <c r="G126" s="49"/>
      <c r="H126" s="49"/>
      <c r="I126" s="49"/>
      <c r="J126" s="49"/>
    </row>
    <row r="127">
      <c r="A127" s="63"/>
      <c r="B127" s="49"/>
      <c r="C127" s="49"/>
      <c r="D127" s="49"/>
      <c r="E127" s="49"/>
      <c r="F127" s="49"/>
      <c r="G127" s="49"/>
      <c r="H127" s="49"/>
      <c r="I127" s="49"/>
      <c r="J127" s="49"/>
    </row>
    <row r="128">
      <c r="A128" s="63"/>
      <c r="B128" s="49"/>
      <c r="C128" s="49"/>
      <c r="D128" s="49"/>
      <c r="E128" s="49"/>
      <c r="F128" s="49"/>
      <c r="G128" s="49"/>
      <c r="H128" s="49"/>
      <c r="I128" s="49"/>
      <c r="J128" s="49"/>
    </row>
    <row r="129">
      <c r="A129" s="63"/>
      <c r="B129" s="49"/>
      <c r="C129" s="49"/>
      <c r="D129" s="49"/>
      <c r="E129" s="49"/>
      <c r="F129" s="49"/>
      <c r="G129" s="49"/>
      <c r="H129" s="49"/>
      <c r="I129" s="49"/>
      <c r="J129" s="49"/>
    </row>
    <row r="130">
      <c r="A130" s="63"/>
      <c r="B130" s="49"/>
      <c r="C130" s="49"/>
      <c r="D130" s="49"/>
      <c r="E130" s="49"/>
      <c r="F130" s="49"/>
      <c r="G130" s="49"/>
      <c r="H130" s="49"/>
      <c r="I130" s="49"/>
      <c r="J130" s="49"/>
    </row>
    <row r="131">
      <c r="A131" s="63"/>
      <c r="B131" s="49"/>
      <c r="C131" s="49"/>
      <c r="D131" s="49"/>
      <c r="E131" s="49"/>
      <c r="F131" s="49"/>
      <c r="G131" s="49"/>
      <c r="H131" s="49"/>
      <c r="I131" s="49"/>
      <c r="J131" s="49"/>
    </row>
    <row r="132">
      <c r="A132" s="63"/>
      <c r="B132" s="49"/>
      <c r="C132" s="49"/>
      <c r="D132" s="49"/>
      <c r="E132" s="49"/>
      <c r="F132" s="49"/>
      <c r="G132" s="49"/>
      <c r="H132" s="49"/>
      <c r="I132" s="49"/>
      <c r="J132" s="49"/>
    </row>
    <row r="133">
      <c r="A133" s="63"/>
      <c r="B133" s="49"/>
      <c r="C133" s="49"/>
      <c r="D133" s="49"/>
      <c r="E133" s="49"/>
      <c r="F133" s="49"/>
      <c r="G133" s="49"/>
      <c r="H133" s="49"/>
      <c r="I133" s="49"/>
      <c r="J133" s="49"/>
    </row>
    <row r="134">
      <c r="A134" s="63"/>
      <c r="B134" s="49"/>
      <c r="C134" s="49"/>
      <c r="D134" s="49"/>
      <c r="E134" s="49"/>
      <c r="F134" s="49"/>
      <c r="G134" s="49"/>
      <c r="H134" s="49"/>
      <c r="I134" s="49"/>
      <c r="J134" s="49"/>
    </row>
    <row r="135">
      <c r="A135" s="63"/>
      <c r="B135" s="49"/>
      <c r="C135" s="49"/>
      <c r="D135" s="49"/>
      <c r="E135" s="49"/>
      <c r="F135" s="49"/>
      <c r="G135" s="49"/>
      <c r="H135" s="49"/>
      <c r="I135" s="49"/>
      <c r="J135" s="49"/>
    </row>
    <row r="136">
      <c r="A136" s="63"/>
      <c r="B136" s="49"/>
      <c r="C136" s="49"/>
      <c r="D136" s="49"/>
      <c r="E136" s="49"/>
      <c r="F136" s="49"/>
      <c r="G136" s="49"/>
      <c r="H136" s="49"/>
      <c r="I136" s="49"/>
      <c r="J136" s="49"/>
    </row>
    <row r="137">
      <c r="A137" s="63"/>
      <c r="B137" s="49"/>
      <c r="C137" s="49"/>
      <c r="D137" s="49"/>
      <c r="E137" s="49"/>
      <c r="F137" s="49"/>
      <c r="G137" s="49"/>
      <c r="H137" s="49"/>
      <c r="I137" s="49"/>
      <c r="J137" s="49"/>
    </row>
    <row r="138">
      <c r="A138" s="63"/>
      <c r="B138" s="49"/>
      <c r="C138" s="49"/>
      <c r="D138" s="49"/>
      <c r="E138" s="49"/>
      <c r="F138" s="49"/>
      <c r="G138" s="49"/>
      <c r="H138" s="49"/>
      <c r="I138" s="49"/>
      <c r="J138" s="49"/>
    </row>
    <row r="139">
      <c r="A139" s="63"/>
      <c r="B139" s="49"/>
      <c r="C139" s="49"/>
      <c r="D139" s="49"/>
      <c r="E139" s="49"/>
      <c r="F139" s="49"/>
      <c r="G139" s="49"/>
      <c r="H139" s="49"/>
      <c r="I139" s="49"/>
      <c r="J139" s="49"/>
    </row>
    <row r="140">
      <c r="A140" s="63"/>
      <c r="B140" s="49"/>
      <c r="C140" s="49"/>
      <c r="D140" s="49"/>
      <c r="E140" s="49"/>
      <c r="F140" s="49"/>
      <c r="G140" s="49"/>
      <c r="H140" s="49"/>
      <c r="I140" s="49"/>
      <c r="J140" s="49"/>
    </row>
    <row r="141">
      <c r="A141" s="63"/>
      <c r="B141" s="49"/>
      <c r="C141" s="49"/>
      <c r="D141" s="49"/>
      <c r="E141" s="49"/>
      <c r="F141" s="49"/>
      <c r="G141" s="49"/>
      <c r="H141" s="49"/>
      <c r="I141" s="49"/>
      <c r="J141" s="49"/>
    </row>
    <row r="142">
      <c r="A142" s="63"/>
      <c r="B142" s="49"/>
      <c r="C142" s="49"/>
      <c r="D142" s="49"/>
      <c r="E142" s="49"/>
      <c r="F142" s="49"/>
      <c r="G142" s="49"/>
      <c r="H142" s="49"/>
      <c r="I142" s="49"/>
      <c r="J142" s="49"/>
    </row>
    <row r="143">
      <c r="A143" s="63"/>
      <c r="B143" s="49"/>
      <c r="C143" s="49"/>
      <c r="D143" s="49"/>
      <c r="E143" s="49"/>
      <c r="F143" s="49"/>
      <c r="G143" s="49"/>
      <c r="H143" s="49"/>
      <c r="I143" s="49"/>
      <c r="J143" s="49"/>
    </row>
    <row r="144">
      <c r="A144" s="63"/>
      <c r="B144" s="49"/>
      <c r="C144" s="49"/>
      <c r="D144" s="49"/>
      <c r="E144" s="49"/>
      <c r="F144" s="49"/>
      <c r="G144" s="49"/>
      <c r="H144" s="49"/>
      <c r="I144" s="49"/>
      <c r="J144" s="49"/>
    </row>
    <row r="145">
      <c r="A145" s="63"/>
      <c r="B145" s="49"/>
      <c r="C145" s="49"/>
      <c r="D145" s="49"/>
      <c r="E145" s="49"/>
      <c r="F145" s="49"/>
      <c r="G145" s="49"/>
      <c r="H145" s="49"/>
      <c r="I145" s="49"/>
      <c r="J145" s="49"/>
    </row>
    <row r="146">
      <c r="A146" s="63"/>
      <c r="B146" s="49"/>
      <c r="C146" s="49"/>
      <c r="D146" s="49"/>
      <c r="E146" s="49"/>
      <c r="F146" s="49"/>
      <c r="G146" s="49"/>
      <c r="H146" s="49"/>
      <c r="I146" s="49"/>
      <c r="J146" s="49"/>
    </row>
    <row r="147">
      <c r="A147" s="63"/>
      <c r="B147" s="49"/>
      <c r="C147" s="49"/>
      <c r="D147" s="49"/>
      <c r="E147" s="49"/>
      <c r="F147" s="49"/>
      <c r="G147" s="49"/>
      <c r="H147" s="49"/>
      <c r="I147" s="49"/>
      <c r="J147" s="49"/>
    </row>
    <row r="148">
      <c r="A148" s="63"/>
      <c r="B148" s="49"/>
      <c r="C148" s="49"/>
      <c r="D148" s="49"/>
      <c r="E148" s="49"/>
      <c r="F148" s="49"/>
      <c r="G148" s="49"/>
      <c r="H148" s="49"/>
      <c r="I148" s="49"/>
      <c r="J148" s="49"/>
    </row>
    <row r="149">
      <c r="A149" s="63"/>
      <c r="B149" s="49"/>
      <c r="C149" s="49"/>
      <c r="D149" s="49"/>
      <c r="E149" s="49"/>
      <c r="F149" s="49"/>
      <c r="G149" s="49"/>
      <c r="H149" s="49"/>
      <c r="I149" s="49"/>
      <c r="J149" s="49"/>
    </row>
    <row r="150">
      <c r="A150" s="63"/>
      <c r="B150" s="49"/>
      <c r="C150" s="49"/>
      <c r="D150" s="49"/>
      <c r="E150" s="49"/>
      <c r="F150" s="49"/>
      <c r="G150" s="49"/>
      <c r="H150" s="49"/>
      <c r="I150" s="49"/>
      <c r="J150" s="49"/>
    </row>
    <row r="151">
      <c r="A151" s="63"/>
      <c r="B151" s="49"/>
      <c r="C151" s="49"/>
      <c r="D151" s="49"/>
      <c r="E151" s="49"/>
      <c r="F151" s="49"/>
      <c r="G151" s="49"/>
      <c r="H151" s="49"/>
      <c r="I151" s="49"/>
      <c r="J151" s="49"/>
    </row>
    <row r="152">
      <c r="A152" s="63"/>
      <c r="B152" s="49"/>
      <c r="C152" s="49"/>
      <c r="D152" s="49"/>
      <c r="E152" s="49"/>
      <c r="F152" s="49"/>
      <c r="G152" s="49"/>
      <c r="H152" s="49"/>
      <c r="I152" s="49"/>
      <c r="J152" s="49"/>
    </row>
    <row r="153">
      <c r="A153" s="63"/>
      <c r="B153" s="49"/>
      <c r="C153" s="49"/>
      <c r="D153" s="49"/>
      <c r="E153" s="49"/>
      <c r="F153" s="49"/>
      <c r="G153" s="49"/>
      <c r="H153" s="49"/>
      <c r="I153" s="49"/>
      <c r="J153" s="49"/>
    </row>
    <row r="154">
      <c r="A154" s="63"/>
      <c r="B154" s="49"/>
      <c r="C154" s="49"/>
      <c r="D154" s="49"/>
      <c r="E154" s="49"/>
      <c r="F154" s="49"/>
      <c r="G154" s="49"/>
      <c r="H154" s="49"/>
      <c r="I154" s="49"/>
      <c r="J154" s="49"/>
    </row>
    <row r="155">
      <c r="A155" s="63"/>
      <c r="B155" s="49"/>
      <c r="C155" s="49"/>
      <c r="D155" s="49"/>
      <c r="E155" s="49"/>
      <c r="F155" s="49"/>
      <c r="G155" s="49"/>
      <c r="H155" s="49"/>
      <c r="I155" s="49"/>
      <c r="J155" s="49"/>
    </row>
    <row r="156">
      <c r="A156" s="63"/>
      <c r="B156" s="49"/>
      <c r="C156" s="49"/>
      <c r="D156" s="49"/>
      <c r="E156" s="49"/>
      <c r="F156" s="49"/>
      <c r="G156" s="49"/>
      <c r="H156" s="49"/>
      <c r="I156" s="49"/>
      <c r="J156" s="49"/>
    </row>
    <row r="157">
      <c r="A157" s="63"/>
      <c r="B157" s="49"/>
      <c r="C157" s="49"/>
      <c r="D157" s="49"/>
      <c r="E157" s="49"/>
      <c r="F157" s="49"/>
      <c r="G157" s="49"/>
      <c r="H157" s="49"/>
      <c r="I157" s="49"/>
      <c r="J157" s="49"/>
    </row>
    <row r="158">
      <c r="A158" s="63"/>
      <c r="B158" s="49"/>
      <c r="C158" s="49"/>
      <c r="D158" s="49"/>
      <c r="E158" s="49"/>
      <c r="F158" s="49"/>
      <c r="G158" s="49"/>
      <c r="H158" s="49"/>
      <c r="I158" s="49"/>
      <c r="J158" s="49"/>
    </row>
    <row r="159">
      <c r="A159" s="63"/>
      <c r="B159" s="49"/>
      <c r="C159" s="49"/>
      <c r="D159" s="49"/>
      <c r="E159" s="49"/>
      <c r="F159" s="49"/>
      <c r="G159" s="49"/>
      <c r="H159" s="49"/>
      <c r="I159" s="49"/>
      <c r="J159" s="49"/>
    </row>
    <row r="160">
      <c r="A160" s="63"/>
      <c r="B160" s="49"/>
      <c r="C160" s="49"/>
      <c r="D160" s="49"/>
      <c r="E160" s="49"/>
      <c r="F160" s="49"/>
      <c r="G160" s="49"/>
      <c r="H160" s="49"/>
      <c r="I160" s="49"/>
      <c r="J160" s="49"/>
    </row>
    <row r="161">
      <c r="A161" s="63"/>
      <c r="B161" s="49"/>
      <c r="C161" s="49"/>
      <c r="D161" s="49"/>
      <c r="E161" s="49"/>
      <c r="F161" s="49"/>
      <c r="G161" s="49"/>
      <c r="H161" s="49"/>
      <c r="I161" s="49"/>
      <c r="J161" s="49"/>
    </row>
    <row r="162">
      <c r="A162" s="63"/>
      <c r="B162" s="49"/>
      <c r="C162" s="49"/>
      <c r="D162" s="49"/>
      <c r="E162" s="49"/>
      <c r="F162" s="49"/>
      <c r="G162" s="49"/>
      <c r="H162" s="49"/>
      <c r="I162" s="49"/>
      <c r="J162" s="49"/>
    </row>
    <row r="163">
      <c r="A163" s="63"/>
      <c r="B163" s="49"/>
      <c r="C163" s="49"/>
      <c r="D163" s="49"/>
      <c r="E163" s="49"/>
      <c r="F163" s="49"/>
      <c r="G163" s="49"/>
      <c r="H163" s="49"/>
      <c r="I163" s="49"/>
      <c r="J163" s="49"/>
    </row>
    <row r="164">
      <c r="A164" s="63"/>
      <c r="B164" s="49"/>
      <c r="C164" s="49"/>
      <c r="D164" s="49"/>
      <c r="E164" s="49"/>
      <c r="F164" s="49"/>
      <c r="G164" s="49"/>
      <c r="H164" s="49"/>
      <c r="I164" s="49"/>
      <c r="J164" s="49"/>
    </row>
    <row r="165">
      <c r="A165" s="63"/>
      <c r="B165" s="49"/>
      <c r="C165" s="49"/>
      <c r="D165" s="49"/>
      <c r="E165" s="49"/>
      <c r="F165" s="49"/>
      <c r="G165" s="49"/>
      <c r="H165" s="49"/>
      <c r="I165" s="49"/>
      <c r="J165" s="49"/>
    </row>
    <row r="166">
      <c r="A166" s="63"/>
      <c r="B166" s="49"/>
      <c r="C166" s="49"/>
      <c r="D166" s="49"/>
      <c r="E166" s="49"/>
      <c r="F166" s="49"/>
      <c r="G166" s="49"/>
      <c r="H166" s="49"/>
      <c r="I166" s="49"/>
      <c r="J166" s="49"/>
    </row>
    <row r="167">
      <c r="A167" s="63"/>
      <c r="B167" s="49"/>
      <c r="C167" s="49"/>
      <c r="D167" s="49"/>
      <c r="E167" s="49"/>
      <c r="F167" s="49"/>
      <c r="G167" s="49"/>
      <c r="H167" s="49"/>
      <c r="I167" s="49"/>
      <c r="J167" s="49"/>
    </row>
    <row r="168">
      <c r="A168" s="63"/>
      <c r="B168" s="49"/>
      <c r="C168" s="49"/>
      <c r="D168" s="49"/>
      <c r="E168" s="49"/>
      <c r="F168" s="49"/>
      <c r="G168" s="49"/>
      <c r="H168" s="49"/>
      <c r="I168" s="49"/>
      <c r="J168" s="49"/>
    </row>
    <row r="169">
      <c r="A169" s="63"/>
      <c r="B169" s="49"/>
      <c r="C169" s="49"/>
      <c r="D169" s="49"/>
      <c r="E169" s="49"/>
      <c r="F169" s="49"/>
      <c r="G169" s="49"/>
      <c r="H169" s="49"/>
      <c r="I169" s="49"/>
      <c r="J169" s="49"/>
    </row>
    <row r="170">
      <c r="A170" s="63"/>
      <c r="B170" s="49"/>
      <c r="C170" s="49"/>
      <c r="D170" s="49"/>
      <c r="E170" s="49"/>
      <c r="F170" s="49"/>
      <c r="G170" s="49"/>
      <c r="H170" s="49"/>
      <c r="I170" s="49"/>
      <c r="J170" s="49"/>
    </row>
    <row r="171">
      <c r="A171" s="63"/>
      <c r="B171" s="49"/>
      <c r="C171" s="49"/>
      <c r="D171" s="49"/>
      <c r="E171" s="49"/>
      <c r="F171" s="49"/>
      <c r="G171" s="49"/>
      <c r="H171" s="49"/>
      <c r="I171" s="49"/>
      <c r="J171" s="49"/>
    </row>
    <row r="172">
      <c r="A172" s="63"/>
      <c r="B172" s="49"/>
      <c r="C172" s="49"/>
      <c r="D172" s="49"/>
      <c r="E172" s="49"/>
      <c r="F172" s="49"/>
      <c r="G172" s="49"/>
      <c r="H172" s="49"/>
      <c r="I172" s="49"/>
      <c r="J172" s="49"/>
    </row>
    <row r="173">
      <c r="A173" s="63"/>
      <c r="B173" s="49"/>
      <c r="C173" s="49"/>
      <c r="D173" s="49"/>
      <c r="E173" s="49"/>
      <c r="F173" s="49"/>
      <c r="G173" s="49"/>
      <c r="H173" s="49"/>
      <c r="I173" s="49"/>
      <c r="J173" s="49"/>
    </row>
    <row r="174">
      <c r="A174" s="63"/>
      <c r="B174" s="49"/>
      <c r="C174" s="49"/>
      <c r="D174" s="49"/>
      <c r="E174" s="49"/>
      <c r="F174" s="49"/>
      <c r="G174" s="49"/>
      <c r="H174" s="49"/>
      <c r="I174" s="49"/>
      <c r="J174" s="49"/>
    </row>
    <row r="175">
      <c r="A175" s="63"/>
      <c r="B175" s="49"/>
      <c r="C175" s="49"/>
      <c r="D175" s="49"/>
      <c r="E175" s="49"/>
      <c r="F175" s="49"/>
      <c r="G175" s="49"/>
      <c r="H175" s="49"/>
      <c r="I175" s="49"/>
      <c r="J175" s="49"/>
    </row>
    <row r="176">
      <c r="A176" s="63"/>
      <c r="B176" s="49"/>
      <c r="C176" s="49"/>
      <c r="D176" s="49"/>
      <c r="E176" s="49"/>
      <c r="F176" s="49"/>
      <c r="G176" s="49"/>
      <c r="H176" s="49"/>
      <c r="I176" s="49"/>
      <c r="J176" s="49"/>
    </row>
    <row r="177">
      <c r="A177" s="63"/>
      <c r="B177" s="49"/>
      <c r="C177" s="49"/>
      <c r="D177" s="49"/>
      <c r="E177" s="49"/>
      <c r="F177" s="49"/>
      <c r="G177" s="49"/>
      <c r="H177" s="49"/>
      <c r="I177" s="49"/>
      <c r="J177" s="49"/>
    </row>
    <row r="178">
      <c r="A178" s="63"/>
      <c r="B178" s="49"/>
      <c r="C178" s="49"/>
      <c r="D178" s="49"/>
      <c r="E178" s="49"/>
      <c r="F178" s="49"/>
      <c r="G178" s="49"/>
      <c r="H178" s="49"/>
      <c r="I178" s="49"/>
      <c r="J178" s="49"/>
    </row>
    <row r="179">
      <c r="A179" s="63"/>
      <c r="B179" s="49"/>
      <c r="C179" s="49"/>
      <c r="D179" s="49"/>
      <c r="E179" s="49"/>
      <c r="F179" s="49"/>
      <c r="G179" s="49"/>
      <c r="H179" s="49"/>
      <c r="I179" s="49"/>
      <c r="J179" s="49"/>
    </row>
    <row r="180">
      <c r="A180" s="63"/>
      <c r="B180" s="49"/>
      <c r="C180" s="49"/>
      <c r="D180" s="49"/>
      <c r="E180" s="49"/>
      <c r="F180" s="49"/>
      <c r="G180" s="49"/>
      <c r="H180" s="49"/>
      <c r="I180" s="49"/>
      <c r="J180" s="49"/>
    </row>
    <row r="181">
      <c r="A181" s="63"/>
      <c r="B181" s="49"/>
      <c r="C181" s="49"/>
      <c r="D181" s="49"/>
      <c r="E181" s="49"/>
      <c r="F181" s="49"/>
      <c r="G181" s="49"/>
      <c r="H181" s="49"/>
      <c r="I181" s="49"/>
      <c r="J181" s="49"/>
    </row>
    <row r="182">
      <c r="A182" s="63"/>
      <c r="B182" s="49"/>
      <c r="C182" s="49"/>
      <c r="D182" s="49"/>
      <c r="E182" s="49"/>
      <c r="F182" s="49"/>
      <c r="G182" s="49"/>
      <c r="H182" s="49"/>
      <c r="I182" s="49"/>
      <c r="J182" s="49"/>
    </row>
    <row r="183">
      <c r="A183" s="63"/>
      <c r="B183" s="49"/>
      <c r="C183" s="49"/>
      <c r="D183" s="49"/>
      <c r="E183" s="49"/>
      <c r="F183" s="49"/>
      <c r="G183" s="49"/>
      <c r="H183" s="49"/>
      <c r="I183" s="49"/>
      <c r="J183" s="49"/>
    </row>
    <row r="184">
      <c r="A184" s="63"/>
      <c r="B184" s="49"/>
      <c r="C184" s="49"/>
      <c r="D184" s="49"/>
      <c r="E184" s="49"/>
      <c r="F184" s="49"/>
      <c r="G184" s="49"/>
      <c r="H184" s="49"/>
      <c r="I184" s="49"/>
      <c r="J184" s="49"/>
    </row>
    <row r="185">
      <c r="A185" s="63"/>
      <c r="B185" s="49"/>
      <c r="C185" s="49"/>
      <c r="D185" s="49"/>
      <c r="E185" s="49"/>
      <c r="F185" s="49"/>
      <c r="G185" s="49"/>
      <c r="H185" s="49"/>
      <c r="I185" s="49"/>
      <c r="J185" s="49"/>
    </row>
    <row r="186">
      <c r="A186" s="63"/>
      <c r="B186" s="49"/>
      <c r="C186" s="49"/>
      <c r="D186" s="49"/>
      <c r="E186" s="49"/>
      <c r="F186" s="49"/>
      <c r="G186" s="49"/>
      <c r="H186" s="49"/>
      <c r="I186" s="49"/>
      <c r="J186" s="49"/>
    </row>
    <row r="187">
      <c r="A187" s="63"/>
      <c r="B187" s="49"/>
      <c r="C187" s="49"/>
      <c r="D187" s="49"/>
      <c r="E187" s="49"/>
      <c r="F187" s="49"/>
      <c r="G187" s="49"/>
      <c r="H187" s="49"/>
      <c r="I187" s="49"/>
      <c r="J187" s="49"/>
    </row>
    <row r="188">
      <c r="A188" s="63"/>
      <c r="B188" s="49"/>
      <c r="C188" s="49"/>
      <c r="D188" s="49"/>
      <c r="E188" s="49"/>
      <c r="F188" s="49"/>
      <c r="G188" s="49"/>
      <c r="H188" s="49"/>
      <c r="I188" s="49"/>
      <c r="J188" s="49"/>
    </row>
    <row r="189">
      <c r="A189" s="63"/>
      <c r="B189" s="49"/>
      <c r="C189" s="49"/>
      <c r="D189" s="49"/>
      <c r="E189" s="49"/>
      <c r="F189" s="49"/>
      <c r="G189" s="49"/>
      <c r="H189" s="49"/>
      <c r="I189" s="49"/>
      <c r="J189" s="49"/>
    </row>
    <row r="190">
      <c r="A190" s="63"/>
      <c r="B190" s="49"/>
      <c r="C190" s="49"/>
      <c r="D190" s="49"/>
      <c r="E190" s="49"/>
      <c r="F190" s="49"/>
      <c r="G190" s="49"/>
      <c r="H190" s="49"/>
      <c r="I190" s="49"/>
      <c r="J190" s="49"/>
    </row>
    <row r="191">
      <c r="A191" s="63"/>
      <c r="B191" s="49"/>
      <c r="C191" s="49"/>
      <c r="D191" s="49"/>
      <c r="E191" s="49"/>
      <c r="F191" s="49"/>
      <c r="G191" s="49"/>
      <c r="H191" s="49"/>
      <c r="I191" s="49"/>
      <c r="J191" s="49"/>
    </row>
    <row r="192">
      <c r="A192" s="63"/>
      <c r="B192" s="49"/>
      <c r="C192" s="49"/>
      <c r="D192" s="49"/>
      <c r="E192" s="49"/>
      <c r="F192" s="49"/>
      <c r="G192" s="49"/>
      <c r="H192" s="49"/>
      <c r="I192" s="49"/>
      <c r="J192" s="49"/>
    </row>
    <row r="193">
      <c r="A193" s="63"/>
      <c r="B193" s="49"/>
      <c r="C193" s="49"/>
      <c r="D193" s="49"/>
      <c r="E193" s="49"/>
      <c r="F193" s="49"/>
      <c r="G193" s="49"/>
      <c r="H193" s="49"/>
      <c r="I193" s="49"/>
      <c r="J193" s="49"/>
    </row>
    <row r="194">
      <c r="A194" s="63"/>
      <c r="B194" s="49"/>
      <c r="C194" s="49"/>
      <c r="D194" s="49"/>
      <c r="E194" s="49"/>
      <c r="F194" s="49"/>
      <c r="G194" s="49"/>
      <c r="H194" s="49"/>
      <c r="I194" s="49"/>
      <c r="J194" s="49"/>
    </row>
    <row r="195">
      <c r="A195" s="63"/>
      <c r="B195" s="49"/>
      <c r="C195" s="49"/>
      <c r="D195" s="49"/>
      <c r="E195" s="49"/>
      <c r="F195" s="49"/>
      <c r="G195" s="49"/>
      <c r="H195" s="49"/>
      <c r="I195" s="49"/>
      <c r="J195" s="49"/>
    </row>
    <row r="196">
      <c r="A196" s="63"/>
      <c r="B196" s="49"/>
      <c r="C196" s="49"/>
      <c r="D196" s="49"/>
      <c r="E196" s="49"/>
      <c r="F196" s="49"/>
      <c r="G196" s="49"/>
      <c r="H196" s="49"/>
      <c r="I196" s="49"/>
      <c r="J196" s="49"/>
    </row>
    <row r="197">
      <c r="A197" s="63"/>
      <c r="B197" s="49"/>
      <c r="C197" s="49"/>
      <c r="D197" s="49"/>
      <c r="E197" s="49"/>
      <c r="F197" s="49"/>
      <c r="G197" s="49"/>
      <c r="H197" s="49"/>
      <c r="I197" s="49"/>
      <c r="J197" s="49"/>
    </row>
    <row r="198">
      <c r="A198" s="63"/>
      <c r="B198" s="49"/>
      <c r="C198" s="49"/>
      <c r="D198" s="49"/>
      <c r="E198" s="49"/>
      <c r="F198" s="49"/>
      <c r="G198" s="49"/>
      <c r="H198" s="49"/>
      <c r="I198" s="49"/>
      <c r="J198" s="49"/>
    </row>
    <row r="199">
      <c r="A199" s="63"/>
      <c r="B199" s="49"/>
      <c r="C199" s="49"/>
      <c r="D199" s="49"/>
      <c r="E199" s="49"/>
      <c r="F199" s="49"/>
      <c r="G199" s="49"/>
      <c r="H199" s="49"/>
      <c r="I199" s="49"/>
      <c r="J199" s="49"/>
    </row>
    <row r="200">
      <c r="A200" s="63"/>
      <c r="B200" s="49"/>
      <c r="C200" s="49"/>
      <c r="D200" s="49"/>
      <c r="E200" s="49"/>
      <c r="F200" s="49"/>
      <c r="G200" s="49"/>
      <c r="H200" s="49"/>
      <c r="I200" s="49"/>
      <c r="J200" s="49"/>
    </row>
    <row r="201">
      <c r="A201" s="63"/>
      <c r="B201" s="49"/>
      <c r="C201" s="49"/>
      <c r="D201" s="49"/>
      <c r="E201" s="49"/>
      <c r="F201" s="49"/>
      <c r="G201" s="49"/>
      <c r="H201" s="49"/>
      <c r="I201" s="49"/>
      <c r="J201" s="49"/>
    </row>
    <row r="202">
      <c r="A202" s="63"/>
      <c r="B202" s="49"/>
      <c r="C202" s="49"/>
      <c r="D202" s="49"/>
      <c r="E202" s="49"/>
      <c r="F202" s="49"/>
      <c r="G202" s="49"/>
      <c r="H202" s="49"/>
      <c r="I202" s="49"/>
      <c r="J202" s="49"/>
    </row>
    <row r="203">
      <c r="A203" s="63"/>
      <c r="B203" s="49"/>
      <c r="C203" s="49"/>
      <c r="D203" s="49"/>
      <c r="E203" s="49"/>
      <c r="F203" s="49"/>
      <c r="G203" s="49"/>
      <c r="H203" s="49"/>
      <c r="I203" s="49"/>
      <c r="J203" s="49"/>
    </row>
    <row r="204">
      <c r="A204" s="63"/>
      <c r="B204" s="49"/>
      <c r="C204" s="49"/>
      <c r="D204" s="49"/>
      <c r="E204" s="49"/>
      <c r="F204" s="49"/>
      <c r="G204" s="49"/>
      <c r="H204" s="49"/>
      <c r="I204" s="49"/>
      <c r="J204" s="49"/>
    </row>
    <row r="205">
      <c r="A205" s="63"/>
      <c r="B205" s="49"/>
      <c r="C205" s="49"/>
      <c r="D205" s="49"/>
      <c r="E205" s="49"/>
      <c r="F205" s="49"/>
      <c r="G205" s="49"/>
      <c r="H205" s="49"/>
      <c r="I205" s="49"/>
      <c r="J205" s="49"/>
    </row>
    <row r="206">
      <c r="A206" s="63"/>
      <c r="B206" s="49"/>
      <c r="C206" s="49"/>
      <c r="D206" s="49"/>
      <c r="E206" s="49"/>
      <c r="F206" s="49"/>
      <c r="G206" s="49"/>
      <c r="H206" s="49"/>
      <c r="I206" s="49"/>
      <c r="J206" s="49"/>
    </row>
    <row r="207">
      <c r="A207" s="63"/>
      <c r="B207" s="49"/>
      <c r="C207" s="49"/>
      <c r="D207" s="49"/>
      <c r="E207" s="49"/>
      <c r="F207" s="49"/>
      <c r="G207" s="49"/>
      <c r="H207" s="49"/>
      <c r="I207" s="49"/>
      <c r="J207" s="49"/>
    </row>
    <row r="208">
      <c r="A208" s="63"/>
      <c r="B208" s="49"/>
      <c r="C208" s="49"/>
      <c r="D208" s="49"/>
      <c r="E208" s="49"/>
      <c r="F208" s="49"/>
      <c r="G208" s="49"/>
      <c r="H208" s="49"/>
      <c r="I208" s="49"/>
      <c r="J208" s="49"/>
    </row>
    <row r="209">
      <c r="A209" s="63"/>
      <c r="B209" s="49"/>
      <c r="C209" s="49"/>
      <c r="D209" s="49"/>
      <c r="E209" s="49"/>
      <c r="F209" s="49"/>
      <c r="G209" s="49"/>
      <c r="H209" s="49"/>
      <c r="I209" s="49"/>
      <c r="J209" s="49"/>
    </row>
    <row r="210">
      <c r="A210" s="63"/>
      <c r="B210" s="49"/>
      <c r="C210" s="49"/>
      <c r="D210" s="49"/>
      <c r="E210" s="49"/>
      <c r="F210" s="49"/>
      <c r="G210" s="49"/>
      <c r="H210" s="49"/>
      <c r="I210" s="49"/>
      <c r="J210" s="49"/>
    </row>
    <row r="211">
      <c r="A211" s="63"/>
      <c r="B211" s="49"/>
      <c r="C211" s="49"/>
      <c r="D211" s="49"/>
      <c r="E211" s="49"/>
      <c r="F211" s="49"/>
      <c r="G211" s="49"/>
      <c r="H211" s="49"/>
      <c r="I211" s="49"/>
      <c r="J211" s="49"/>
    </row>
    <row r="212">
      <c r="A212" s="63"/>
      <c r="B212" s="49"/>
      <c r="C212" s="49"/>
      <c r="D212" s="49"/>
      <c r="E212" s="49"/>
      <c r="F212" s="49"/>
      <c r="G212" s="49"/>
      <c r="H212" s="49"/>
      <c r="I212" s="49"/>
      <c r="J212" s="49"/>
    </row>
    <row r="213">
      <c r="A213" s="63"/>
      <c r="B213" s="49"/>
      <c r="C213" s="49"/>
      <c r="D213" s="49"/>
      <c r="E213" s="49"/>
      <c r="F213" s="49"/>
      <c r="G213" s="49"/>
      <c r="H213" s="49"/>
      <c r="I213" s="49"/>
      <c r="J213" s="49"/>
    </row>
    <row r="214">
      <c r="A214" s="63"/>
      <c r="B214" s="49"/>
      <c r="C214" s="49"/>
      <c r="D214" s="49"/>
      <c r="E214" s="49"/>
      <c r="F214" s="49"/>
      <c r="G214" s="49"/>
      <c r="H214" s="49"/>
      <c r="I214" s="49"/>
      <c r="J214" s="49"/>
    </row>
    <row r="215">
      <c r="A215" s="63"/>
      <c r="B215" s="49"/>
      <c r="C215" s="49"/>
      <c r="D215" s="49"/>
      <c r="E215" s="49"/>
      <c r="F215" s="49"/>
      <c r="G215" s="49"/>
      <c r="H215" s="49"/>
      <c r="I215" s="49"/>
      <c r="J215" s="49"/>
    </row>
    <row r="216">
      <c r="A216" s="63"/>
      <c r="B216" s="49"/>
      <c r="C216" s="49"/>
      <c r="D216" s="49"/>
      <c r="E216" s="49"/>
      <c r="F216" s="49"/>
      <c r="G216" s="49"/>
      <c r="H216" s="49"/>
      <c r="I216" s="49"/>
      <c r="J216" s="49"/>
    </row>
    <row r="217">
      <c r="A217" s="63"/>
      <c r="B217" s="49"/>
      <c r="C217" s="49"/>
      <c r="D217" s="49"/>
      <c r="E217" s="49"/>
      <c r="F217" s="49"/>
      <c r="G217" s="49"/>
      <c r="H217" s="49"/>
      <c r="I217" s="49"/>
      <c r="J217" s="49"/>
    </row>
    <row r="218">
      <c r="A218" s="63"/>
      <c r="B218" s="49"/>
      <c r="C218" s="49"/>
      <c r="D218" s="49"/>
      <c r="E218" s="49"/>
      <c r="F218" s="49"/>
      <c r="G218" s="49"/>
      <c r="H218" s="49"/>
      <c r="I218" s="49"/>
      <c r="J218" s="49"/>
    </row>
    <row r="219">
      <c r="A219" s="63"/>
      <c r="B219" s="49"/>
      <c r="C219" s="49"/>
      <c r="D219" s="49"/>
      <c r="E219" s="49"/>
      <c r="F219" s="49"/>
      <c r="G219" s="49"/>
      <c r="H219" s="49"/>
      <c r="I219" s="49"/>
      <c r="J219" s="49"/>
    </row>
    <row r="220">
      <c r="A220" s="63"/>
      <c r="B220" s="49"/>
      <c r="C220" s="49"/>
      <c r="D220" s="49"/>
      <c r="E220" s="49"/>
      <c r="F220" s="49"/>
      <c r="G220" s="49"/>
      <c r="H220" s="49"/>
      <c r="I220" s="49"/>
      <c r="J220" s="49"/>
    </row>
    <row r="221">
      <c r="A221" s="63"/>
      <c r="B221" s="49"/>
      <c r="C221" s="49"/>
      <c r="D221" s="49"/>
      <c r="E221" s="49"/>
      <c r="F221" s="49"/>
      <c r="G221" s="49"/>
      <c r="H221" s="49"/>
      <c r="I221" s="49"/>
      <c r="J221" s="49"/>
    </row>
    <row r="222">
      <c r="A222" s="63"/>
      <c r="B222" s="49"/>
      <c r="C222" s="49"/>
      <c r="D222" s="49"/>
      <c r="E222" s="49"/>
      <c r="F222" s="49"/>
      <c r="G222" s="49"/>
      <c r="H222" s="49"/>
      <c r="I222" s="49"/>
      <c r="J222" s="49"/>
    </row>
    <row r="223">
      <c r="A223" s="63"/>
      <c r="B223" s="49"/>
      <c r="C223" s="49"/>
      <c r="D223" s="49"/>
      <c r="E223" s="49"/>
      <c r="F223" s="49"/>
      <c r="G223" s="49"/>
      <c r="H223" s="49"/>
      <c r="I223" s="49"/>
      <c r="J223" s="49"/>
    </row>
    <row r="224">
      <c r="A224" s="63"/>
      <c r="B224" s="49"/>
      <c r="C224" s="49"/>
      <c r="D224" s="49"/>
      <c r="E224" s="49"/>
      <c r="F224" s="49"/>
      <c r="G224" s="49"/>
      <c r="H224" s="49"/>
      <c r="I224" s="49"/>
      <c r="J224" s="49"/>
    </row>
    <row r="225">
      <c r="A225" s="63"/>
      <c r="B225" s="49"/>
      <c r="C225" s="49"/>
      <c r="D225" s="49"/>
      <c r="E225" s="49"/>
      <c r="F225" s="49"/>
      <c r="G225" s="49"/>
      <c r="H225" s="49"/>
      <c r="I225" s="49"/>
      <c r="J225" s="49"/>
    </row>
    <row r="226">
      <c r="A226" s="63"/>
      <c r="B226" s="49"/>
      <c r="C226" s="49"/>
      <c r="D226" s="49"/>
      <c r="E226" s="49"/>
      <c r="F226" s="49"/>
      <c r="G226" s="49"/>
      <c r="H226" s="49"/>
      <c r="I226" s="49"/>
      <c r="J226" s="49"/>
    </row>
    <row r="227">
      <c r="A227" s="63"/>
      <c r="B227" s="49"/>
      <c r="C227" s="49"/>
      <c r="D227" s="49"/>
      <c r="E227" s="49"/>
      <c r="F227" s="49"/>
      <c r="G227" s="49"/>
      <c r="H227" s="49"/>
      <c r="I227" s="49"/>
      <c r="J227" s="49"/>
    </row>
    <row r="228">
      <c r="A228" s="63"/>
      <c r="B228" s="49"/>
      <c r="C228" s="49"/>
      <c r="D228" s="49"/>
      <c r="E228" s="49"/>
      <c r="F228" s="49"/>
      <c r="G228" s="49"/>
      <c r="H228" s="49"/>
      <c r="I228" s="49"/>
      <c r="J228" s="49"/>
    </row>
    <row r="229">
      <c r="A229" s="63"/>
      <c r="B229" s="49"/>
      <c r="C229" s="49"/>
      <c r="D229" s="49"/>
      <c r="E229" s="49"/>
      <c r="F229" s="49"/>
      <c r="G229" s="49"/>
      <c r="H229" s="49"/>
      <c r="I229" s="49"/>
      <c r="J229" s="49"/>
    </row>
    <row r="230">
      <c r="A230" s="63"/>
      <c r="B230" s="49"/>
      <c r="C230" s="49"/>
      <c r="D230" s="49"/>
      <c r="E230" s="49"/>
      <c r="F230" s="49"/>
      <c r="G230" s="49"/>
      <c r="H230" s="49"/>
      <c r="I230" s="49"/>
      <c r="J230" s="49"/>
    </row>
    <row r="231">
      <c r="A231" s="63"/>
      <c r="B231" s="49"/>
      <c r="C231" s="49"/>
      <c r="D231" s="49"/>
      <c r="E231" s="49"/>
      <c r="F231" s="49"/>
      <c r="G231" s="49"/>
      <c r="H231" s="49"/>
      <c r="I231" s="49"/>
      <c r="J231" s="49"/>
    </row>
    <row r="232">
      <c r="A232" s="63"/>
      <c r="B232" s="49"/>
      <c r="C232" s="49"/>
      <c r="D232" s="49"/>
      <c r="E232" s="49"/>
      <c r="F232" s="49"/>
      <c r="G232" s="49"/>
      <c r="H232" s="49"/>
      <c r="I232" s="49"/>
      <c r="J232" s="49"/>
    </row>
    <row r="233">
      <c r="A233" s="63"/>
      <c r="B233" s="49"/>
      <c r="C233" s="49"/>
      <c r="D233" s="49"/>
      <c r="E233" s="49"/>
      <c r="F233" s="49"/>
      <c r="G233" s="49"/>
      <c r="H233" s="49"/>
      <c r="I233" s="49"/>
      <c r="J233" s="49"/>
    </row>
    <row r="234">
      <c r="A234" s="63"/>
      <c r="B234" s="49"/>
      <c r="C234" s="49"/>
      <c r="D234" s="49"/>
      <c r="E234" s="49"/>
      <c r="F234" s="49"/>
      <c r="G234" s="49"/>
      <c r="H234" s="49"/>
      <c r="I234" s="49"/>
      <c r="J234" s="49"/>
    </row>
    <row r="235">
      <c r="A235" s="63"/>
      <c r="B235" s="49"/>
      <c r="C235" s="49"/>
      <c r="D235" s="49"/>
      <c r="E235" s="49"/>
      <c r="F235" s="49"/>
      <c r="G235" s="49"/>
      <c r="H235" s="49"/>
      <c r="I235" s="49"/>
      <c r="J235" s="49"/>
    </row>
    <row r="236">
      <c r="A236" s="63"/>
      <c r="B236" s="49"/>
      <c r="C236" s="49"/>
      <c r="D236" s="49"/>
      <c r="E236" s="49"/>
      <c r="F236" s="49"/>
      <c r="G236" s="49"/>
      <c r="H236" s="49"/>
      <c r="I236" s="49"/>
      <c r="J236" s="49"/>
    </row>
    <row r="237">
      <c r="A237" s="63"/>
      <c r="B237" s="49"/>
      <c r="C237" s="49"/>
      <c r="D237" s="49"/>
      <c r="E237" s="49"/>
      <c r="F237" s="49"/>
      <c r="G237" s="49"/>
      <c r="H237" s="49"/>
      <c r="I237" s="49"/>
      <c r="J237" s="49"/>
    </row>
    <row r="238">
      <c r="A238" s="63"/>
      <c r="B238" s="49"/>
      <c r="C238" s="49"/>
      <c r="D238" s="49"/>
      <c r="E238" s="49"/>
      <c r="F238" s="49"/>
      <c r="G238" s="49"/>
      <c r="H238" s="49"/>
      <c r="I238" s="49"/>
      <c r="J238" s="49"/>
    </row>
    <row r="239">
      <c r="A239" s="63"/>
      <c r="B239" s="49"/>
      <c r="C239" s="49"/>
      <c r="D239" s="49"/>
      <c r="E239" s="49"/>
      <c r="F239" s="49"/>
      <c r="G239" s="49"/>
      <c r="H239" s="49"/>
      <c r="I239" s="49"/>
      <c r="J239" s="49"/>
    </row>
    <row r="240">
      <c r="A240" s="63"/>
      <c r="B240" s="49"/>
      <c r="C240" s="49"/>
      <c r="D240" s="49"/>
      <c r="E240" s="49"/>
      <c r="F240" s="49"/>
      <c r="G240" s="49"/>
      <c r="H240" s="49"/>
      <c r="I240" s="49"/>
      <c r="J240" s="49"/>
    </row>
    <row r="241">
      <c r="A241" s="63"/>
      <c r="B241" s="49"/>
      <c r="C241" s="49"/>
      <c r="D241" s="49"/>
      <c r="E241" s="49"/>
      <c r="F241" s="49"/>
      <c r="G241" s="49"/>
      <c r="H241" s="49"/>
      <c r="I241" s="49"/>
      <c r="J241" s="49"/>
    </row>
    <row r="242">
      <c r="A242" s="63"/>
      <c r="B242" s="49"/>
      <c r="C242" s="49"/>
      <c r="D242" s="49"/>
      <c r="E242" s="49"/>
      <c r="F242" s="49"/>
      <c r="G242" s="49"/>
      <c r="H242" s="49"/>
      <c r="I242" s="49"/>
      <c r="J242" s="49"/>
    </row>
    <row r="243">
      <c r="A243" s="63"/>
      <c r="B243" s="49"/>
      <c r="C243" s="49"/>
      <c r="D243" s="49"/>
      <c r="E243" s="49"/>
      <c r="F243" s="49"/>
      <c r="G243" s="49"/>
      <c r="H243" s="49"/>
      <c r="I243" s="49"/>
      <c r="J243" s="49"/>
    </row>
    <row r="244">
      <c r="A244" s="63"/>
      <c r="B244" s="49"/>
      <c r="C244" s="49"/>
      <c r="D244" s="49"/>
      <c r="E244" s="49"/>
      <c r="F244" s="49"/>
      <c r="G244" s="49"/>
      <c r="H244" s="49"/>
      <c r="I244" s="49"/>
      <c r="J244" s="49"/>
    </row>
    <row r="245">
      <c r="A245" s="63"/>
      <c r="B245" s="49"/>
      <c r="C245" s="49"/>
      <c r="D245" s="49"/>
      <c r="E245" s="49"/>
      <c r="F245" s="49"/>
      <c r="G245" s="49"/>
      <c r="H245" s="49"/>
      <c r="I245" s="49"/>
      <c r="J245" s="49"/>
    </row>
    <row r="246">
      <c r="A246" s="63"/>
      <c r="B246" s="49"/>
      <c r="C246" s="49"/>
      <c r="D246" s="49"/>
      <c r="E246" s="49"/>
      <c r="F246" s="49"/>
      <c r="G246" s="49"/>
      <c r="H246" s="49"/>
      <c r="I246" s="49"/>
      <c r="J246" s="49"/>
    </row>
    <row r="247">
      <c r="A247" s="63"/>
      <c r="B247" s="49"/>
      <c r="C247" s="49"/>
      <c r="D247" s="49"/>
      <c r="E247" s="49"/>
      <c r="F247" s="49"/>
      <c r="G247" s="49"/>
      <c r="H247" s="49"/>
      <c r="I247" s="49"/>
      <c r="J247" s="49"/>
    </row>
    <row r="248">
      <c r="A248" s="63"/>
      <c r="B248" s="49"/>
      <c r="C248" s="49"/>
      <c r="D248" s="49"/>
      <c r="E248" s="49"/>
      <c r="F248" s="49"/>
      <c r="G248" s="49"/>
      <c r="H248" s="49"/>
      <c r="I248" s="49"/>
      <c r="J248" s="49"/>
    </row>
    <row r="249">
      <c r="A249" s="63"/>
      <c r="B249" s="49"/>
      <c r="C249" s="49"/>
      <c r="D249" s="49"/>
      <c r="E249" s="49"/>
      <c r="F249" s="49"/>
      <c r="G249" s="49"/>
      <c r="H249" s="49"/>
      <c r="I249" s="49"/>
      <c r="J249" s="49"/>
    </row>
    <row r="250">
      <c r="A250" s="63"/>
      <c r="B250" s="49"/>
      <c r="C250" s="49"/>
      <c r="D250" s="49"/>
      <c r="E250" s="49"/>
      <c r="F250" s="49"/>
      <c r="G250" s="49"/>
      <c r="H250" s="49"/>
      <c r="I250" s="49"/>
      <c r="J250" s="49"/>
    </row>
    <row r="251">
      <c r="A251" s="63"/>
      <c r="B251" s="49"/>
      <c r="C251" s="49"/>
      <c r="D251" s="49"/>
      <c r="E251" s="49"/>
      <c r="F251" s="49"/>
      <c r="G251" s="49"/>
      <c r="H251" s="49"/>
      <c r="I251" s="49"/>
      <c r="J251" s="49"/>
    </row>
    <row r="252">
      <c r="A252" s="63"/>
      <c r="B252" s="49"/>
      <c r="C252" s="49"/>
      <c r="D252" s="49"/>
      <c r="E252" s="49"/>
      <c r="F252" s="49"/>
      <c r="G252" s="49"/>
      <c r="H252" s="49"/>
      <c r="I252" s="49"/>
      <c r="J252" s="49"/>
    </row>
    <row r="253">
      <c r="A253" s="63"/>
      <c r="B253" s="49"/>
      <c r="C253" s="49"/>
      <c r="D253" s="49"/>
      <c r="E253" s="49"/>
      <c r="F253" s="49"/>
      <c r="G253" s="49"/>
      <c r="H253" s="49"/>
      <c r="I253" s="49"/>
      <c r="J253" s="49"/>
    </row>
    <row r="254">
      <c r="A254" s="63"/>
      <c r="B254" s="49"/>
      <c r="C254" s="49"/>
      <c r="D254" s="49"/>
      <c r="E254" s="49"/>
      <c r="F254" s="49"/>
      <c r="G254" s="49"/>
      <c r="H254" s="49"/>
      <c r="I254" s="49"/>
      <c r="J254" s="49"/>
    </row>
    <row r="255">
      <c r="A255" s="63"/>
      <c r="B255" s="49"/>
      <c r="C255" s="49"/>
      <c r="D255" s="49"/>
      <c r="E255" s="49"/>
      <c r="F255" s="49"/>
      <c r="G255" s="49"/>
      <c r="H255" s="49"/>
      <c r="I255" s="49"/>
      <c r="J255" s="49"/>
    </row>
    <row r="256">
      <c r="A256" s="63"/>
      <c r="B256" s="49"/>
      <c r="C256" s="49"/>
      <c r="D256" s="49"/>
      <c r="E256" s="49"/>
      <c r="F256" s="49"/>
      <c r="G256" s="49"/>
      <c r="H256" s="49"/>
      <c r="I256" s="49"/>
      <c r="J256" s="49"/>
    </row>
    <row r="257">
      <c r="A257" s="63"/>
      <c r="B257" s="49"/>
      <c r="C257" s="49"/>
      <c r="D257" s="49"/>
      <c r="E257" s="49"/>
      <c r="F257" s="49"/>
      <c r="G257" s="49"/>
      <c r="H257" s="49"/>
      <c r="I257" s="49"/>
      <c r="J257" s="49"/>
    </row>
    <row r="258">
      <c r="A258" s="63"/>
      <c r="B258" s="49"/>
      <c r="C258" s="49"/>
      <c r="D258" s="49"/>
      <c r="E258" s="49"/>
      <c r="F258" s="49"/>
      <c r="G258" s="49"/>
      <c r="H258" s="49"/>
      <c r="I258" s="49"/>
      <c r="J258" s="49"/>
    </row>
    <row r="259">
      <c r="A259" s="63"/>
      <c r="B259" s="49"/>
      <c r="C259" s="49"/>
      <c r="D259" s="49"/>
      <c r="E259" s="49"/>
      <c r="F259" s="49"/>
      <c r="G259" s="49"/>
      <c r="H259" s="49"/>
      <c r="I259" s="49"/>
      <c r="J259" s="49"/>
    </row>
    <row r="260">
      <c r="A260" s="63"/>
      <c r="B260" s="49"/>
      <c r="C260" s="49"/>
      <c r="D260" s="49"/>
      <c r="E260" s="49"/>
      <c r="F260" s="49"/>
      <c r="G260" s="49"/>
      <c r="H260" s="49"/>
      <c r="I260" s="49"/>
      <c r="J260" s="49"/>
    </row>
    <row r="261">
      <c r="A261" s="63"/>
      <c r="B261" s="49"/>
      <c r="C261" s="49"/>
      <c r="D261" s="49"/>
      <c r="E261" s="49"/>
      <c r="F261" s="49"/>
      <c r="G261" s="49"/>
      <c r="H261" s="49"/>
      <c r="I261" s="49"/>
      <c r="J261" s="49"/>
    </row>
    <row r="262">
      <c r="A262" s="63"/>
      <c r="B262" s="49"/>
      <c r="C262" s="49"/>
      <c r="D262" s="49"/>
      <c r="E262" s="49"/>
      <c r="F262" s="49"/>
      <c r="G262" s="49"/>
      <c r="H262" s="49"/>
      <c r="I262" s="49"/>
      <c r="J262" s="49"/>
    </row>
    <row r="263">
      <c r="A263" s="63"/>
      <c r="B263" s="49"/>
      <c r="C263" s="49"/>
      <c r="D263" s="49"/>
      <c r="E263" s="49"/>
      <c r="F263" s="49"/>
      <c r="G263" s="49"/>
      <c r="H263" s="49"/>
      <c r="I263" s="49"/>
      <c r="J263" s="49"/>
    </row>
    <row r="264">
      <c r="A264" s="63"/>
      <c r="B264" s="49"/>
      <c r="C264" s="49"/>
      <c r="D264" s="49"/>
      <c r="E264" s="49"/>
      <c r="F264" s="49"/>
      <c r="G264" s="49"/>
      <c r="H264" s="49"/>
      <c r="I264" s="49"/>
      <c r="J264" s="49"/>
    </row>
    <row r="265">
      <c r="A265" s="63"/>
      <c r="B265" s="49"/>
      <c r="C265" s="49"/>
      <c r="D265" s="49"/>
      <c r="E265" s="49"/>
      <c r="F265" s="49"/>
      <c r="G265" s="49"/>
      <c r="H265" s="49"/>
      <c r="I265" s="49"/>
      <c r="J265" s="49"/>
    </row>
    <row r="266">
      <c r="A266" s="63"/>
      <c r="B266" s="49"/>
      <c r="C266" s="49"/>
      <c r="D266" s="49"/>
      <c r="E266" s="49"/>
      <c r="F266" s="49"/>
      <c r="G266" s="49"/>
      <c r="H266" s="49"/>
      <c r="I266" s="49"/>
      <c r="J266" s="49"/>
    </row>
    <row r="267">
      <c r="A267" s="63"/>
      <c r="B267" s="49"/>
      <c r="C267" s="49"/>
      <c r="D267" s="49"/>
      <c r="E267" s="49"/>
      <c r="F267" s="49"/>
      <c r="G267" s="49"/>
      <c r="H267" s="49"/>
      <c r="I267" s="49"/>
      <c r="J267" s="49"/>
    </row>
    <row r="268">
      <c r="A268" s="63"/>
      <c r="B268" s="49"/>
      <c r="C268" s="49"/>
      <c r="D268" s="49"/>
      <c r="E268" s="49"/>
      <c r="F268" s="49"/>
      <c r="G268" s="49"/>
      <c r="H268" s="49"/>
      <c r="I268" s="49"/>
      <c r="J268" s="49"/>
    </row>
    <row r="269">
      <c r="A269" s="63"/>
      <c r="B269" s="49"/>
      <c r="C269" s="49"/>
      <c r="D269" s="49"/>
      <c r="E269" s="49"/>
      <c r="F269" s="49"/>
      <c r="G269" s="49"/>
      <c r="H269" s="49"/>
      <c r="I269" s="49"/>
      <c r="J269" s="49"/>
    </row>
    <row r="270">
      <c r="A270" s="63"/>
      <c r="B270" s="49"/>
      <c r="C270" s="49"/>
      <c r="D270" s="49"/>
      <c r="E270" s="49"/>
      <c r="F270" s="49"/>
      <c r="G270" s="49"/>
      <c r="H270" s="49"/>
      <c r="I270" s="49"/>
      <c r="J270" s="49"/>
    </row>
    <row r="271">
      <c r="A271" s="63"/>
      <c r="B271" s="49"/>
      <c r="C271" s="49"/>
      <c r="D271" s="49"/>
      <c r="E271" s="49"/>
      <c r="F271" s="49"/>
      <c r="G271" s="49"/>
      <c r="H271" s="49"/>
      <c r="I271" s="49"/>
      <c r="J271" s="49"/>
    </row>
    <row r="272">
      <c r="A272" s="63"/>
      <c r="B272" s="49"/>
      <c r="C272" s="49"/>
      <c r="D272" s="49"/>
      <c r="E272" s="49"/>
      <c r="F272" s="49"/>
      <c r="G272" s="49"/>
      <c r="H272" s="49"/>
      <c r="I272" s="49"/>
      <c r="J272" s="49"/>
    </row>
    <row r="273">
      <c r="A273" s="63"/>
      <c r="B273" s="49"/>
      <c r="C273" s="49"/>
      <c r="D273" s="49"/>
      <c r="E273" s="49"/>
      <c r="F273" s="49"/>
      <c r="G273" s="49"/>
      <c r="H273" s="49"/>
      <c r="I273" s="49"/>
      <c r="J273" s="49"/>
    </row>
    <row r="274">
      <c r="A274" s="63"/>
      <c r="B274" s="49"/>
      <c r="C274" s="49"/>
      <c r="D274" s="49"/>
      <c r="E274" s="49"/>
      <c r="F274" s="49"/>
      <c r="G274" s="49"/>
      <c r="H274" s="49"/>
      <c r="I274" s="49"/>
      <c r="J274" s="49"/>
    </row>
    <row r="275">
      <c r="A275" s="63"/>
      <c r="B275" s="49"/>
      <c r="C275" s="49"/>
      <c r="D275" s="49"/>
      <c r="E275" s="49"/>
      <c r="F275" s="49"/>
      <c r="G275" s="49"/>
      <c r="H275" s="49"/>
      <c r="I275" s="49"/>
      <c r="J275" s="49"/>
    </row>
    <row r="276">
      <c r="A276" s="63"/>
      <c r="B276" s="49"/>
      <c r="C276" s="49"/>
      <c r="D276" s="49"/>
      <c r="E276" s="49"/>
      <c r="F276" s="49"/>
      <c r="G276" s="49"/>
      <c r="H276" s="49"/>
      <c r="I276" s="49"/>
      <c r="J276" s="49"/>
    </row>
    <row r="277">
      <c r="A277" s="63"/>
      <c r="B277" s="49"/>
      <c r="C277" s="49"/>
      <c r="D277" s="49"/>
      <c r="E277" s="49"/>
      <c r="F277" s="49"/>
      <c r="G277" s="49"/>
      <c r="H277" s="49"/>
      <c r="I277" s="49"/>
      <c r="J277" s="49"/>
    </row>
    <row r="278">
      <c r="A278" s="63"/>
      <c r="B278" s="49"/>
      <c r="C278" s="49"/>
      <c r="D278" s="49"/>
      <c r="E278" s="49"/>
      <c r="F278" s="49"/>
      <c r="G278" s="49"/>
      <c r="H278" s="49"/>
      <c r="I278" s="49"/>
      <c r="J278" s="49"/>
    </row>
    <row r="279">
      <c r="A279" s="63"/>
      <c r="B279" s="49"/>
      <c r="C279" s="49"/>
      <c r="D279" s="49"/>
      <c r="E279" s="49"/>
      <c r="F279" s="49"/>
      <c r="G279" s="49"/>
      <c r="H279" s="49"/>
      <c r="I279" s="49"/>
      <c r="J279" s="49"/>
    </row>
    <row r="280">
      <c r="A280" s="63"/>
      <c r="B280" s="49"/>
      <c r="C280" s="49"/>
      <c r="D280" s="49"/>
      <c r="E280" s="49"/>
      <c r="F280" s="49"/>
      <c r="G280" s="49"/>
      <c r="H280" s="49"/>
      <c r="I280" s="49"/>
      <c r="J280" s="49"/>
    </row>
    <row r="281">
      <c r="A281" s="63"/>
      <c r="B281" s="49"/>
      <c r="C281" s="49"/>
      <c r="D281" s="49"/>
      <c r="E281" s="49"/>
      <c r="F281" s="49"/>
      <c r="G281" s="49"/>
      <c r="H281" s="49"/>
      <c r="I281" s="49"/>
      <c r="J281" s="49"/>
    </row>
    <row r="282">
      <c r="A282" s="63"/>
      <c r="B282" s="49"/>
      <c r="C282" s="49"/>
      <c r="D282" s="49"/>
      <c r="E282" s="49"/>
      <c r="F282" s="49"/>
      <c r="G282" s="49"/>
      <c r="H282" s="49"/>
      <c r="I282" s="49"/>
      <c r="J282" s="49"/>
    </row>
    <row r="283">
      <c r="A283" s="63"/>
      <c r="B283" s="49"/>
      <c r="C283" s="49"/>
      <c r="D283" s="49"/>
      <c r="E283" s="49"/>
      <c r="F283" s="49"/>
      <c r="G283" s="49"/>
      <c r="H283" s="49"/>
      <c r="I283" s="49"/>
      <c r="J283" s="49"/>
    </row>
    <row r="284">
      <c r="A284" s="63"/>
      <c r="B284" s="49"/>
      <c r="C284" s="49"/>
      <c r="D284" s="49"/>
      <c r="E284" s="49"/>
      <c r="F284" s="49"/>
      <c r="G284" s="49"/>
      <c r="H284" s="49"/>
      <c r="I284" s="49"/>
      <c r="J284" s="49"/>
    </row>
    <row r="285">
      <c r="A285" s="63"/>
      <c r="B285" s="49"/>
      <c r="C285" s="49"/>
      <c r="D285" s="49"/>
      <c r="E285" s="49"/>
      <c r="F285" s="49"/>
      <c r="G285" s="49"/>
      <c r="H285" s="49"/>
      <c r="I285" s="49"/>
      <c r="J285" s="49"/>
    </row>
    <row r="286">
      <c r="A286" s="63"/>
      <c r="B286" s="49"/>
      <c r="C286" s="49"/>
      <c r="D286" s="49"/>
      <c r="E286" s="49"/>
      <c r="F286" s="49"/>
      <c r="G286" s="49"/>
      <c r="H286" s="49"/>
      <c r="I286" s="49"/>
      <c r="J286" s="49"/>
    </row>
    <row r="287">
      <c r="A287" s="63"/>
      <c r="B287" s="49"/>
      <c r="C287" s="49"/>
      <c r="D287" s="49"/>
      <c r="E287" s="49"/>
      <c r="F287" s="49"/>
      <c r="G287" s="49"/>
      <c r="H287" s="49"/>
      <c r="I287" s="49"/>
      <c r="J287" s="49"/>
    </row>
    <row r="288">
      <c r="A288" s="63"/>
      <c r="B288" s="49"/>
      <c r="C288" s="49"/>
      <c r="D288" s="49"/>
      <c r="E288" s="49"/>
      <c r="F288" s="49"/>
      <c r="G288" s="49"/>
      <c r="H288" s="49"/>
      <c r="I288" s="49"/>
      <c r="J288" s="49"/>
    </row>
    <row r="289">
      <c r="A289" s="63"/>
      <c r="B289" s="49"/>
      <c r="C289" s="49"/>
      <c r="D289" s="49"/>
      <c r="E289" s="49"/>
      <c r="F289" s="49"/>
      <c r="G289" s="49"/>
      <c r="H289" s="49"/>
      <c r="I289" s="49"/>
      <c r="J289" s="49"/>
    </row>
    <row r="290">
      <c r="A290" s="63"/>
      <c r="B290" s="49"/>
      <c r="C290" s="49"/>
      <c r="D290" s="49"/>
      <c r="E290" s="49"/>
      <c r="F290" s="49"/>
      <c r="G290" s="49"/>
      <c r="H290" s="49"/>
      <c r="I290" s="49"/>
      <c r="J290" s="49"/>
    </row>
    <row r="291">
      <c r="A291" s="63"/>
      <c r="B291" s="49"/>
      <c r="C291" s="49"/>
      <c r="D291" s="49"/>
      <c r="E291" s="49"/>
      <c r="F291" s="49"/>
      <c r="G291" s="49"/>
      <c r="H291" s="49"/>
      <c r="I291" s="49"/>
      <c r="J291" s="49"/>
    </row>
    <row r="292">
      <c r="A292" s="63"/>
      <c r="B292" s="49"/>
      <c r="C292" s="49"/>
      <c r="D292" s="49"/>
      <c r="E292" s="49"/>
      <c r="F292" s="49"/>
      <c r="G292" s="49"/>
      <c r="H292" s="49"/>
      <c r="I292" s="49"/>
      <c r="J292" s="49"/>
    </row>
    <row r="293">
      <c r="A293" s="63"/>
      <c r="B293" s="49"/>
      <c r="C293" s="49"/>
      <c r="D293" s="49"/>
      <c r="E293" s="49"/>
      <c r="F293" s="49"/>
      <c r="G293" s="49"/>
      <c r="H293" s="49"/>
      <c r="I293" s="49"/>
      <c r="J293" s="49"/>
    </row>
    <row r="294">
      <c r="A294" s="63"/>
      <c r="B294" s="49"/>
      <c r="C294" s="49"/>
      <c r="D294" s="49"/>
      <c r="E294" s="49"/>
      <c r="F294" s="49"/>
      <c r="G294" s="49"/>
      <c r="H294" s="49"/>
      <c r="I294" s="49"/>
      <c r="J294" s="49"/>
    </row>
    <row r="295">
      <c r="A295" s="63"/>
      <c r="B295" s="49"/>
      <c r="C295" s="49"/>
      <c r="D295" s="49"/>
      <c r="E295" s="49"/>
      <c r="F295" s="49"/>
      <c r="G295" s="49"/>
      <c r="H295" s="49"/>
      <c r="I295" s="49"/>
      <c r="J295" s="49"/>
    </row>
    <row r="296">
      <c r="A296" s="63"/>
      <c r="B296" s="49"/>
      <c r="C296" s="49"/>
      <c r="D296" s="49"/>
      <c r="E296" s="49"/>
      <c r="F296" s="49"/>
      <c r="G296" s="49"/>
      <c r="H296" s="49"/>
      <c r="I296" s="49"/>
      <c r="J296" s="49"/>
    </row>
    <row r="297">
      <c r="A297" s="63"/>
      <c r="B297" s="49"/>
      <c r="C297" s="49"/>
      <c r="D297" s="49"/>
      <c r="E297" s="49"/>
      <c r="F297" s="49"/>
      <c r="G297" s="49"/>
      <c r="H297" s="49"/>
      <c r="I297" s="49"/>
      <c r="J297" s="49"/>
    </row>
    <row r="298">
      <c r="A298" s="63"/>
      <c r="B298" s="49"/>
      <c r="C298" s="49"/>
      <c r="D298" s="49"/>
      <c r="E298" s="49"/>
      <c r="F298" s="49"/>
      <c r="G298" s="49"/>
      <c r="H298" s="49"/>
      <c r="I298" s="49"/>
      <c r="J298" s="49"/>
    </row>
    <row r="299">
      <c r="A299" s="63"/>
      <c r="B299" s="49"/>
      <c r="C299" s="49"/>
      <c r="D299" s="49"/>
      <c r="E299" s="49"/>
      <c r="F299" s="49"/>
      <c r="G299" s="49"/>
      <c r="H299" s="49"/>
      <c r="I299" s="49"/>
      <c r="J299" s="49"/>
    </row>
    <row r="300">
      <c r="A300" s="63"/>
      <c r="B300" s="49"/>
      <c r="C300" s="49"/>
      <c r="D300" s="49"/>
      <c r="E300" s="49"/>
      <c r="F300" s="49"/>
      <c r="G300" s="49"/>
      <c r="H300" s="49"/>
      <c r="I300" s="49"/>
      <c r="J300" s="49"/>
    </row>
    <row r="301">
      <c r="A301" s="63"/>
      <c r="B301" s="49"/>
      <c r="C301" s="49"/>
      <c r="D301" s="49"/>
      <c r="E301" s="49"/>
      <c r="F301" s="49"/>
      <c r="G301" s="49"/>
      <c r="H301" s="49"/>
      <c r="I301" s="49"/>
      <c r="J301" s="49"/>
    </row>
    <row r="302">
      <c r="A302" s="63"/>
      <c r="B302" s="49"/>
      <c r="C302" s="49"/>
      <c r="D302" s="49"/>
      <c r="E302" s="49"/>
      <c r="F302" s="49"/>
      <c r="G302" s="49"/>
      <c r="H302" s="49"/>
      <c r="I302" s="49"/>
      <c r="J302" s="49"/>
    </row>
    <row r="303">
      <c r="A303" s="63"/>
      <c r="B303" s="49"/>
      <c r="C303" s="49"/>
      <c r="D303" s="49"/>
      <c r="E303" s="49"/>
      <c r="F303" s="49"/>
      <c r="G303" s="49"/>
      <c r="H303" s="49"/>
      <c r="I303" s="49"/>
      <c r="J303" s="49"/>
    </row>
    <row r="304">
      <c r="A304" s="63"/>
      <c r="B304" s="49"/>
      <c r="C304" s="49"/>
      <c r="D304" s="49"/>
      <c r="E304" s="49"/>
      <c r="F304" s="49"/>
      <c r="G304" s="49"/>
      <c r="H304" s="49"/>
      <c r="I304" s="49"/>
      <c r="J304" s="49"/>
    </row>
    <row r="305">
      <c r="A305" s="63"/>
      <c r="B305" s="49"/>
      <c r="C305" s="49"/>
      <c r="D305" s="49"/>
      <c r="E305" s="49"/>
      <c r="F305" s="49"/>
      <c r="G305" s="49"/>
      <c r="H305" s="49"/>
      <c r="I305" s="49"/>
      <c r="J305" s="49"/>
    </row>
    <row r="306">
      <c r="A306" s="63"/>
      <c r="B306" s="49"/>
      <c r="C306" s="49"/>
      <c r="D306" s="49"/>
      <c r="E306" s="49"/>
      <c r="F306" s="49"/>
      <c r="G306" s="49"/>
      <c r="H306" s="49"/>
      <c r="I306" s="49"/>
      <c r="J306" s="49"/>
    </row>
    <row r="307">
      <c r="A307" s="63"/>
      <c r="B307" s="49"/>
      <c r="C307" s="49"/>
      <c r="D307" s="49"/>
      <c r="E307" s="49"/>
      <c r="F307" s="49"/>
      <c r="G307" s="49"/>
      <c r="H307" s="49"/>
      <c r="I307" s="49"/>
      <c r="J307" s="49"/>
    </row>
    <row r="308">
      <c r="A308" s="63"/>
      <c r="B308" s="49"/>
      <c r="C308" s="49"/>
      <c r="D308" s="49"/>
      <c r="E308" s="49"/>
      <c r="F308" s="49"/>
      <c r="G308" s="49"/>
      <c r="H308" s="49"/>
      <c r="I308" s="49"/>
      <c r="J308" s="49"/>
    </row>
    <row r="309">
      <c r="A309" s="63"/>
      <c r="B309" s="49"/>
      <c r="C309" s="49"/>
      <c r="D309" s="49"/>
      <c r="E309" s="49"/>
      <c r="F309" s="49"/>
      <c r="G309" s="49"/>
      <c r="H309" s="49"/>
      <c r="I309" s="49"/>
      <c r="J309" s="49"/>
    </row>
    <row r="310">
      <c r="A310" s="63"/>
      <c r="B310" s="49"/>
      <c r="C310" s="49"/>
      <c r="D310" s="49"/>
      <c r="E310" s="49"/>
      <c r="F310" s="49"/>
      <c r="G310" s="49"/>
      <c r="H310" s="49"/>
      <c r="I310" s="49"/>
      <c r="J310" s="49"/>
    </row>
    <row r="311">
      <c r="A311" s="63"/>
      <c r="B311" s="49"/>
      <c r="C311" s="49"/>
      <c r="D311" s="49"/>
      <c r="E311" s="49"/>
      <c r="F311" s="49"/>
      <c r="G311" s="49"/>
      <c r="H311" s="49"/>
      <c r="I311" s="49"/>
      <c r="J311" s="49"/>
    </row>
    <row r="312">
      <c r="A312" s="63"/>
      <c r="B312" s="49"/>
      <c r="C312" s="49"/>
      <c r="D312" s="49"/>
      <c r="E312" s="49"/>
      <c r="F312" s="49"/>
      <c r="G312" s="49"/>
      <c r="H312" s="49"/>
      <c r="I312" s="49"/>
      <c r="J312" s="49"/>
    </row>
    <row r="313">
      <c r="A313" s="63"/>
      <c r="B313" s="49"/>
      <c r="C313" s="49"/>
      <c r="D313" s="49"/>
      <c r="E313" s="49"/>
      <c r="F313" s="49"/>
      <c r="G313" s="49"/>
      <c r="H313" s="49"/>
      <c r="I313" s="49"/>
      <c r="J313" s="49"/>
    </row>
    <row r="314">
      <c r="A314" s="63"/>
      <c r="B314" s="49"/>
      <c r="C314" s="49"/>
      <c r="D314" s="49"/>
      <c r="E314" s="49"/>
      <c r="F314" s="49"/>
      <c r="G314" s="49"/>
      <c r="H314" s="49"/>
      <c r="I314" s="49"/>
      <c r="J314" s="49"/>
    </row>
    <row r="315">
      <c r="A315" s="63"/>
      <c r="B315" s="49"/>
      <c r="C315" s="49"/>
      <c r="D315" s="49"/>
      <c r="E315" s="49"/>
      <c r="F315" s="49"/>
      <c r="G315" s="49"/>
      <c r="H315" s="49"/>
      <c r="I315" s="49"/>
      <c r="J315" s="49"/>
    </row>
    <row r="316">
      <c r="A316" s="63"/>
      <c r="B316" s="49"/>
      <c r="C316" s="49"/>
      <c r="D316" s="49"/>
      <c r="E316" s="49"/>
      <c r="F316" s="49"/>
      <c r="G316" s="49"/>
      <c r="H316" s="49"/>
      <c r="I316" s="49"/>
      <c r="J316" s="49"/>
    </row>
    <row r="317">
      <c r="A317" s="63"/>
      <c r="B317" s="49"/>
      <c r="C317" s="49"/>
      <c r="D317" s="49"/>
      <c r="E317" s="49"/>
      <c r="F317" s="49"/>
      <c r="G317" s="49"/>
      <c r="H317" s="49"/>
      <c r="I317" s="49"/>
      <c r="J317" s="49"/>
    </row>
    <row r="318">
      <c r="A318" s="63"/>
      <c r="B318" s="49"/>
      <c r="C318" s="49"/>
      <c r="D318" s="49"/>
      <c r="E318" s="49"/>
      <c r="F318" s="49"/>
      <c r="G318" s="49"/>
      <c r="H318" s="49"/>
      <c r="I318" s="49"/>
      <c r="J318" s="49"/>
    </row>
    <row r="319">
      <c r="A319" s="63"/>
      <c r="B319" s="49"/>
      <c r="C319" s="49"/>
      <c r="D319" s="49"/>
      <c r="E319" s="49"/>
      <c r="F319" s="49"/>
      <c r="G319" s="49"/>
      <c r="H319" s="49"/>
      <c r="I319" s="49"/>
      <c r="J319" s="49"/>
    </row>
    <row r="320">
      <c r="A320" s="63"/>
      <c r="B320" s="49"/>
      <c r="C320" s="49"/>
      <c r="D320" s="49"/>
      <c r="E320" s="49"/>
      <c r="F320" s="49"/>
      <c r="G320" s="49"/>
      <c r="H320" s="49"/>
      <c r="I320" s="49"/>
      <c r="J320" s="49"/>
    </row>
    <row r="321">
      <c r="A321" s="63"/>
      <c r="B321" s="49"/>
      <c r="C321" s="49"/>
      <c r="D321" s="49"/>
      <c r="E321" s="49"/>
      <c r="F321" s="49"/>
      <c r="G321" s="49"/>
      <c r="H321" s="49"/>
      <c r="I321" s="49"/>
      <c r="J321" s="49"/>
    </row>
    <row r="322">
      <c r="A322" s="63"/>
      <c r="B322" s="49"/>
      <c r="C322" s="49"/>
      <c r="D322" s="49"/>
      <c r="E322" s="49"/>
      <c r="F322" s="49"/>
      <c r="G322" s="49"/>
      <c r="H322" s="49"/>
      <c r="I322" s="49"/>
      <c r="J322" s="49"/>
    </row>
    <row r="323">
      <c r="A323" s="63"/>
      <c r="B323" s="49"/>
      <c r="C323" s="49"/>
      <c r="D323" s="49"/>
      <c r="E323" s="49"/>
      <c r="F323" s="49"/>
      <c r="G323" s="49"/>
      <c r="H323" s="49"/>
      <c r="I323" s="49"/>
      <c r="J323" s="49"/>
    </row>
    <row r="324">
      <c r="A324" s="63"/>
      <c r="B324" s="49"/>
      <c r="C324" s="49"/>
      <c r="D324" s="49"/>
      <c r="E324" s="49"/>
      <c r="F324" s="49"/>
      <c r="G324" s="49"/>
      <c r="H324" s="49"/>
      <c r="I324" s="49"/>
      <c r="J324" s="49"/>
    </row>
    <row r="325">
      <c r="A325" s="63"/>
      <c r="B325" s="49"/>
      <c r="C325" s="49"/>
      <c r="D325" s="49"/>
      <c r="E325" s="49"/>
      <c r="F325" s="49"/>
      <c r="G325" s="49"/>
      <c r="H325" s="49"/>
      <c r="I325" s="49"/>
      <c r="J325" s="49"/>
    </row>
    <row r="326">
      <c r="A326" s="63"/>
      <c r="B326" s="49"/>
      <c r="C326" s="49"/>
      <c r="D326" s="49"/>
      <c r="E326" s="49"/>
      <c r="F326" s="49"/>
      <c r="G326" s="49"/>
      <c r="H326" s="49"/>
      <c r="I326" s="49"/>
      <c r="J326" s="49"/>
    </row>
    <row r="327">
      <c r="A327" s="63"/>
      <c r="B327" s="49"/>
      <c r="C327" s="49"/>
      <c r="D327" s="49"/>
      <c r="E327" s="49"/>
      <c r="F327" s="49"/>
      <c r="G327" s="49"/>
      <c r="H327" s="49"/>
      <c r="I327" s="49"/>
      <c r="J327" s="49"/>
    </row>
    <row r="328">
      <c r="A328" s="63"/>
      <c r="B328" s="49"/>
      <c r="C328" s="49"/>
      <c r="D328" s="49"/>
      <c r="E328" s="49"/>
      <c r="F328" s="49"/>
      <c r="G328" s="49"/>
      <c r="H328" s="49"/>
      <c r="I328" s="49"/>
      <c r="J328" s="49"/>
    </row>
    <row r="329">
      <c r="A329" s="63"/>
      <c r="B329" s="49"/>
      <c r="C329" s="49"/>
      <c r="D329" s="49"/>
      <c r="E329" s="49"/>
      <c r="F329" s="49"/>
      <c r="G329" s="49"/>
      <c r="H329" s="49"/>
      <c r="I329" s="49"/>
      <c r="J329" s="49"/>
    </row>
    <row r="330">
      <c r="A330" s="63"/>
      <c r="B330" s="49"/>
      <c r="C330" s="49"/>
      <c r="D330" s="49"/>
      <c r="E330" s="49"/>
      <c r="F330" s="49"/>
      <c r="G330" s="49"/>
      <c r="H330" s="49"/>
      <c r="I330" s="49"/>
      <c r="J330" s="49"/>
    </row>
    <row r="331">
      <c r="A331" s="63"/>
      <c r="B331" s="49"/>
      <c r="C331" s="49"/>
      <c r="D331" s="49"/>
      <c r="E331" s="49"/>
      <c r="F331" s="49"/>
      <c r="G331" s="49"/>
      <c r="H331" s="49"/>
      <c r="I331" s="49"/>
      <c r="J331" s="49"/>
    </row>
    <row r="332">
      <c r="A332" s="63"/>
      <c r="B332" s="49"/>
      <c r="C332" s="49"/>
      <c r="D332" s="49"/>
      <c r="E332" s="49"/>
      <c r="F332" s="49"/>
      <c r="G332" s="49"/>
      <c r="H332" s="49"/>
      <c r="I332" s="49"/>
      <c r="J332" s="49"/>
    </row>
    <row r="333">
      <c r="A333" s="63"/>
      <c r="B333" s="49"/>
      <c r="C333" s="49"/>
      <c r="D333" s="49"/>
      <c r="E333" s="49"/>
      <c r="F333" s="49"/>
      <c r="G333" s="49"/>
      <c r="H333" s="49"/>
      <c r="I333" s="49"/>
      <c r="J333" s="49"/>
    </row>
    <row r="334">
      <c r="A334" s="63"/>
      <c r="B334" s="49"/>
      <c r="C334" s="49"/>
      <c r="D334" s="49"/>
      <c r="E334" s="49"/>
      <c r="F334" s="49"/>
      <c r="G334" s="49"/>
      <c r="H334" s="49"/>
      <c r="I334" s="49"/>
      <c r="J334" s="49"/>
    </row>
    <row r="335">
      <c r="A335" s="63"/>
      <c r="B335" s="49"/>
      <c r="C335" s="49"/>
      <c r="D335" s="49"/>
      <c r="E335" s="49"/>
      <c r="F335" s="49"/>
      <c r="G335" s="49"/>
      <c r="H335" s="49"/>
      <c r="I335" s="49"/>
      <c r="J335" s="49"/>
    </row>
    <row r="336">
      <c r="A336" s="63"/>
      <c r="B336" s="49"/>
      <c r="C336" s="49"/>
      <c r="D336" s="49"/>
      <c r="E336" s="49"/>
      <c r="F336" s="49"/>
      <c r="G336" s="49"/>
      <c r="H336" s="49"/>
      <c r="I336" s="49"/>
      <c r="J336" s="49"/>
    </row>
    <row r="337">
      <c r="A337" s="63"/>
      <c r="B337" s="49"/>
      <c r="C337" s="49"/>
      <c r="D337" s="49"/>
      <c r="E337" s="49"/>
      <c r="F337" s="49"/>
      <c r="G337" s="49"/>
      <c r="H337" s="49"/>
      <c r="I337" s="49"/>
      <c r="J337" s="49"/>
    </row>
    <row r="338">
      <c r="A338" s="63"/>
      <c r="B338" s="49"/>
      <c r="C338" s="49"/>
      <c r="D338" s="49"/>
      <c r="E338" s="49"/>
      <c r="F338" s="49"/>
      <c r="G338" s="49"/>
      <c r="H338" s="49"/>
      <c r="I338" s="49"/>
      <c r="J338" s="49"/>
    </row>
    <row r="339">
      <c r="A339" s="63"/>
      <c r="B339" s="49"/>
      <c r="C339" s="49"/>
      <c r="D339" s="49"/>
      <c r="E339" s="49"/>
      <c r="F339" s="49"/>
      <c r="G339" s="49"/>
      <c r="H339" s="49"/>
      <c r="I339" s="49"/>
      <c r="J339" s="49"/>
    </row>
    <row r="340">
      <c r="A340" s="63"/>
      <c r="B340" s="49"/>
      <c r="C340" s="49"/>
      <c r="D340" s="49"/>
      <c r="E340" s="49"/>
      <c r="F340" s="49"/>
      <c r="G340" s="49"/>
      <c r="H340" s="49"/>
      <c r="I340" s="49"/>
      <c r="J340" s="49"/>
    </row>
    <row r="341">
      <c r="A341" s="63"/>
      <c r="B341" s="49"/>
      <c r="C341" s="49"/>
      <c r="D341" s="49"/>
      <c r="E341" s="49"/>
      <c r="F341" s="49"/>
      <c r="G341" s="49"/>
      <c r="H341" s="49"/>
      <c r="I341" s="49"/>
      <c r="J341" s="49"/>
    </row>
    <row r="342">
      <c r="A342" s="63"/>
      <c r="B342" s="49"/>
      <c r="C342" s="49"/>
      <c r="D342" s="49"/>
      <c r="E342" s="49"/>
      <c r="F342" s="49"/>
      <c r="G342" s="49"/>
      <c r="H342" s="49"/>
      <c r="I342" s="49"/>
      <c r="J342" s="49"/>
    </row>
    <row r="343">
      <c r="A343" s="63"/>
      <c r="B343" s="49"/>
      <c r="C343" s="49"/>
      <c r="D343" s="49"/>
      <c r="E343" s="49"/>
      <c r="F343" s="49"/>
      <c r="G343" s="49"/>
      <c r="H343" s="49"/>
      <c r="I343" s="49"/>
      <c r="J343" s="49"/>
    </row>
    <row r="344">
      <c r="A344" s="63"/>
      <c r="B344" s="49"/>
      <c r="C344" s="49"/>
      <c r="D344" s="49"/>
      <c r="E344" s="49"/>
      <c r="F344" s="49"/>
      <c r="G344" s="49"/>
      <c r="H344" s="49"/>
      <c r="I344" s="49"/>
      <c r="J344" s="49"/>
    </row>
    <row r="345">
      <c r="A345" s="63"/>
      <c r="B345" s="49"/>
      <c r="C345" s="49"/>
      <c r="D345" s="49"/>
      <c r="E345" s="49"/>
      <c r="F345" s="49"/>
      <c r="G345" s="49"/>
      <c r="H345" s="49"/>
      <c r="I345" s="49"/>
      <c r="J345" s="49"/>
    </row>
    <row r="346">
      <c r="A346" s="63"/>
      <c r="B346" s="49"/>
      <c r="C346" s="49"/>
      <c r="D346" s="49"/>
      <c r="E346" s="49"/>
      <c r="F346" s="49"/>
      <c r="G346" s="49"/>
      <c r="H346" s="49"/>
      <c r="I346" s="49"/>
      <c r="J346" s="49"/>
    </row>
    <row r="347">
      <c r="A347" s="63"/>
      <c r="B347" s="49"/>
      <c r="C347" s="49"/>
      <c r="D347" s="49"/>
      <c r="E347" s="49"/>
      <c r="F347" s="49"/>
      <c r="G347" s="49"/>
      <c r="H347" s="49"/>
      <c r="I347" s="49"/>
      <c r="J347" s="49"/>
    </row>
    <row r="348">
      <c r="A348" s="63"/>
      <c r="B348" s="49"/>
      <c r="C348" s="49"/>
      <c r="D348" s="49"/>
      <c r="E348" s="49"/>
      <c r="F348" s="49"/>
      <c r="G348" s="49"/>
      <c r="H348" s="49"/>
      <c r="I348" s="49"/>
      <c r="J348" s="49"/>
    </row>
    <row r="349">
      <c r="A349" s="63"/>
      <c r="B349" s="49"/>
      <c r="C349" s="49"/>
      <c r="D349" s="49"/>
      <c r="E349" s="49"/>
      <c r="F349" s="49"/>
      <c r="G349" s="49"/>
      <c r="H349" s="49"/>
      <c r="I349" s="49"/>
      <c r="J349" s="49"/>
    </row>
    <row r="350">
      <c r="A350" s="63"/>
      <c r="B350" s="49"/>
      <c r="C350" s="49"/>
      <c r="D350" s="49"/>
      <c r="E350" s="49"/>
      <c r="F350" s="49"/>
      <c r="G350" s="49"/>
      <c r="H350" s="49"/>
      <c r="I350" s="49"/>
      <c r="J350" s="49"/>
    </row>
    <row r="351">
      <c r="A351" s="63"/>
      <c r="B351" s="49"/>
      <c r="C351" s="49"/>
      <c r="D351" s="49"/>
      <c r="E351" s="49"/>
      <c r="F351" s="49"/>
      <c r="G351" s="49"/>
      <c r="H351" s="49"/>
      <c r="I351" s="49"/>
      <c r="J351" s="49"/>
    </row>
    <row r="352">
      <c r="A352" s="63"/>
      <c r="B352" s="49"/>
      <c r="C352" s="49"/>
      <c r="D352" s="49"/>
      <c r="E352" s="49"/>
      <c r="F352" s="49"/>
      <c r="G352" s="49"/>
      <c r="H352" s="49"/>
      <c r="I352" s="49"/>
      <c r="J352" s="49"/>
    </row>
    <row r="353">
      <c r="A353" s="63"/>
      <c r="B353" s="49"/>
      <c r="C353" s="49"/>
      <c r="D353" s="49"/>
      <c r="E353" s="49"/>
      <c r="F353" s="49"/>
      <c r="G353" s="49"/>
      <c r="H353" s="49"/>
      <c r="I353" s="49"/>
      <c r="J353" s="49"/>
    </row>
    <row r="354">
      <c r="A354" s="63"/>
      <c r="B354" s="49"/>
      <c r="C354" s="49"/>
      <c r="D354" s="49"/>
      <c r="E354" s="49"/>
      <c r="F354" s="49"/>
      <c r="G354" s="49"/>
      <c r="H354" s="49"/>
      <c r="I354" s="49"/>
      <c r="J354" s="49"/>
    </row>
    <row r="355">
      <c r="A355" s="63"/>
      <c r="B355" s="49"/>
      <c r="C355" s="49"/>
      <c r="D355" s="49"/>
      <c r="E355" s="49"/>
      <c r="F355" s="49"/>
      <c r="G355" s="49"/>
      <c r="H355" s="49"/>
      <c r="I355" s="49"/>
      <c r="J355" s="49"/>
    </row>
    <row r="356">
      <c r="A356" s="63"/>
      <c r="B356" s="49"/>
      <c r="C356" s="49"/>
      <c r="D356" s="49"/>
      <c r="E356" s="49"/>
      <c r="F356" s="49"/>
      <c r="G356" s="49"/>
      <c r="H356" s="49"/>
      <c r="I356" s="49"/>
      <c r="J356" s="49"/>
    </row>
    <row r="357">
      <c r="A357" s="63"/>
      <c r="B357" s="49"/>
      <c r="C357" s="49"/>
      <c r="D357" s="49"/>
      <c r="E357" s="49"/>
      <c r="F357" s="49"/>
      <c r="G357" s="49"/>
      <c r="H357" s="49"/>
      <c r="I357" s="49"/>
      <c r="J357" s="49"/>
    </row>
    <row r="358">
      <c r="A358" s="63"/>
      <c r="B358" s="49"/>
      <c r="C358" s="49"/>
      <c r="D358" s="49"/>
      <c r="E358" s="49"/>
      <c r="F358" s="49"/>
      <c r="G358" s="49"/>
      <c r="H358" s="49"/>
      <c r="I358" s="49"/>
      <c r="J358" s="49"/>
    </row>
    <row r="359">
      <c r="A359" s="63"/>
      <c r="B359" s="49"/>
      <c r="C359" s="49"/>
      <c r="D359" s="49"/>
      <c r="E359" s="49"/>
      <c r="F359" s="49"/>
      <c r="G359" s="49"/>
      <c r="H359" s="49"/>
      <c r="I359" s="49"/>
      <c r="J359" s="49"/>
    </row>
    <row r="360">
      <c r="A360" s="63"/>
      <c r="B360" s="49"/>
      <c r="C360" s="49"/>
      <c r="D360" s="49"/>
      <c r="E360" s="49"/>
      <c r="F360" s="49"/>
      <c r="G360" s="49"/>
      <c r="H360" s="49"/>
      <c r="I360" s="49"/>
      <c r="J360" s="49"/>
    </row>
    <row r="361">
      <c r="A361" s="63"/>
      <c r="B361" s="49"/>
      <c r="C361" s="49"/>
      <c r="D361" s="49"/>
      <c r="E361" s="49"/>
      <c r="F361" s="49"/>
      <c r="G361" s="49"/>
      <c r="H361" s="49"/>
      <c r="I361" s="49"/>
      <c r="J361" s="49"/>
    </row>
    <row r="362">
      <c r="A362" s="63"/>
      <c r="B362" s="49"/>
      <c r="C362" s="49"/>
      <c r="D362" s="49"/>
      <c r="E362" s="49"/>
      <c r="F362" s="49"/>
      <c r="G362" s="49"/>
      <c r="H362" s="49"/>
      <c r="I362" s="49"/>
      <c r="J362" s="49"/>
    </row>
    <row r="363">
      <c r="A363" s="63"/>
      <c r="B363" s="49"/>
      <c r="C363" s="49"/>
      <c r="D363" s="49"/>
      <c r="E363" s="49"/>
      <c r="F363" s="49"/>
      <c r="G363" s="49"/>
      <c r="H363" s="49"/>
      <c r="I363" s="49"/>
      <c r="J363" s="49"/>
    </row>
    <row r="364">
      <c r="A364" s="63"/>
      <c r="B364" s="49"/>
      <c r="C364" s="49"/>
      <c r="D364" s="49"/>
      <c r="E364" s="49"/>
      <c r="F364" s="49"/>
      <c r="G364" s="49"/>
      <c r="H364" s="49"/>
      <c r="I364" s="49"/>
      <c r="J364" s="49"/>
    </row>
    <row r="365">
      <c r="A365" s="63"/>
      <c r="B365" s="49"/>
      <c r="C365" s="49"/>
      <c r="D365" s="49"/>
      <c r="E365" s="49"/>
      <c r="F365" s="49"/>
      <c r="G365" s="49"/>
      <c r="H365" s="49"/>
      <c r="I365" s="49"/>
      <c r="J365" s="49"/>
    </row>
    <row r="366">
      <c r="A366" s="63"/>
      <c r="B366" s="49"/>
      <c r="C366" s="49"/>
      <c r="D366" s="49"/>
      <c r="E366" s="49"/>
      <c r="F366" s="49"/>
      <c r="G366" s="49"/>
      <c r="H366" s="49"/>
      <c r="I366" s="49"/>
      <c r="J366" s="49"/>
    </row>
    <row r="367">
      <c r="A367" s="63"/>
      <c r="B367" s="49"/>
      <c r="C367" s="49"/>
      <c r="D367" s="49"/>
      <c r="E367" s="49"/>
      <c r="F367" s="49"/>
      <c r="G367" s="49"/>
      <c r="H367" s="49"/>
      <c r="I367" s="49"/>
      <c r="J367" s="49"/>
    </row>
    <row r="368">
      <c r="A368" s="63"/>
      <c r="B368" s="49"/>
      <c r="C368" s="49"/>
      <c r="D368" s="49"/>
      <c r="E368" s="49"/>
      <c r="F368" s="49"/>
      <c r="G368" s="49"/>
      <c r="H368" s="49"/>
      <c r="I368" s="49"/>
      <c r="J368" s="49"/>
    </row>
    <row r="369">
      <c r="A369" s="63"/>
      <c r="B369" s="49"/>
      <c r="C369" s="49"/>
      <c r="D369" s="49"/>
      <c r="E369" s="49"/>
      <c r="F369" s="49"/>
      <c r="G369" s="49"/>
      <c r="H369" s="49"/>
      <c r="I369" s="49"/>
      <c r="J369" s="49"/>
    </row>
    <row r="370">
      <c r="A370" s="63"/>
      <c r="B370" s="49"/>
      <c r="C370" s="49"/>
      <c r="D370" s="49"/>
      <c r="E370" s="49"/>
      <c r="F370" s="49"/>
      <c r="G370" s="49"/>
      <c r="H370" s="49"/>
      <c r="I370" s="49"/>
      <c r="J370" s="49"/>
    </row>
    <row r="371">
      <c r="A371" s="63"/>
      <c r="B371" s="49"/>
      <c r="C371" s="49"/>
      <c r="D371" s="49"/>
      <c r="E371" s="49"/>
      <c r="F371" s="49"/>
      <c r="G371" s="49"/>
      <c r="H371" s="49"/>
      <c r="I371" s="49"/>
      <c r="J371" s="49"/>
    </row>
    <row r="372">
      <c r="A372" s="63"/>
      <c r="B372" s="49"/>
      <c r="C372" s="49"/>
      <c r="D372" s="49"/>
      <c r="E372" s="49"/>
      <c r="F372" s="49"/>
      <c r="G372" s="49"/>
      <c r="H372" s="49"/>
      <c r="I372" s="49"/>
      <c r="J372" s="49"/>
    </row>
    <row r="373">
      <c r="A373" s="63"/>
      <c r="B373" s="49"/>
      <c r="C373" s="49"/>
      <c r="D373" s="49"/>
      <c r="E373" s="49"/>
      <c r="F373" s="49"/>
      <c r="G373" s="49"/>
      <c r="H373" s="49"/>
      <c r="I373" s="49"/>
      <c r="J373" s="49"/>
    </row>
    <row r="374">
      <c r="A374" s="63"/>
      <c r="B374" s="49"/>
      <c r="C374" s="49"/>
      <c r="D374" s="49"/>
      <c r="E374" s="49"/>
      <c r="F374" s="49"/>
      <c r="G374" s="49"/>
      <c r="H374" s="49"/>
      <c r="I374" s="49"/>
      <c r="J374" s="49"/>
    </row>
    <row r="375">
      <c r="A375" s="63"/>
      <c r="B375" s="49"/>
      <c r="C375" s="49"/>
      <c r="D375" s="49"/>
      <c r="E375" s="49"/>
      <c r="F375" s="49"/>
      <c r="G375" s="49"/>
      <c r="H375" s="49"/>
      <c r="I375" s="49"/>
      <c r="J375" s="49"/>
    </row>
    <row r="376">
      <c r="A376" s="63"/>
      <c r="B376" s="49"/>
      <c r="C376" s="49"/>
      <c r="D376" s="49"/>
      <c r="E376" s="49"/>
      <c r="F376" s="49"/>
      <c r="G376" s="49"/>
      <c r="H376" s="49"/>
      <c r="I376" s="49"/>
      <c r="J376" s="49"/>
    </row>
    <row r="377">
      <c r="A377" s="63"/>
      <c r="B377" s="49"/>
      <c r="C377" s="49"/>
      <c r="D377" s="49"/>
      <c r="E377" s="49"/>
      <c r="F377" s="49"/>
      <c r="G377" s="49"/>
      <c r="H377" s="49"/>
      <c r="I377" s="49"/>
      <c r="J377" s="49"/>
    </row>
    <row r="378">
      <c r="A378" s="63"/>
      <c r="B378" s="49"/>
      <c r="C378" s="49"/>
      <c r="D378" s="49"/>
      <c r="E378" s="49"/>
      <c r="F378" s="49"/>
      <c r="G378" s="49"/>
      <c r="H378" s="49"/>
      <c r="I378" s="49"/>
      <c r="J378" s="49"/>
    </row>
    <row r="379">
      <c r="A379" s="63"/>
      <c r="B379" s="49"/>
      <c r="C379" s="49"/>
      <c r="D379" s="49"/>
      <c r="E379" s="49"/>
      <c r="F379" s="49"/>
      <c r="G379" s="49"/>
      <c r="H379" s="49"/>
      <c r="I379" s="49"/>
      <c r="J379" s="49"/>
    </row>
    <row r="380">
      <c r="A380" s="63"/>
      <c r="B380" s="49"/>
      <c r="C380" s="49"/>
      <c r="D380" s="49"/>
      <c r="E380" s="49"/>
      <c r="F380" s="49"/>
      <c r="G380" s="49"/>
      <c r="H380" s="49"/>
      <c r="I380" s="49"/>
      <c r="J380" s="49"/>
    </row>
    <row r="381">
      <c r="A381" s="63"/>
      <c r="B381" s="49"/>
      <c r="C381" s="49"/>
      <c r="D381" s="49"/>
      <c r="E381" s="49"/>
      <c r="F381" s="49"/>
      <c r="G381" s="49"/>
      <c r="H381" s="49"/>
      <c r="I381" s="49"/>
      <c r="J381" s="49"/>
    </row>
    <row r="382">
      <c r="A382" s="63"/>
      <c r="B382" s="49"/>
      <c r="C382" s="49"/>
      <c r="D382" s="49"/>
      <c r="E382" s="49"/>
      <c r="F382" s="49"/>
      <c r="G382" s="49"/>
      <c r="H382" s="49"/>
      <c r="I382" s="49"/>
      <c r="J382" s="49"/>
    </row>
    <row r="383">
      <c r="A383" s="63"/>
      <c r="B383" s="49"/>
      <c r="C383" s="49"/>
      <c r="D383" s="49"/>
      <c r="E383" s="49"/>
      <c r="F383" s="49"/>
      <c r="G383" s="49"/>
      <c r="H383" s="49"/>
      <c r="I383" s="49"/>
      <c r="J383" s="49"/>
    </row>
    <row r="384">
      <c r="A384" s="63"/>
      <c r="B384" s="49"/>
      <c r="C384" s="49"/>
      <c r="D384" s="49"/>
      <c r="E384" s="49"/>
      <c r="F384" s="49"/>
      <c r="G384" s="49"/>
      <c r="H384" s="49"/>
      <c r="I384" s="49"/>
      <c r="J384" s="49"/>
    </row>
    <row r="385">
      <c r="A385" s="63"/>
      <c r="B385" s="49"/>
      <c r="C385" s="49"/>
      <c r="D385" s="49"/>
      <c r="E385" s="49"/>
      <c r="F385" s="49"/>
      <c r="G385" s="49"/>
      <c r="H385" s="49"/>
      <c r="I385" s="49"/>
      <c r="J385" s="49"/>
    </row>
    <row r="386">
      <c r="A386" s="63"/>
      <c r="B386" s="49"/>
      <c r="C386" s="49"/>
      <c r="D386" s="49"/>
      <c r="E386" s="49"/>
      <c r="F386" s="49"/>
      <c r="G386" s="49"/>
      <c r="H386" s="49"/>
      <c r="I386" s="49"/>
      <c r="J386" s="49"/>
    </row>
    <row r="387">
      <c r="A387" s="63"/>
      <c r="B387" s="49"/>
      <c r="C387" s="49"/>
      <c r="D387" s="49"/>
      <c r="E387" s="49"/>
      <c r="F387" s="49"/>
      <c r="G387" s="49"/>
      <c r="H387" s="49"/>
      <c r="I387" s="49"/>
      <c r="J387" s="49"/>
    </row>
    <row r="388">
      <c r="A388" s="63"/>
      <c r="B388" s="49"/>
      <c r="C388" s="49"/>
      <c r="D388" s="49"/>
      <c r="E388" s="49"/>
      <c r="F388" s="49"/>
      <c r="G388" s="49"/>
      <c r="H388" s="49"/>
      <c r="I388" s="49"/>
      <c r="J388" s="49"/>
    </row>
    <row r="389">
      <c r="A389" s="63"/>
      <c r="B389" s="49"/>
      <c r="C389" s="49"/>
      <c r="D389" s="49"/>
      <c r="E389" s="49"/>
      <c r="F389" s="49"/>
      <c r="G389" s="49"/>
      <c r="H389" s="49"/>
      <c r="I389" s="49"/>
      <c r="J389" s="49"/>
    </row>
    <row r="390">
      <c r="A390" s="63"/>
      <c r="B390" s="49"/>
      <c r="C390" s="49"/>
      <c r="D390" s="49"/>
      <c r="E390" s="49"/>
      <c r="F390" s="49"/>
      <c r="G390" s="49"/>
      <c r="H390" s="49"/>
      <c r="I390" s="49"/>
      <c r="J390" s="49"/>
    </row>
    <row r="391">
      <c r="A391" s="63"/>
      <c r="B391" s="49"/>
      <c r="C391" s="49"/>
      <c r="D391" s="49"/>
      <c r="E391" s="49"/>
      <c r="F391" s="49"/>
      <c r="G391" s="49"/>
      <c r="H391" s="49"/>
      <c r="I391" s="49"/>
      <c r="J391" s="49"/>
    </row>
    <row r="392">
      <c r="A392" s="63"/>
      <c r="B392" s="49"/>
      <c r="C392" s="49"/>
      <c r="D392" s="49"/>
      <c r="E392" s="49"/>
      <c r="F392" s="49"/>
      <c r="G392" s="49"/>
      <c r="H392" s="49"/>
      <c r="I392" s="49"/>
      <c r="J392" s="49"/>
    </row>
    <row r="393">
      <c r="A393" s="63"/>
      <c r="B393" s="49"/>
      <c r="C393" s="49"/>
      <c r="D393" s="49"/>
      <c r="E393" s="49"/>
      <c r="F393" s="49"/>
      <c r="G393" s="49"/>
      <c r="H393" s="49"/>
      <c r="I393" s="49"/>
      <c r="J393" s="49"/>
    </row>
    <row r="394">
      <c r="A394" s="63"/>
      <c r="B394" s="49"/>
      <c r="C394" s="49"/>
      <c r="D394" s="49"/>
      <c r="E394" s="49"/>
      <c r="F394" s="49"/>
      <c r="G394" s="49"/>
      <c r="H394" s="49"/>
      <c r="I394" s="49"/>
      <c r="J394" s="49"/>
    </row>
    <row r="395">
      <c r="A395" s="63"/>
      <c r="B395" s="49"/>
      <c r="C395" s="49"/>
      <c r="D395" s="49"/>
      <c r="E395" s="49"/>
      <c r="F395" s="49"/>
      <c r="G395" s="49"/>
      <c r="H395" s="49"/>
      <c r="I395" s="49"/>
      <c r="J395" s="49"/>
    </row>
    <row r="396">
      <c r="A396" s="63"/>
      <c r="B396" s="49"/>
      <c r="C396" s="49"/>
      <c r="D396" s="49"/>
      <c r="E396" s="49"/>
      <c r="F396" s="49"/>
      <c r="G396" s="49"/>
      <c r="H396" s="49"/>
      <c r="I396" s="49"/>
      <c r="J396" s="49"/>
    </row>
    <row r="397">
      <c r="A397" s="63"/>
      <c r="B397" s="49"/>
      <c r="C397" s="49"/>
      <c r="D397" s="49"/>
      <c r="E397" s="49"/>
      <c r="F397" s="49"/>
      <c r="G397" s="49"/>
      <c r="H397" s="49"/>
      <c r="I397" s="49"/>
      <c r="J397" s="49"/>
    </row>
    <row r="398">
      <c r="A398" s="63"/>
      <c r="B398" s="49"/>
      <c r="C398" s="49"/>
      <c r="D398" s="49"/>
      <c r="E398" s="49"/>
      <c r="F398" s="49"/>
      <c r="G398" s="49"/>
      <c r="H398" s="49"/>
      <c r="I398" s="49"/>
      <c r="J398" s="49"/>
    </row>
    <row r="399">
      <c r="A399" s="63"/>
      <c r="B399" s="49"/>
      <c r="C399" s="49"/>
      <c r="D399" s="49"/>
      <c r="E399" s="49"/>
      <c r="F399" s="49"/>
      <c r="G399" s="49"/>
      <c r="H399" s="49"/>
      <c r="I399" s="49"/>
      <c r="J399" s="49"/>
    </row>
    <row r="400">
      <c r="A400" s="63"/>
      <c r="B400" s="49"/>
      <c r="C400" s="49"/>
      <c r="D400" s="49"/>
      <c r="E400" s="49"/>
      <c r="F400" s="49"/>
      <c r="G400" s="49"/>
      <c r="H400" s="49"/>
      <c r="I400" s="49"/>
      <c r="J400" s="49"/>
    </row>
    <row r="401">
      <c r="A401" s="63"/>
      <c r="B401" s="49"/>
      <c r="C401" s="49"/>
      <c r="D401" s="49"/>
      <c r="E401" s="49"/>
      <c r="F401" s="49"/>
      <c r="G401" s="49"/>
      <c r="H401" s="49"/>
      <c r="I401" s="49"/>
      <c r="J401" s="49"/>
    </row>
    <row r="402">
      <c r="A402" s="63"/>
      <c r="B402" s="49"/>
      <c r="C402" s="49"/>
      <c r="D402" s="49"/>
      <c r="E402" s="49"/>
      <c r="F402" s="49"/>
      <c r="G402" s="49"/>
      <c r="H402" s="49"/>
      <c r="I402" s="49"/>
      <c r="J402" s="49"/>
    </row>
    <row r="403">
      <c r="A403" s="63"/>
      <c r="B403" s="49"/>
      <c r="C403" s="49"/>
      <c r="D403" s="49"/>
      <c r="E403" s="49"/>
      <c r="F403" s="49"/>
      <c r="G403" s="49"/>
      <c r="H403" s="49"/>
      <c r="I403" s="49"/>
      <c r="J403" s="49"/>
    </row>
    <row r="404">
      <c r="A404" s="63"/>
      <c r="B404" s="49"/>
      <c r="C404" s="49"/>
      <c r="D404" s="49"/>
      <c r="E404" s="49"/>
      <c r="F404" s="49"/>
      <c r="G404" s="49"/>
      <c r="H404" s="49"/>
      <c r="I404" s="49"/>
      <c r="J404" s="49"/>
    </row>
    <row r="405">
      <c r="A405" s="63"/>
      <c r="B405" s="49"/>
      <c r="C405" s="49"/>
      <c r="D405" s="49"/>
      <c r="E405" s="49"/>
      <c r="F405" s="49"/>
      <c r="G405" s="49"/>
      <c r="H405" s="49"/>
      <c r="I405" s="49"/>
      <c r="J405" s="49"/>
    </row>
    <row r="406">
      <c r="A406" s="63"/>
      <c r="B406" s="49"/>
      <c r="C406" s="49"/>
      <c r="D406" s="49"/>
      <c r="E406" s="49"/>
      <c r="F406" s="49"/>
      <c r="G406" s="49"/>
      <c r="H406" s="49"/>
      <c r="I406" s="49"/>
      <c r="J406" s="49"/>
    </row>
    <row r="407">
      <c r="A407" s="63"/>
      <c r="B407" s="49"/>
      <c r="C407" s="49"/>
      <c r="D407" s="49"/>
      <c r="E407" s="49"/>
      <c r="F407" s="49"/>
      <c r="G407" s="49"/>
      <c r="H407" s="49"/>
      <c r="I407" s="49"/>
      <c r="J407" s="49"/>
    </row>
    <row r="408">
      <c r="A408" s="63"/>
      <c r="B408" s="49"/>
      <c r="C408" s="49"/>
      <c r="D408" s="49"/>
      <c r="E408" s="49"/>
      <c r="F408" s="49"/>
      <c r="G408" s="49"/>
      <c r="H408" s="49"/>
      <c r="I408" s="49"/>
      <c r="J408" s="49"/>
    </row>
    <row r="409">
      <c r="A409" s="63"/>
      <c r="B409" s="49"/>
      <c r="C409" s="49"/>
      <c r="D409" s="49"/>
      <c r="E409" s="49"/>
      <c r="F409" s="49"/>
      <c r="G409" s="49"/>
      <c r="H409" s="49"/>
      <c r="I409" s="49"/>
      <c r="J409" s="49"/>
    </row>
    <row r="410">
      <c r="A410" s="63"/>
      <c r="B410" s="49"/>
      <c r="C410" s="49"/>
      <c r="D410" s="49"/>
      <c r="E410" s="49"/>
      <c r="F410" s="49"/>
      <c r="G410" s="49"/>
      <c r="H410" s="49"/>
      <c r="I410" s="49"/>
      <c r="J410" s="49"/>
    </row>
    <row r="411">
      <c r="A411" s="63"/>
      <c r="B411" s="49"/>
      <c r="C411" s="49"/>
      <c r="D411" s="49"/>
      <c r="E411" s="49"/>
      <c r="F411" s="49"/>
      <c r="G411" s="49"/>
      <c r="H411" s="49"/>
      <c r="I411" s="49"/>
      <c r="J411" s="49"/>
    </row>
    <row r="412">
      <c r="A412" s="63"/>
      <c r="B412" s="49"/>
      <c r="C412" s="49"/>
      <c r="D412" s="49"/>
      <c r="E412" s="49"/>
      <c r="F412" s="49"/>
      <c r="G412" s="49"/>
      <c r="H412" s="49"/>
      <c r="I412" s="49"/>
      <c r="J412" s="49"/>
    </row>
    <row r="413">
      <c r="A413" s="63"/>
      <c r="B413" s="49"/>
      <c r="C413" s="49"/>
      <c r="D413" s="49"/>
      <c r="E413" s="49"/>
      <c r="F413" s="49"/>
      <c r="G413" s="49"/>
      <c r="H413" s="49"/>
      <c r="I413" s="49"/>
      <c r="J413" s="49"/>
    </row>
    <row r="414">
      <c r="A414" s="63"/>
      <c r="B414" s="49"/>
      <c r="C414" s="49"/>
      <c r="D414" s="49"/>
      <c r="E414" s="49"/>
      <c r="F414" s="49"/>
      <c r="G414" s="49"/>
      <c r="H414" s="49"/>
      <c r="I414" s="49"/>
      <c r="J414" s="49"/>
    </row>
    <row r="415">
      <c r="A415" s="63"/>
      <c r="B415" s="49"/>
      <c r="C415" s="49"/>
      <c r="D415" s="49"/>
      <c r="E415" s="49"/>
      <c r="F415" s="49"/>
      <c r="G415" s="49"/>
      <c r="H415" s="49"/>
      <c r="I415" s="49"/>
      <c r="J415" s="49"/>
    </row>
    <row r="416">
      <c r="A416" s="63"/>
      <c r="B416" s="49"/>
      <c r="C416" s="49"/>
      <c r="D416" s="49"/>
      <c r="E416" s="49"/>
      <c r="F416" s="49"/>
      <c r="G416" s="49"/>
      <c r="H416" s="49"/>
      <c r="I416" s="49"/>
      <c r="J416" s="49"/>
    </row>
    <row r="417">
      <c r="A417" s="63"/>
      <c r="B417" s="49"/>
      <c r="C417" s="49"/>
      <c r="D417" s="49"/>
      <c r="E417" s="49"/>
      <c r="F417" s="49"/>
      <c r="G417" s="49"/>
      <c r="H417" s="49"/>
      <c r="I417" s="49"/>
      <c r="J417" s="49"/>
    </row>
    <row r="418">
      <c r="A418" s="63"/>
      <c r="B418" s="49"/>
      <c r="C418" s="49"/>
      <c r="D418" s="49"/>
      <c r="E418" s="49"/>
      <c r="F418" s="49"/>
      <c r="G418" s="49"/>
      <c r="H418" s="49"/>
      <c r="I418" s="49"/>
      <c r="J418" s="49"/>
    </row>
    <row r="419">
      <c r="A419" s="63"/>
      <c r="B419" s="49"/>
      <c r="C419" s="49"/>
      <c r="D419" s="49"/>
      <c r="E419" s="49"/>
      <c r="F419" s="49"/>
      <c r="G419" s="49"/>
      <c r="H419" s="49"/>
      <c r="I419" s="49"/>
      <c r="J419" s="49"/>
    </row>
    <row r="420">
      <c r="A420" s="63"/>
      <c r="B420" s="49"/>
      <c r="C420" s="49"/>
      <c r="D420" s="49"/>
      <c r="E420" s="49"/>
      <c r="F420" s="49"/>
      <c r="G420" s="49"/>
      <c r="H420" s="49"/>
      <c r="I420" s="49"/>
      <c r="J420" s="49"/>
    </row>
    <row r="421">
      <c r="A421" s="63"/>
      <c r="B421" s="49"/>
      <c r="C421" s="49"/>
      <c r="D421" s="49"/>
      <c r="E421" s="49"/>
      <c r="F421" s="49"/>
      <c r="G421" s="49"/>
      <c r="H421" s="49"/>
      <c r="I421" s="49"/>
      <c r="J421" s="49"/>
    </row>
    <row r="422">
      <c r="A422" s="63"/>
      <c r="B422" s="49"/>
      <c r="C422" s="49"/>
      <c r="D422" s="49"/>
      <c r="E422" s="49"/>
      <c r="F422" s="49"/>
      <c r="G422" s="49"/>
      <c r="H422" s="49"/>
      <c r="I422" s="49"/>
      <c r="J422" s="49"/>
    </row>
    <row r="423">
      <c r="A423" s="63"/>
      <c r="B423" s="49"/>
      <c r="C423" s="49"/>
      <c r="D423" s="49"/>
      <c r="E423" s="49"/>
      <c r="F423" s="49"/>
      <c r="G423" s="49"/>
      <c r="H423" s="49"/>
      <c r="I423" s="49"/>
      <c r="J423" s="49"/>
    </row>
    <row r="424">
      <c r="A424" s="63"/>
      <c r="B424" s="49"/>
      <c r="C424" s="49"/>
      <c r="D424" s="49"/>
      <c r="E424" s="49"/>
      <c r="F424" s="49"/>
      <c r="G424" s="49"/>
      <c r="H424" s="49"/>
      <c r="I424" s="49"/>
      <c r="J424" s="49"/>
    </row>
    <row r="425">
      <c r="A425" s="63"/>
      <c r="B425" s="49"/>
      <c r="C425" s="49"/>
      <c r="D425" s="49"/>
      <c r="E425" s="49"/>
      <c r="F425" s="49"/>
      <c r="G425" s="49"/>
      <c r="H425" s="49"/>
      <c r="I425" s="49"/>
      <c r="J425" s="49"/>
    </row>
    <row r="426">
      <c r="A426" s="63"/>
      <c r="B426" s="49"/>
      <c r="C426" s="49"/>
      <c r="D426" s="49"/>
      <c r="E426" s="49"/>
      <c r="F426" s="49"/>
      <c r="G426" s="49"/>
      <c r="H426" s="49"/>
      <c r="I426" s="49"/>
      <c r="J426" s="49"/>
    </row>
    <row r="427">
      <c r="A427" s="63"/>
      <c r="B427" s="49"/>
      <c r="C427" s="49"/>
      <c r="D427" s="49"/>
      <c r="E427" s="49"/>
      <c r="F427" s="49"/>
      <c r="G427" s="49"/>
      <c r="H427" s="49"/>
      <c r="I427" s="49"/>
      <c r="J427" s="49"/>
    </row>
    <row r="428">
      <c r="A428" s="63"/>
      <c r="B428" s="49"/>
      <c r="C428" s="49"/>
      <c r="D428" s="49"/>
      <c r="E428" s="49"/>
      <c r="F428" s="49"/>
      <c r="G428" s="49"/>
      <c r="H428" s="49"/>
      <c r="I428" s="49"/>
      <c r="J428" s="49"/>
    </row>
    <row r="429">
      <c r="A429" s="63"/>
      <c r="B429" s="49"/>
      <c r="C429" s="49"/>
      <c r="D429" s="49"/>
      <c r="E429" s="49"/>
      <c r="F429" s="49"/>
      <c r="G429" s="49"/>
      <c r="H429" s="49"/>
      <c r="I429" s="49"/>
      <c r="J429" s="49"/>
    </row>
    <row r="430">
      <c r="A430" s="63"/>
      <c r="B430" s="49"/>
      <c r="C430" s="49"/>
      <c r="D430" s="49"/>
      <c r="E430" s="49"/>
      <c r="F430" s="49"/>
      <c r="G430" s="49"/>
      <c r="H430" s="49"/>
      <c r="I430" s="49"/>
      <c r="J430" s="49"/>
    </row>
    <row r="431">
      <c r="A431" s="63"/>
      <c r="B431" s="49"/>
      <c r="C431" s="49"/>
      <c r="D431" s="49"/>
      <c r="E431" s="49"/>
      <c r="F431" s="49"/>
      <c r="G431" s="49"/>
      <c r="H431" s="49"/>
      <c r="I431" s="49"/>
      <c r="J431" s="49"/>
    </row>
    <row r="432">
      <c r="A432" s="63"/>
      <c r="B432" s="49"/>
      <c r="C432" s="49"/>
      <c r="D432" s="49"/>
      <c r="E432" s="49"/>
      <c r="F432" s="49"/>
      <c r="G432" s="49"/>
      <c r="H432" s="49"/>
      <c r="I432" s="49"/>
      <c r="J432" s="49"/>
    </row>
    <row r="433">
      <c r="A433" s="63"/>
      <c r="B433" s="49"/>
      <c r="C433" s="49"/>
      <c r="D433" s="49"/>
      <c r="E433" s="49"/>
      <c r="F433" s="49"/>
      <c r="G433" s="49"/>
      <c r="H433" s="49"/>
      <c r="I433" s="49"/>
      <c r="J433" s="49"/>
    </row>
    <row r="434">
      <c r="A434" s="63"/>
      <c r="B434" s="49"/>
      <c r="C434" s="49"/>
      <c r="D434" s="49"/>
      <c r="E434" s="49"/>
      <c r="F434" s="49"/>
      <c r="G434" s="49"/>
      <c r="H434" s="49"/>
      <c r="I434" s="49"/>
      <c r="J434" s="49"/>
    </row>
    <row r="435">
      <c r="A435" s="63"/>
      <c r="B435" s="49"/>
      <c r="C435" s="49"/>
      <c r="D435" s="49"/>
      <c r="E435" s="49"/>
      <c r="F435" s="49"/>
      <c r="G435" s="49"/>
      <c r="H435" s="49"/>
      <c r="I435" s="49"/>
      <c r="J435" s="49"/>
    </row>
    <row r="436">
      <c r="A436" s="63"/>
      <c r="B436" s="49"/>
      <c r="C436" s="49"/>
      <c r="D436" s="49"/>
      <c r="E436" s="49"/>
      <c r="F436" s="49"/>
      <c r="G436" s="49"/>
      <c r="H436" s="49"/>
      <c r="I436" s="49"/>
      <c r="J436" s="49"/>
    </row>
    <row r="437">
      <c r="A437" s="63"/>
      <c r="B437" s="49"/>
      <c r="C437" s="49"/>
      <c r="D437" s="49"/>
      <c r="E437" s="49"/>
      <c r="F437" s="49"/>
      <c r="G437" s="49"/>
      <c r="H437" s="49"/>
      <c r="I437" s="49"/>
      <c r="J437" s="49"/>
    </row>
    <row r="438">
      <c r="A438" s="63"/>
      <c r="B438" s="49"/>
      <c r="C438" s="49"/>
      <c r="D438" s="49"/>
      <c r="E438" s="49"/>
      <c r="F438" s="49"/>
      <c r="G438" s="49"/>
      <c r="H438" s="49"/>
      <c r="I438" s="49"/>
      <c r="J438" s="49"/>
    </row>
    <row r="439">
      <c r="A439" s="63"/>
      <c r="B439" s="49"/>
      <c r="C439" s="49"/>
      <c r="D439" s="49"/>
      <c r="E439" s="49"/>
      <c r="F439" s="49"/>
      <c r="G439" s="49"/>
      <c r="H439" s="49"/>
      <c r="I439" s="49"/>
      <c r="J439" s="49"/>
    </row>
    <row r="440">
      <c r="A440" s="63"/>
      <c r="B440" s="49"/>
      <c r="C440" s="49"/>
      <c r="D440" s="49"/>
      <c r="E440" s="49"/>
      <c r="F440" s="49"/>
      <c r="G440" s="49"/>
      <c r="H440" s="49"/>
      <c r="I440" s="49"/>
      <c r="J440" s="49"/>
    </row>
    <row r="441">
      <c r="A441" s="63"/>
      <c r="B441" s="49"/>
      <c r="C441" s="49"/>
      <c r="D441" s="49"/>
      <c r="E441" s="49"/>
      <c r="F441" s="49"/>
      <c r="G441" s="49"/>
      <c r="H441" s="49"/>
      <c r="I441" s="49"/>
      <c r="J441" s="49"/>
    </row>
    <row r="442">
      <c r="A442" s="63"/>
      <c r="B442" s="49"/>
      <c r="C442" s="49"/>
      <c r="D442" s="49"/>
      <c r="E442" s="49"/>
      <c r="F442" s="49"/>
      <c r="G442" s="49"/>
      <c r="H442" s="49"/>
      <c r="I442" s="49"/>
      <c r="J442" s="49"/>
    </row>
    <row r="443">
      <c r="A443" s="63"/>
      <c r="B443" s="49"/>
      <c r="C443" s="49"/>
      <c r="D443" s="49"/>
      <c r="E443" s="49"/>
      <c r="F443" s="49"/>
      <c r="G443" s="49"/>
      <c r="H443" s="49"/>
      <c r="I443" s="49"/>
      <c r="J443" s="49"/>
    </row>
    <row r="444">
      <c r="A444" s="63"/>
      <c r="B444" s="49"/>
      <c r="C444" s="49"/>
      <c r="D444" s="49"/>
      <c r="E444" s="49"/>
      <c r="F444" s="49"/>
      <c r="G444" s="49"/>
      <c r="H444" s="49"/>
      <c r="I444" s="49"/>
      <c r="J444" s="49"/>
    </row>
    <row r="445">
      <c r="A445" s="63"/>
      <c r="B445" s="49"/>
      <c r="C445" s="49"/>
      <c r="D445" s="49"/>
      <c r="E445" s="49"/>
      <c r="F445" s="49"/>
      <c r="G445" s="49"/>
      <c r="H445" s="49"/>
      <c r="I445" s="49"/>
      <c r="J445" s="49"/>
    </row>
    <row r="446">
      <c r="A446" s="63"/>
      <c r="B446" s="49"/>
      <c r="C446" s="49"/>
      <c r="D446" s="49"/>
      <c r="E446" s="49"/>
      <c r="F446" s="49"/>
      <c r="G446" s="49"/>
      <c r="H446" s="49"/>
      <c r="I446" s="49"/>
      <c r="J446" s="49"/>
    </row>
    <row r="447">
      <c r="A447" s="63"/>
      <c r="B447" s="49"/>
      <c r="C447" s="49"/>
      <c r="D447" s="49"/>
      <c r="E447" s="49"/>
      <c r="F447" s="49"/>
      <c r="G447" s="49"/>
      <c r="H447" s="49"/>
      <c r="I447" s="49"/>
      <c r="J447" s="49"/>
    </row>
    <row r="448">
      <c r="A448" s="63"/>
      <c r="B448" s="49"/>
      <c r="C448" s="49"/>
      <c r="D448" s="49"/>
      <c r="E448" s="49"/>
      <c r="F448" s="49"/>
      <c r="G448" s="49"/>
      <c r="H448" s="49"/>
      <c r="I448" s="49"/>
      <c r="J448" s="49"/>
    </row>
    <row r="449">
      <c r="A449" s="63"/>
      <c r="B449" s="49"/>
      <c r="C449" s="49"/>
      <c r="D449" s="49"/>
      <c r="E449" s="49"/>
      <c r="F449" s="49"/>
      <c r="G449" s="49"/>
      <c r="H449" s="49"/>
      <c r="I449" s="49"/>
      <c r="J449" s="49"/>
    </row>
    <row r="450">
      <c r="A450" s="63"/>
      <c r="B450" s="49"/>
      <c r="C450" s="49"/>
      <c r="D450" s="49"/>
      <c r="E450" s="49"/>
      <c r="F450" s="49"/>
      <c r="G450" s="49"/>
      <c r="H450" s="49"/>
      <c r="I450" s="49"/>
      <c r="J450" s="49"/>
    </row>
    <row r="451">
      <c r="A451" s="63"/>
      <c r="B451" s="49"/>
      <c r="C451" s="49"/>
      <c r="D451" s="49"/>
      <c r="E451" s="49"/>
      <c r="F451" s="49"/>
      <c r="G451" s="49"/>
      <c r="H451" s="49"/>
      <c r="I451" s="49"/>
      <c r="J451" s="49"/>
    </row>
    <row r="452">
      <c r="A452" s="63"/>
      <c r="B452" s="49"/>
      <c r="C452" s="49"/>
      <c r="D452" s="49"/>
      <c r="E452" s="49"/>
      <c r="F452" s="49"/>
      <c r="G452" s="49"/>
      <c r="H452" s="49"/>
      <c r="I452" s="49"/>
      <c r="J452" s="49"/>
    </row>
    <row r="453">
      <c r="A453" s="63"/>
      <c r="B453" s="49"/>
      <c r="C453" s="49"/>
      <c r="D453" s="49"/>
      <c r="E453" s="49"/>
      <c r="F453" s="49"/>
      <c r="G453" s="49"/>
      <c r="H453" s="49"/>
      <c r="I453" s="49"/>
      <c r="J453" s="49"/>
    </row>
    <row r="454">
      <c r="A454" s="63"/>
      <c r="B454" s="49"/>
      <c r="C454" s="49"/>
      <c r="D454" s="49"/>
      <c r="E454" s="49"/>
      <c r="F454" s="49"/>
      <c r="G454" s="49"/>
      <c r="H454" s="49"/>
      <c r="I454" s="49"/>
      <c r="J454" s="49"/>
    </row>
    <row r="455">
      <c r="A455" s="63"/>
      <c r="B455" s="49"/>
      <c r="C455" s="49"/>
      <c r="D455" s="49"/>
      <c r="E455" s="49"/>
      <c r="F455" s="49"/>
      <c r="G455" s="49"/>
      <c r="H455" s="49"/>
      <c r="I455" s="49"/>
      <c r="J455" s="49"/>
    </row>
    <row r="456">
      <c r="A456" s="63"/>
      <c r="B456" s="49"/>
      <c r="C456" s="49"/>
      <c r="D456" s="49"/>
      <c r="E456" s="49"/>
      <c r="F456" s="49"/>
      <c r="G456" s="49"/>
      <c r="H456" s="49"/>
      <c r="I456" s="49"/>
      <c r="J456" s="49"/>
    </row>
    <row r="457">
      <c r="A457" s="63"/>
      <c r="B457" s="49"/>
      <c r="C457" s="49"/>
      <c r="D457" s="49"/>
      <c r="E457" s="49"/>
      <c r="F457" s="49"/>
      <c r="G457" s="49"/>
      <c r="H457" s="49"/>
      <c r="I457" s="49"/>
      <c r="J457" s="49"/>
    </row>
    <row r="458">
      <c r="A458" s="63"/>
      <c r="B458" s="49"/>
      <c r="C458" s="49"/>
      <c r="D458" s="49"/>
      <c r="E458" s="49"/>
      <c r="F458" s="49"/>
      <c r="G458" s="49"/>
      <c r="H458" s="49"/>
      <c r="I458" s="49"/>
      <c r="J458" s="49"/>
    </row>
    <row r="459">
      <c r="A459" s="63"/>
      <c r="B459" s="49"/>
      <c r="C459" s="49"/>
      <c r="D459" s="49"/>
      <c r="E459" s="49"/>
      <c r="F459" s="49"/>
      <c r="G459" s="49"/>
      <c r="H459" s="49"/>
      <c r="I459" s="49"/>
      <c r="J459" s="49"/>
    </row>
    <row r="460">
      <c r="A460" s="63"/>
      <c r="B460" s="49"/>
      <c r="C460" s="49"/>
      <c r="D460" s="49"/>
      <c r="E460" s="49"/>
      <c r="F460" s="49"/>
      <c r="G460" s="49"/>
      <c r="H460" s="49"/>
      <c r="I460" s="49"/>
      <c r="J460" s="49"/>
    </row>
    <row r="461">
      <c r="A461" s="63"/>
      <c r="B461" s="49"/>
      <c r="C461" s="49"/>
      <c r="D461" s="49"/>
      <c r="E461" s="49"/>
      <c r="F461" s="49"/>
      <c r="G461" s="49"/>
      <c r="H461" s="49"/>
      <c r="I461" s="49"/>
      <c r="J461" s="49"/>
    </row>
    <row r="462">
      <c r="A462" s="63"/>
      <c r="B462" s="49"/>
      <c r="C462" s="49"/>
      <c r="D462" s="49"/>
      <c r="E462" s="49"/>
      <c r="F462" s="49"/>
      <c r="G462" s="49"/>
      <c r="H462" s="49"/>
      <c r="I462" s="49"/>
      <c r="J462" s="49"/>
    </row>
    <row r="463">
      <c r="A463" s="63"/>
      <c r="B463" s="49"/>
      <c r="C463" s="49"/>
      <c r="D463" s="49"/>
      <c r="E463" s="49"/>
      <c r="F463" s="49"/>
      <c r="G463" s="49"/>
      <c r="H463" s="49"/>
      <c r="I463" s="49"/>
      <c r="J463" s="49"/>
    </row>
    <row r="464">
      <c r="A464" s="63"/>
      <c r="B464" s="49"/>
      <c r="C464" s="49"/>
      <c r="D464" s="49"/>
      <c r="E464" s="49"/>
      <c r="F464" s="49"/>
      <c r="G464" s="49"/>
      <c r="H464" s="49"/>
      <c r="I464" s="49"/>
      <c r="J464" s="49"/>
    </row>
    <row r="465">
      <c r="A465" s="63"/>
      <c r="B465" s="49"/>
      <c r="C465" s="49"/>
      <c r="D465" s="49"/>
      <c r="E465" s="49"/>
      <c r="F465" s="49"/>
      <c r="G465" s="49"/>
      <c r="H465" s="49"/>
      <c r="I465" s="49"/>
      <c r="J465" s="49"/>
    </row>
    <row r="466">
      <c r="A466" s="63"/>
      <c r="B466" s="49"/>
      <c r="C466" s="49"/>
      <c r="D466" s="49"/>
      <c r="E466" s="49"/>
      <c r="F466" s="49"/>
      <c r="G466" s="49"/>
      <c r="H466" s="49"/>
      <c r="I466" s="49"/>
      <c r="J466" s="49"/>
    </row>
    <row r="467">
      <c r="A467" s="63"/>
      <c r="B467" s="49"/>
      <c r="C467" s="49"/>
      <c r="D467" s="49"/>
      <c r="E467" s="49"/>
      <c r="F467" s="49"/>
      <c r="G467" s="49"/>
      <c r="H467" s="49"/>
      <c r="I467" s="49"/>
      <c r="J467" s="49"/>
    </row>
    <row r="468">
      <c r="A468" s="63"/>
      <c r="B468" s="49"/>
      <c r="C468" s="49"/>
      <c r="D468" s="49"/>
      <c r="E468" s="49"/>
      <c r="F468" s="49"/>
      <c r="G468" s="49"/>
      <c r="H468" s="49"/>
      <c r="I468" s="49"/>
      <c r="J468" s="49"/>
    </row>
    <row r="469">
      <c r="A469" s="63"/>
      <c r="B469" s="49"/>
      <c r="C469" s="49"/>
      <c r="D469" s="49"/>
      <c r="E469" s="49"/>
      <c r="F469" s="49"/>
      <c r="G469" s="49"/>
      <c r="H469" s="49"/>
      <c r="I469" s="49"/>
      <c r="J469" s="49"/>
    </row>
    <row r="470">
      <c r="A470" s="63"/>
      <c r="B470" s="49"/>
      <c r="C470" s="49"/>
      <c r="D470" s="49"/>
      <c r="E470" s="49"/>
      <c r="F470" s="49"/>
      <c r="G470" s="49"/>
      <c r="H470" s="49"/>
      <c r="I470" s="49"/>
      <c r="J470" s="49"/>
    </row>
    <row r="471">
      <c r="A471" s="63"/>
      <c r="B471" s="49"/>
      <c r="C471" s="49"/>
      <c r="D471" s="49"/>
      <c r="E471" s="49"/>
      <c r="F471" s="49"/>
      <c r="G471" s="49"/>
      <c r="H471" s="49"/>
      <c r="I471" s="49"/>
      <c r="J471" s="49"/>
    </row>
    <row r="472">
      <c r="A472" s="63"/>
      <c r="B472" s="49"/>
      <c r="C472" s="49"/>
      <c r="D472" s="49"/>
      <c r="E472" s="49"/>
      <c r="F472" s="49"/>
      <c r="G472" s="49"/>
      <c r="H472" s="49"/>
      <c r="I472" s="49"/>
      <c r="J472" s="49"/>
    </row>
    <row r="473">
      <c r="A473" s="63"/>
      <c r="B473" s="49"/>
      <c r="C473" s="49"/>
      <c r="D473" s="49"/>
      <c r="E473" s="49"/>
      <c r="F473" s="49"/>
      <c r="G473" s="49"/>
      <c r="H473" s="49"/>
      <c r="I473" s="49"/>
      <c r="J473" s="49"/>
    </row>
    <row r="474">
      <c r="A474" s="63"/>
      <c r="B474" s="49"/>
      <c r="C474" s="49"/>
      <c r="D474" s="49"/>
      <c r="E474" s="49"/>
      <c r="F474" s="49"/>
      <c r="G474" s="49"/>
      <c r="H474" s="49"/>
      <c r="I474" s="49"/>
      <c r="J474" s="49"/>
    </row>
    <row r="475">
      <c r="A475" s="63"/>
      <c r="B475" s="49"/>
      <c r="C475" s="49"/>
      <c r="D475" s="49"/>
      <c r="E475" s="49"/>
      <c r="F475" s="49"/>
      <c r="G475" s="49"/>
      <c r="H475" s="49"/>
      <c r="I475" s="49"/>
      <c r="J475" s="49"/>
    </row>
    <row r="476">
      <c r="A476" s="63"/>
      <c r="B476" s="49"/>
      <c r="C476" s="49"/>
      <c r="D476" s="49"/>
      <c r="E476" s="49"/>
      <c r="F476" s="49"/>
      <c r="G476" s="49"/>
      <c r="H476" s="49"/>
      <c r="I476" s="49"/>
      <c r="J476" s="49"/>
    </row>
    <row r="477">
      <c r="A477" s="63"/>
      <c r="B477" s="49"/>
      <c r="C477" s="49"/>
      <c r="D477" s="49"/>
      <c r="E477" s="49"/>
      <c r="F477" s="49"/>
      <c r="G477" s="49"/>
      <c r="H477" s="49"/>
      <c r="I477" s="49"/>
      <c r="J477" s="49"/>
    </row>
    <row r="478">
      <c r="A478" s="63"/>
      <c r="B478" s="49"/>
      <c r="C478" s="49"/>
      <c r="D478" s="49"/>
      <c r="E478" s="49"/>
      <c r="F478" s="49"/>
      <c r="G478" s="49"/>
      <c r="H478" s="49"/>
      <c r="I478" s="49"/>
      <c r="J478" s="49"/>
    </row>
    <row r="479">
      <c r="A479" s="63"/>
      <c r="B479" s="49"/>
      <c r="C479" s="49"/>
      <c r="D479" s="49"/>
      <c r="E479" s="49"/>
      <c r="F479" s="49"/>
      <c r="G479" s="49"/>
      <c r="H479" s="49"/>
      <c r="I479" s="49"/>
      <c r="J479" s="49"/>
    </row>
    <row r="480">
      <c r="A480" s="63"/>
      <c r="B480" s="49"/>
      <c r="C480" s="49"/>
      <c r="D480" s="49"/>
      <c r="E480" s="49"/>
      <c r="F480" s="49"/>
      <c r="G480" s="49"/>
      <c r="H480" s="49"/>
      <c r="I480" s="49"/>
      <c r="J480" s="49"/>
    </row>
    <row r="481">
      <c r="A481" s="63"/>
      <c r="B481" s="49"/>
      <c r="C481" s="49"/>
      <c r="D481" s="49"/>
      <c r="E481" s="49"/>
      <c r="F481" s="49"/>
      <c r="G481" s="49"/>
      <c r="H481" s="49"/>
      <c r="I481" s="49"/>
      <c r="J481" s="49"/>
    </row>
    <row r="482">
      <c r="A482" s="63"/>
      <c r="B482" s="49"/>
      <c r="C482" s="49"/>
      <c r="D482" s="49"/>
      <c r="E482" s="49"/>
      <c r="F482" s="49"/>
      <c r="G482" s="49"/>
      <c r="H482" s="49"/>
      <c r="I482" s="49"/>
      <c r="J482" s="49"/>
    </row>
    <row r="483">
      <c r="A483" s="63"/>
      <c r="B483" s="49"/>
      <c r="C483" s="49"/>
      <c r="D483" s="49"/>
      <c r="E483" s="49"/>
      <c r="F483" s="49"/>
      <c r="G483" s="49"/>
      <c r="H483" s="49"/>
      <c r="I483" s="49"/>
      <c r="J483" s="49"/>
    </row>
    <row r="484">
      <c r="A484" s="63"/>
      <c r="B484" s="49"/>
      <c r="C484" s="49"/>
      <c r="D484" s="49"/>
      <c r="E484" s="49"/>
      <c r="F484" s="49"/>
      <c r="G484" s="49"/>
      <c r="H484" s="49"/>
      <c r="I484" s="49"/>
      <c r="J484" s="49"/>
    </row>
    <row r="485">
      <c r="A485" s="63"/>
      <c r="B485" s="49"/>
      <c r="C485" s="49"/>
      <c r="D485" s="49"/>
      <c r="E485" s="49"/>
      <c r="F485" s="49"/>
      <c r="G485" s="49"/>
      <c r="H485" s="49"/>
      <c r="I485" s="49"/>
      <c r="J485" s="49"/>
    </row>
    <row r="486">
      <c r="A486" s="63"/>
      <c r="B486" s="49"/>
      <c r="C486" s="49"/>
      <c r="D486" s="49"/>
      <c r="E486" s="49"/>
      <c r="F486" s="49"/>
      <c r="G486" s="49"/>
      <c r="H486" s="49"/>
      <c r="I486" s="49"/>
      <c r="J486" s="49"/>
    </row>
    <row r="487">
      <c r="A487" s="63"/>
      <c r="B487" s="49"/>
      <c r="C487" s="49"/>
      <c r="D487" s="49"/>
      <c r="E487" s="49"/>
      <c r="F487" s="49"/>
      <c r="G487" s="49"/>
      <c r="H487" s="49"/>
      <c r="I487" s="49"/>
      <c r="J487" s="49"/>
    </row>
    <row r="488">
      <c r="A488" s="63"/>
      <c r="B488" s="49"/>
      <c r="C488" s="49"/>
      <c r="D488" s="49"/>
      <c r="E488" s="49"/>
      <c r="F488" s="49"/>
      <c r="G488" s="49"/>
      <c r="H488" s="49"/>
      <c r="I488" s="49"/>
      <c r="J488" s="49"/>
    </row>
    <row r="489">
      <c r="A489" s="63"/>
      <c r="B489" s="49"/>
      <c r="C489" s="49"/>
      <c r="D489" s="49"/>
      <c r="E489" s="49"/>
      <c r="F489" s="49"/>
      <c r="G489" s="49"/>
      <c r="H489" s="49"/>
      <c r="I489" s="49"/>
      <c r="J489" s="49"/>
    </row>
    <row r="490">
      <c r="A490" s="63"/>
      <c r="B490" s="49"/>
      <c r="C490" s="49"/>
      <c r="D490" s="49"/>
      <c r="E490" s="49"/>
      <c r="F490" s="49"/>
      <c r="G490" s="49"/>
      <c r="H490" s="49"/>
      <c r="I490" s="49"/>
      <c r="J490" s="49"/>
    </row>
    <row r="491">
      <c r="A491" s="63"/>
      <c r="B491" s="49"/>
      <c r="C491" s="49"/>
      <c r="D491" s="49"/>
      <c r="E491" s="49"/>
      <c r="F491" s="49"/>
      <c r="G491" s="49"/>
      <c r="H491" s="49"/>
      <c r="I491" s="49"/>
      <c r="J491" s="49"/>
    </row>
    <row r="492">
      <c r="A492" s="63"/>
      <c r="B492" s="49"/>
      <c r="C492" s="49"/>
      <c r="D492" s="49"/>
      <c r="E492" s="49"/>
      <c r="F492" s="49"/>
      <c r="G492" s="49"/>
      <c r="H492" s="49"/>
      <c r="I492" s="49"/>
      <c r="J492" s="49"/>
    </row>
    <row r="493">
      <c r="A493" s="63"/>
      <c r="B493" s="49"/>
      <c r="C493" s="49"/>
      <c r="D493" s="49"/>
      <c r="E493" s="49"/>
      <c r="F493" s="49"/>
      <c r="G493" s="49"/>
      <c r="H493" s="49"/>
      <c r="I493" s="49"/>
      <c r="J493" s="49"/>
    </row>
    <row r="494">
      <c r="A494" s="63"/>
      <c r="B494" s="49"/>
      <c r="C494" s="49"/>
      <c r="D494" s="49"/>
      <c r="E494" s="49"/>
      <c r="F494" s="49"/>
      <c r="G494" s="49"/>
      <c r="H494" s="49"/>
      <c r="I494" s="49"/>
      <c r="J494" s="49"/>
    </row>
    <row r="495">
      <c r="A495" s="63"/>
      <c r="B495" s="49"/>
      <c r="C495" s="49"/>
      <c r="D495" s="49"/>
      <c r="E495" s="49"/>
      <c r="F495" s="49"/>
      <c r="G495" s="49"/>
      <c r="H495" s="49"/>
      <c r="I495" s="49"/>
      <c r="J495" s="49"/>
    </row>
    <row r="496">
      <c r="A496" s="63"/>
      <c r="B496" s="49"/>
      <c r="C496" s="49"/>
      <c r="D496" s="49"/>
      <c r="E496" s="49"/>
      <c r="F496" s="49"/>
      <c r="G496" s="49"/>
      <c r="H496" s="49"/>
      <c r="I496" s="49"/>
      <c r="J496" s="49"/>
    </row>
    <row r="497">
      <c r="A497" s="63"/>
      <c r="B497" s="49"/>
      <c r="C497" s="49"/>
      <c r="D497" s="49"/>
      <c r="E497" s="49"/>
      <c r="F497" s="49"/>
      <c r="G497" s="49"/>
      <c r="H497" s="49"/>
      <c r="I497" s="49"/>
      <c r="J497" s="49"/>
    </row>
    <row r="498">
      <c r="A498" s="63"/>
      <c r="B498" s="49"/>
      <c r="C498" s="49"/>
      <c r="D498" s="49"/>
      <c r="E498" s="49"/>
      <c r="F498" s="49"/>
      <c r="G498" s="49"/>
      <c r="H498" s="49"/>
      <c r="I498" s="49"/>
      <c r="J498" s="49"/>
    </row>
    <row r="499">
      <c r="A499" s="63"/>
      <c r="B499" s="49"/>
      <c r="C499" s="49"/>
      <c r="D499" s="49"/>
      <c r="E499" s="49"/>
      <c r="F499" s="49"/>
      <c r="G499" s="49"/>
      <c r="H499" s="49"/>
      <c r="I499" s="49"/>
      <c r="J499" s="49"/>
    </row>
    <row r="500">
      <c r="A500" s="63"/>
      <c r="B500" s="49"/>
      <c r="C500" s="49"/>
      <c r="D500" s="49"/>
      <c r="E500" s="49"/>
      <c r="F500" s="49"/>
      <c r="G500" s="49"/>
      <c r="H500" s="49"/>
      <c r="I500" s="49"/>
      <c r="J500" s="49"/>
    </row>
    <row r="501">
      <c r="A501" s="63"/>
      <c r="B501" s="49"/>
      <c r="C501" s="49"/>
      <c r="D501" s="49"/>
      <c r="E501" s="49"/>
      <c r="F501" s="49"/>
      <c r="G501" s="49"/>
      <c r="H501" s="49"/>
      <c r="I501" s="49"/>
      <c r="J501" s="49"/>
    </row>
    <row r="502">
      <c r="A502" s="63"/>
      <c r="B502" s="49"/>
      <c r="C502" s="49"/>
      <c r="D502" s="49"/>
      <c r="E502" s="49"/>
      <c r="F502" s="49"/>
      <c r="G502" s="49"/>
      <c r="H502" s="49"/>
      <c r="I502" s="49"/>
      <c r="J502" s="49"/>
    </row>
    <row r="503">
      <c r="A503" s="63"/>
      <c r="B503" s="49"/>
      <c r="C503" s="49"/>
      <c r="D503" s="49"/>
      <c r="E503" s="49"/>
      <c r="F503" s="49"/>
      <c r="G503" s="49"/>
      <c r="H503" s="49"/>
      <c r="I503" s="49"/>
      <c r="J503" s="49"/>
    </row>
    <row r="504">
      <c r="A504" s="63"/>
      <c r="B504" s="49"/>
      <c r="C504" s="49"/>
      <c r="D504" s="49"/>
      <c r="E504" s="49"/>
      <c r="F504" s="49"/>
      <c r="G504" s="49"/>
      <c r="H504" s="49"/>
      <c r="I504" s="49"/>
      <c r="J504" s="49"/>
    </row>
    <row r="505">
      <c r="A505" s="63"/>
      <c r="B505" s="49"/>
      <c r="C505" s="49"/>
      <c r="D505" s="49"/>
      <c r="E505" s="49"/>
      <c r="F505" s="49"/>
      <c r="G505" s="49"/>
      <c r="H505" s="49"/>
      <c r="I505" s="49"/>
      <c r="J505" s="49"/>
    </row>
    <row r="506">
      <c r="A506" s="63"/>
      <c r="B506" s="49"/>
      <c r="C506" s="49"/>
      <c r="D506" s="49"/>
      <c r="E506" s="49"/>
      <c r="F506" s="49"/>
      <c r="G506" s="49"/>
      <c r="H506" s="49"/>
      <c r="I506" s="49"/>
      <c r="J506" s="49"/>
    </row>
    <row r="507">
      <c r="A507" s="63"/>
      <c r="B507" s="49"/>
      <c r="C507" s="49"/>
      <c r="D507" s="49"/>
      <c r="E507" s="49"/>
      <c r="F507" s="49"/>
      <c r="G507" s="49"/>
      <c r="H507" s="49"/>
      <c r="I507" s="49"/>
      <c r="J507" s="49"/>
    </row>
    <row r="508">
      <c r="A508" s="63"/>
      <c r="B508" s="49"/>
      <c r="C508" s="49"/>
      <c r="D508" s="49"/>
      <c r="E508" s="49"/>
      <c r="F508" s="49"/>
      <c r="G508" s="49"/>
      <c r="H508" s="49"/>
      <c r="I508" s="49"/>
      <c r="J508" s="49"/>
    </row>
    <row r="509">
      <c r="A509" s="63"/>
      <c r="B509" s="49"/>
      <c r="C509" s="49"/>
      <c r="D509" s="49"/>
      <c r="E509" s="49"/>
      <c r="F509" s="49"/>
      <c r="G509" s="49"/>
      <c r="H509" s="49"/>
      <c r="I509" s="49"/>
      <c r="J509" s="49"/>
    </row>
    <row r="510">
      <c r="A510" s="63"/>
      <c r="B510" s="49"/>
      <c r="C510" s="49"/>
      <c r="D510" s="49"/>
      <c r="E510" s="49"/>
      <c r="F510" s="49"/>
      <c r="G510" s="49"/>
      <c r="H510" s="49"/>
      <c r="I510" s="49"/>
      <c r="J510" s="49"/>
    </row>
    <row r="511">
      <c r="A511" s="63"/>
      <c r="B511" s="49"/>
      <c r="C511" s="49"/>
      <c r="D511" s="49"/>
      <c r="E511" s="49"/>
      <c r="F511" s="49"/>
      <c r="G511" s="49"/>
      <c r="H511" s="49"/>
      <c r="I511" s="49"/>
      <c r="J511" s="49"/>
    </row>
    <row r="512">
      <c r="A512" s="63"/>
      <c r="B512" s="49"/>
      <c r="C512" s="49"/>
      <c r="D512" s="49"/>
      <c r="E512" s="49"/>
      <c r="F512" s="49"/>
      <c r="G512" s="49"/>
      <c r="H512" s="49"/>
      <c r="I512" s="49"/>
      <c r="J512" s="49"/>
    </row>
    <row r="513">
      <c r="A513" s="63"/>
      <c r="B513" s="49"/>
      <c r="C513" s="49"/>
      <c r="D513" s="49"/>
      <c r="E513" s="49"/>
      <c r="F513" s="49"/>
      <c r="G513" s="49"/>
      <c r="H513" s="49"/>
      <c r="I513" s="49"/>
      <c r="J513" s="49"/>
    </row>
    <row r="514">
      <c r="A514" s="63"/>
      <c r="B514" s="49"/>
      <c r="C514" s="49"/>
      <c r="D514" s="49"/>
      <c r="E514" s="49"/>
      <c r="F514" s="49"/>
      <c r="G514" s="49"/>
      <c r="H514" s="49"/>
      <c r="I514" s="49"/>
      <c r="J514" s="49"/>
    </row>
    <row r="515">
      <c r="A515" s="63"/>
      <c r="B515" s="49"/>
      <c r="C515" s="49"/>
      <c r="D515" s="49"/>
      <c r="E515" s="49"/>
      <c r="F515" s="49"/>
      <c r="G515" s="49"/>
      <c r="H515" s="49"/>
      <c r="I515" s="49"/>
      <c r="J515" s="49"/>
    </row>
    <row r="516">
      <c r="A516" s="63"/>
      <c r="B516" s="49"/>
      <c r="C516" s="49"/>
      <c r="D516" s="49"/>
      <c r="E516" s="49"/>
      <c r="F516" s="49"/>
      <c r="G516" s="49"/>
      <c r="H516" s="49"/>
      <c r="I516" s="49"/>
      <c r="J516" s="49"/>
    </row>
    <row r="517">
      <c r="A517" s="63"/>
      <c r="B517" s="49"/>
      <c r="C517" s="49"/>
      <c r="D517" s="49"/>
      <c r="E517" s="49"/>
      <c r="F517" s="49"/>
      <c r="G517" s="49"/>
      <c r="H517" s="49"/>
      <c r="I517" s="49"/>
      <c r="J517" s="49"/>
    </row>
    <row r="518">
      <c r="A518" s="63"/>
      <c r="B518" s="49"/>
      <c r="C518" s="49"/>
      <c r="D518" s="49"/>
      <c r="E518" s="49"/>
      <c r="F518" s="49"/>
      <c r="G518" s="49"/>
      <c r="H518" s="49"/>
      <c r="I518" s="49"/>
      <c r="J518" s="49"/>
    </row>
    <row r="519">
      <c r="A519" s="63"/>
      <c r="B519" s="49"/>
      <c r="C519" s="49"/>
      <c r="D519" s="49"/>
      <c r="E519" s="49"/>
      <c r="F519" s="49"/>
      <c r="G519" s="49"/>
      <c r="H519" s="49"/>
      <c r="I519" s="49"/>
      <c r="J519" s="49"/>
    </row>
    <row r="520">
      <c r="A520" s="63"/>
      <c r="B520" s="49"/>
      <c r="C520" s="49"/>
      <c r="D520" s="49"/>
      <c r="E520" s="49"/>
      <c r="F520" s="49"/>
      <c r="G520" s="49"/>
      <c r="H520" s="49"/>
      <c r="I520" s="49"/>
      <c r="J520" s="49"/>
    </row>
    <row r="521">
      <c r="A521" s="63"/>
      <c r="B521" s="49"/>
      <c r="C521" s="49"/>
      <c r="D521" s="49"/>
      <c r="E521" s="49"/>
      <c r="F521" s="49"/>
      <c r="G521" s="49"/>
      <c r="H521" s="49"/>
      <c r="I521" s="49"/>
      <c r="J521" s="49"/>
    </row>
    <row r="522">
      <c r="A522" s="63"/>
      <c r="B522" s="49"/>
      <c r="C522" s="49"/>
      <c r="D522" s="49"/>
      <c r="E522" s="49"/>
      <c r="F522" s="49"/>
      <c r="G522" s="49"/>
      <c r="H522" s="49"/>
      <c r="I522" s="49"/>
      <c r="J522" s="49"/>
    </row>
    <row r="523">
      <c r="A523" s="63"/>
      <c r="B523" s="49"/>
      <c r="C523" s="49"/>
      <c r="D523" s="49"/>
      <c r="E523" s="49"/>
      <c r="F523" s="49"/>
      <c r="G523" s="49"/>
      <c r="H523" s="49"/>
      <c r="I523" s="49"/>
      <c r="J523" s="49"/>
    </row>
    <row r="524">
      <c r="A524" s="63"/>
      <c r="B524" s="49"/>
      <c r="C524" s="49"/>
      <c r="D524" s="49"/>
      <c r="E524" s="49"/>
      <c r="F524" s="49"/>
      <c r="G524" s="49"/>
      <c r="H524" s="49"/>
      <c r="I524" s="49"/>
      <c r="J524" s="49"/>
    </row>
    <row r="525">
      <c r="A525" s="63"/>
      <c r="B525" s="49"/>
      <c r="C525" s="49"/>
      <c r="D525" s="49"/>
      <c r="E525" s="49"/>
      <c r="F525" s="49"/>
      <c r="G525" s="49"/>
      <c r="H525" s="49"/>
      <c r="I525" s="49"/>
      <c r="J525" s="49"/>
    </row>
    <row r="526">
      <c r="A526" s="63"/>
      <c r="B526" s="49"/>
      <c r="C526" s="49"/>
      <c r="D526" s="49"/>
      <c r="E526" s="49"/>
      <c r="F526" s="49"/>
      <c r="G526" s="49"/>
      <c r="H526" s="49"/>
      <c r="I526" s="49"/>
      <c r="J526" s="49"/>
    </row>
    <row r="527">
      <c r="A527" s="63"/>
      <c r="B527" s="49"/>
      <c r="C527" s="49"/>
      <c r="D527" s="49"/>
      <c r="E527" s="49"/>
      <c r="F527" s="49"/>
      <c r="G527" s="49"/>
      <c r="H527" s="49"/>
      <c r="I527" s="49"/>
      <c r="J527" s="49"/>
    </row>
    <row r="528">
      <c r="A528" s="63"/>
      <c r="B528" s="49"/>
      <c r="C528" s="49"/>
      <c r="D528" s="49"/>
      <c r="E528" s="49"/>
      <c r="F528" s="49"/>
      <c r="G528" s="49"/>
      <c r="H528" s="49"/>
      <c r="I528" s="49"/>
      <c r="J528" s="49"/>
    </row>
    <row r="529">
      <c r="A529" s="63"/>
      <c r="B529" s="49"/>
      <c r="C529" s="49"/>
      <c r="D529" s="49"/>
      <c r="E529" s="49"/>
      <c r="F529" s="49"/>
      <c r="G529" s="49"/>
      <c r="H529" s="49"/>
      <c r="I529" s="49"/>
      <c r="J529" s="49"/>
    </row>
    <row r="530">
      <c r="A530" s="63"/>
      <c r="B530" s="49"/>
      <c r="C530" s="49"/>
      <c r="D530" s="49"/>
      <c r="E530" s="49"/>
      <c r="F530" s="49"/>
      <c r="G530" s="49"/>
      <c r="H530" s="49"/>
      <c r="I530" s="49"/>
      <c r="J530" s="49"/>
    </row>
    <row r="531">
      <c r="A531" s="63"/>
      <c r="B531" s="49"/>
      <c r="C531" s="49"/>
      <c r="D531" s="49"/>
      <c r="E531" s="49"/>
      <c r="F531" s="49"/>
      <c r="G531" s="49"/>
      <c r="H531" s="49"/>
      <c r="I531" s="49"/>
      <c r="J531" s="49"/>
    </row>
    <row r="532">
      <c r="A532" s="63"/>
      <c r="B532" s="49"/>
      <c r="C532" s="49"/>
      <c r="D532" s="49"/>
      <c r="E532" s="49"/>
      <c r="F532" s="49"/>
      <c r="G532" s="49"/>
      <c r="H532" s="49"/>
      <c r="I532" s="49"/>
      <c r="J532" s="49"/>
    </row>
    <row r="533">
      <c r="A533" s="63"/>
      <c r="B533" s="49"/>
      <c r="C533" s="49"/>
      <c r="D533" s="49"/>
      <c r="E533" s="49"/>
      <c r="F533" s="49"/>
      <c r="G533" s="49"/>
      <c r="H533" s="49"/>
      <c r="I533" s="49"/>
      <c r="J533" s="49"/>
    </row>
    <row r="534">
      <c r="A534" s="63"/>
      <c r="B534" s="49"/>
      <c r="C534" s="49"/>
      <c r="D534" s="49"/>
      <c r="E534" s="49"/>
      <c r="F534" s="49"/>
      <c r="G534" s="49"/>
      <c r="H534" s="49"/>
      <c r="I534" s="49"/>
      <c r="J534" s="49"/>
    </row>
    <row r="535">
      <c r="A535" s="63"/>
      <c r="B535" s="49"/>
      <c r="C535" s="49"/>
      <c r="D535" s="49"/>
      <c r="E535" s="49"/>
      <c r="F535" s="49"/>
      <c r="G535" s="49"/>
      <c r="H535" s="49"/>
      <c r="I535" s="49"/>
      <c r="J535" s="49"/>
    </row>
    <row r="536">
      <c r="A536" s="63"/>
      <c r="B536" s="49"/>
      <c r="C536" s="49"/>
      <c r="D536" s="49"/>
      <c r="E536" s="49"/>
      <c r="F536" s="49"/>
      <c r="G536" s="49"/>
      <c r="H536" s="49"/>
      <c r="I536" s="49"/>
      <c r="J536" s="49"/>
    </row>
    <row r="537">
      <c r="A537" s="63"/>
      <c r="B537" s="49"/>
      <c r="C537" s="49"/>
      <c r="D537" s="49"/>
      <c r="E537" s="49"/>
      <c r="F537" s="49"/>
      <c r="G537" s="49"/>
      <c r="H537" s="49"/>
      <c r="I537" s="49"/>
      <c r="J537" s="49"/>
    </row>
    <row r="538">
      <c r="A538" s="63"/>
      <c r="B538" s="49"/>
      <c r="C538" s="49"/>
      <c r="D538" s="49"/>
      <c r="E538" s="49"/>
      <c r="F538" s="49"/>
      <c r="G538" s="49"/>
      <c r="H538" s="49"/>
      <c r="I538" s="49"/>
      <c r="J538" s="49"/>
    </row>
    <row r="539">
      <c r="A539" s="63"/>
      <c r="B539" s="49"/>
      <c r="C539" s="49"/>
      <c r="D539" s="49"/>
      <c r="E539" s="49"/>
      <c r="F539" s="49"/>
      <c r="G539" s="49"/>
      <c r="H539" s="49"/>
      <c r="I539" s="49"/>
      <c r="J539" s="49"/>
    </row>
    <row r="540">
      <c r="A540" s="63"/>
      <c r="B540" s="49"/>
      <c r="C540" s="49"/>
      <c r="D540" s="49"/>
      <c r="E540" s="49"/>
      <c r="F540" s="49"/>
      <c r="G540" s="49"/>
      <c r="H540" s="49"/>
      <c r="I540" s="49"/>
      <c r="J540" s="49"/>
    </row>
    <row r="541">
      <c r="A541" s="63"/>
      <c r="B541" s="49"/>
      <c r="C541" s="49"/>
      <c r="D541" s="49"/>
      <c r="E541" s="49"/>
      <c r="F541" s="49"/>
      <c r="G541" s="49"/>
      <c r="H541" s="49"/>
      <c r="I541" s="49"/>
      <c r="J541" s="49"/>
    </row>
    <row r="542">
      <c r="A542" s="63"/>
      <c r="B542" s="49"/>
      <c r="C542" s="49"/>
      <c r="D542" s="49"/>
      <c r="E542" s="49"/>
      <c r="F542" s="49"/>
      <c r="G542" s="49"/>
      <c r="H542" s="49"/>
      <c r="I542" s="49"/>
      <c r="J542" s="49"/>
    </row>
    <row r="543">
      <c r="A543" s="63"/>
      <c r="B543" s="49"/>
      <c r="C543" s="49"/>
      <c r="D543" s="49"/>
      <c r="E543" s="49"/>
      <c r="F543" s="49"/>
      <c r="G543" s="49"/>
      <c r="H543" s="49"/>
      <c r="I543" s="49"/>
      <c r="J543" s="49"/>
    </row>
    <row r="544">
      <c r="A544" s="63"/>
      <c r="B544" s="49"/>
      <c r="C544" s="49"/>
      <c r="D544" s="49"/>
      <c r="E544" s="49"/>
      <c r="F544" s="49"/>
      <c r="G544" s="49"/>
      <c r="H544" s="49"/>
      <c r="I544" s="49"/>
      <c r="J544" s="49"/>
    </row>
    <row r="545">
      <c r="A545" s="63"/>
      <c r="B545" s="49"/>
      <c r="C545" s="49"/>
      <c r="D545" s="49"/>
      <c r="E545" s="49"/>
      <c r="F545" s="49"/>
      <c r="G545" s="49"/>
      <c r="H545" s="49"/>
      <c r="I545" s="49"/>
      <c r="J545" s="49"/>
    </row>
    <row r="546">
      <c r="A546" s="63"/>
      <c r="B546" s="49"/>
      <c r="C546" s="49"/>
      <c r="D546" s="49"/>
      <c r="E546" s="49"/>
      <c r="F546" s="49"/>
      <c r="G546" s="49"/>
      <c r="H546" s="49"/>
      <c r="I546" s="49"/>
      <c r="J546" s="49"/>
    </row>
    <row r="547">
      <c r="A547" s="63"/>
      <c r="B547" s="49"/>
      <c r="C547" s="49"/>
      <c r="D547" s="49"/>
      <c r="E547" s="49"/>
      <c r="F547" s="49"/>
      <c r="G547" s="49"/>
      <c r="H547" s="49"/>
      <c r="I547" s="49"/>
      <c r="J547" s="49"/>
    </row>
    <row r="548">
      <c r="A548" s="63"/>
      <c r="B548" s="49"/>
      <c r="C548" s="49"/>
      <c r="D548" s="49"/>
      <c r="E548" s="49"/>
      <c r="F548" s="49"/>
      <c r="G548" s="49"/>
      <c r="H548" s="49"/>
      <c r="I548" s="49"/>
      <c r="J548" s="49"/>
    </row>
    <row r="549">
      <c r="A549" s="63"/>
      <c r="B549" s="49"/>
      <c r="C549" s="49"/>
      <c r="D549" s="49"/>
      <c r="E549" s="49"/>
      <c r="F549" s="49"/>
      <c r="G549" s="49"/>
      <c r="H549" s="49"/>
      <c r="I549" s="49"/>
      <c r="J549" s="49"/>
    </row>
    <row r="550">
      <c r="A550" s="63"/>
      <c r="B550" s="49"/>
      <c r="C550" s="49"/>
      <c r="D550" s="49"/>
      <c r="E550" s="49"/>
      <c r="F550" s="49"/>
      <c r="G550" s="49"/>
      <c r="H550" s="49"/>
      <c r="I550" s="49"/>
      <c r="J550" s="49"/>
    </row>
    <row r="551">
      <c r="A551" s="63"/>
      <c r="B551" s="49"/>
      <c r="C551" s="49"/>
      <c r="D551" s="49"/>
      <c r="E551" s="49"/>
      <c r="F551" s="49"/>
      <c r="G551" s="49"/>
      <c r="H551" s="49"/>
      <c r="I551" s="49"/>
      <c r="J551" s="49"/>
    </row>
    <row r="552">
      <c r="A552" s="63"/>
      <c r="B552" s="49"/>
      <c r="C552" s="49"/>
      <c r="D552" s="49"/>
      <c r="E552" s="49"/>
      <c r="F552" s="49"/>
      <c r="G552" s="49"/>
      <c r="H552" s="49"/>
      <c r="I552" s="49"/>
      <c r="J552" s="49"/>
    </row>
    <row r="553">
      <c r="A553" s="63"/>
      <c r="B553" s="49"/>
      <c r="C553" s="49"/>
      <c r="D553" s="49"/>
      <c r="E553" s="49"/>
      <c r="F553" s="49"/>
      <c r="G553" s="49"/>
      <c r="H553" s="49"/>
      <c r="I553" s="49"/>
      <c r="J553" s="49"/>
    </row>
    <row r="554">
      <c r="A554" s="63"/>
      <c r="B554" s="49"/>
      <c r="C554" s="49"/>
      <c r="D554" s="49"/>
      <c r="E554" s="49"/>
      <c r="F554" s="49"/>
      <c r="G554" s="49"/>
      <c r="H554" s="49"/>
      <c r="I554" s="49"/>
      <c r="J554" s="49"/>
    </row>
    <row r="555">
      <c r="A555" s="63"/>
      <c r="B555" s="49"/>
      <c r="C555" s="49"/>
      <c r="D555" s="49"/>
      <c r="E555" s="49"/>
      <c r="F555" s="49"/>
      <c r="G555" s="49"/>
      <c r="H555" s="49"/>
      <c r="I555" s="49"/>
      <c r="J555" s="49"/>
    </row>
    <row r="556">
      <c r="A556" s="63"/>
      <c r="B556" s="49"/>
      <c r="C556" s="49"/>
      <c r="D556" s="49"/>
      <c r="E556" s="49"/>
      <c r="F556" s="49"/>
      <c r="G556" s="49"/>
      <c r="H556" s="49"/>
      <c r="I556" s="49"/>
      <c r="J556" s="49"/>
    </row>
    <row r="557">
      <c r="A557" s="63"/>
      <c r="B557" s="49"/>
      <c r="C557" s="49"/>
      <c r="D557" s="49"/>
      <c r="E557" s="49"/>
      <c r="F557" s="49"/>
      <c r="G557" s="49"/>
      <c r="H557" s="49"/>
      <c r="I557" s="49"/>
      <c r="J557" s="49"/>
    </row>
    <row r="558">
      <c r="A558" s="63"/>
      <c r="B558" s="49"/>
      <c r="C558" s="49"/>
      <c r="D558" s="49"/>
      <c r="E558" s="49"/>
      <c r="F558" s="49"/>
      <c r="G558" s="49"/>
      <c r="H558" s="49"/>
      <c r="I558" s="49"/>
      <c r="J558" s="49"/>
    </row>
    <row r="559">
      <c r="A559" s="63"/>
      <c r="B559" s="49"/>
      <c r="C559" s="49"/>
      <c r="D559" s="49"/>
      <c r="E559" s="49"/>
      <c r="F559" s="49"/>
      <c r="G559" s="49"/>
      <c r="H559" s="49"/>
      <c r="I559" s="49"/>
      <c r="J559" s="49"/>
    </row>
    <row r="560">
      <c r="A560" s="63"/>
      <c r="B560" s="49"/>
      <c r="C560" s="49"/>
      <c r="D560" s="49"/>
      <c r="E560" s="49"/>
      <c r="F560" s="49"/>
      <c r="G560" s="49"/>
      <c r="H560" s="49"/>
      <c r="I560" s="49"/>
      <c r="J560" s="49"/>
    </row>
    <row r="561">
      <c r="A561" s="63"/>
      <c r="B561" s="49"/>
      <c r="C561" s="49"/>
      <c r="D561" s="49"/>
      <c r="E561" s="49"/>
      <c r="F561" s="49"/>
      <c r="G561" s="49"/>
      <c r="H561" s="49"/>
      <c r="I561" s="49"/>
      <c r="J561" s="49"/>
    </row>
    <row r="562">
      <c r="A562" s="63"/>
      <c r="B562" s="49"/>
      <c r="C562" s="49"/>
      <c r="D562" s="49"/>
      <c r="E562" s="49"/>
      <c r="F562" s="49"/>
      <c r="G562" s="49"/>
      <c r="H562" s="49"/>
      <c r="I562" s="49"/>
      <c r="J562" s="49"/>
    </row>
    <row r="563">
      <c r="A563" s="63"/>
      <c r="B563" s="49"/>
      <c r="C563" s="49"/>
      <c r="D563" s="49"/>
      <c r="E563" s="49"/>
      <c r="F563" s="49"/>
      <c r="G563" s="49"/>
      <c r="H563" s="49"/>
      <c r="I563" s="49"/>
      <c r="J563" s="49"/>
    </row>
    <row r="564">
      <c r="A564" s="63"/>
      <c r="B564" s="49"/>
      <c r="C564" s="49"/>
      <c r="D564" s="49"/>
      <c r="E564" s="49"/>
      <c r="F564" s="49"/>
      <c r="G564" s="49"/>
      <c r="H564" s="49"/>
      <c r="I564" s="49"/>
      <c r="J564" s="49"/>
    </row>
    <row r="565">
      <c r="A565" s="63"/>
      <c r="B565" s="49"/>
      <c r="C565" s="49"/>
      <c r="D565" s="49"/>
      <c r="E565" s="49"/>
      <c r="F565" s="49"/>
      <c r="G565" s="49"/>
      <c r="H565" s="49"/>
      <c r="I565" s="49"/>
      <c r="J565" s="49"/>
    </row>
    <row r="566">
      <c r="A566" s="63"/>
      <c r="B566" s="49"/>
      <c r="C566" s="49"/>
      <c r="D566" s="49"/>
      <c r="E566" s="49"/>
      <c r="F566" s="49"/>
      <c r="G566" s="49"/>
      <c r="H566" s="49"/>
      <c r="I566" s="49"/>
      <c r="J566" s="49"/>
    </row>
    <row r="567">
      <c r="A567" s="63"/>
      <c r="B567" s="49"/>
      <c r="C567" s="49"/>
      <c r="D567" s="49"/>
      <c r="E567" s="49"/>
      <c r="F567" s="49"/>
      <c r="G567" s="49"/>
      <c r="H567" s="49"/>
      <c r="I567" s="49"/>
      <c r="J567" s="49"/>
    </row>
    <row r="568">
      <c r="A568" s="63"/>
      <c r="B568" s="49"/>
      <c r="C568" s="49"/>
      <c r="D568" s="49"/>
      <c r="E568" s="49"/>
      <c r="F568" s="49"/>
      <c r="G568" s="49"/>
      <c r="H568" s="49"/>
      <c r="I568" s="49"/>
      <c r="J568" s="49"/>
    </row>
    <row r="569">
      <c r="A569" s="63"/>
      <c r="B569" s="49"/>
      <c r="C569" s="49"/>
      <c r="D569" s="49"/>
      <c r="E569" s="49"/>
      <c r="F569" s="49"/>
      <c r="G569" s="49"/>
      <c r="H569" s="49"/>
      <c r="I569" s="49"/>
      <c r="J569" s="49"/>
    </row>
    <row r="570">
      <c r="A570" s="63"/>
      <c r="B570" s="49"/>
      <c r="C570" s="49"/>
      <c r="D570" s="49"/>
      <c r="E570" s="49"/>
      <c r="F570" s="49"/>
      <c r="G570" s="49"/>
      <c r="H570" s="49"/>
      <c r="I570" s="49"/>
      <c r="J570" s="49"/>
    </row>
    <row r="571">
      <c r="A571" s="63"/>
      <c r="B571" s="49"/>
      <c r="C571" s="49"/>
      <c r="D571" s="49"/>
      <c r="E571" s="49"/>
      <c r="F571" s="49"/>
      <c r="G571" s="49"/>
      <c r="H571" s="49"/>
      <c r="I571" s="49"/>
      <c r="J571" s="49"/>
    </row>
    <row r="572">
      <c r="A572" s="63"/>
      <c r="B572" s="49"/>
      <c r="C572" s="49"/>
      <c r="D572" s="49"/>
      <c r="E572" s="49"/>
      <c r="F572" s="49"/>
      <c r="G572" s="49"/>
      <c r="H572" s="49"/>
      <c r="I572" s="49"/>
      <c r="J572" s="49"/>
    </row>
    <row r="573">
      <c r="A573" s="63"/>
      <c r="B573" s="49"/>
      <c r="C573" s="49"/>
      <c r="D573" s="49"/>
      <c r="E573" s="49"/>
      <c r="F573" s="49"/>
      <c r="G573" s="49"/>
      <c r="H573" s="49"/>
      <c r="I573" s="49"/>
      <c r="J573" s="49"/>
    </row>
    <row r="574">
      <c r="A574" s="63"/>
      <c r="B574" s="49"/>
      <c r="C574" s="49"/>
      <c r="D574" s="49"/>
      <c r="E574" s="49"/>
      <c r="F574" s="49"/>
      <c r="G574" s="49"/>
      <c r="H574" s="49"/>
      <c r="I574" s="49"/>
      <c r="J574" s="49"/>
    </row>
    <row r="575">
      <c r="A575" s="63"/>
      <c r="B575" s="49"/>
      <c r="C575" s="49"/>
      <c r="D575" s="49"/>
      <c r="E575" s="49"/>
      <c r="F575" s="49"/>
      <c r="G575" s="49"/>
      <c r="H575" s="49"/>
      <c r="I575" s="49"/>
      <c r="J575" s="49"/>
    </row>
    <row r="576">
      <c r="A576" s="63"/>
      <c r="B576" s="49"/>
      <c r="C576" s="49"/>
      <c r="D576" s="49"/>
      <c r="E576" s="49"/>
      <c r="F576" s="49"/>
      <c r="G576" s="49"/>
      <c r="H576" s="49"/>
      <c r="I576" s="49"/>
      <c r="J576" s="49"/>
    </row>
    <row r="577">
      <c r="A577" s="63"/>
      <c r="B577" s="49"/>
      <c r="C577" s="49"/>
      <c r="D577" s="49"/>
      <c r="E577" s="49"/>
      <c r="F577" s="49"/>
      <c r="G577" s="49"/>
      <c r="H577" s="49"/>
      <c r="I577" s="49"/>
      <c r="J577" s="49"/>
    </row>
    <row r="578">
      <c r="A578" s="63"/>
      <c r="B578" s="49"/>
      <c r="C578" s="49"/>
      <c r="D578" s="49"/>
      <c r="E578" s="49"/>
      <c r="F578" s="49"/>
      <c r="G578" s="49"/>
      <c r="H578" s="49"/>
      <c r="I578" s="49"/>
      <c r="J578" s="49"/>
    </row>
    <row r="579">
      <c r="A579" s="63"/>
      <c r="B579" s="49"/>
      <c r="C579" s="49"/>
      <c r="D579" s="49"/>
      <c r="E579" s="49"/>
      <c r="F579" s="49"/>
      <c r="G579" s="49"/>
      <c r="H579" s="49"/>
      <c r="I579" s="49"/>
      <c r="J579" s="49"/>
    </row>
    <row r="580">
      <c r="A580" s="63"/>
      <c r="B580" s="49"/>
      <c r="C580" s="49"/>
      <c r="D580" s="49"/>
      <c r="E580" s="49"/>
      <c r="F580" s="49"/>
      <c r="G580" s="49"/>
      <c r="H580" s="49"/>
      <c r="I580" s="49"/>
      <c r="J580" s="49"/>
    </row>
    <row r="581">
      <c r="A581" s="63"/>
      <c r="B581" s="49"/>
      <c r="C581" s="49"/>
      <c r="D581" s="49"/>
      <c r="E581" s="49"/>
      <c r="F581" s="49"/>
      <c r="G581" s="49"/>
      <c r="H581" s="49"/>
      <c r="I581" s="49"/>
      <c r="J581" s="49"/>
    </row>
    <row r="582">
      <c r="A582" s="63"/>
      <c r="B582" s="49"/>
      <c r="C582" s="49"/>
      <c r="D582" s="49"/>
      <c r="E582" s="49"/>
      <c r="F582" s="49"/>
      <c r="G582" s="49"/>
      <c r="H582" s="49"/>
      <c r="I582" s="49"/>
      <c r="J582" s="49"/>
    </row>
    <row r="583">
      <c r="A583" s="63"/>
      <c r="B583" s="49"/>
      <c r="C583" s="49"/>
      <c r="D583" s="49"/>
      <c r="E583" s="49"/>
      <c r="F583" s="49"/>
      <c r="G583" s="49"/>
      <c r="H583" s="49"/>
      <c r="I583" s="49"/>
      <c r="J583" s="49"/>
    </row>
    <row r="584">
      <c r="A584" s="63"/>
      <c r="B584" s="49"/>
      <c r="C584" s="49"/>
      <c r="D584" s="49"/>
      <c r="E584" s="49"/>
      <c r="F584" s="49"/>
      <c r="G584" s="49"/>
      <c r="H584" s="49"/>
      <c r="I584" s="49"/>
      <c r="J584" s="49"/>
    </row>
    <row r="585">
      <c r="A585" s="63"/>
      <c r="B585" s="49"/>
      <c r="C585" s="49"/>
      <c r="D585" s="49"/>
      <c r="E585" s="49"/>
      <c r="F585" s="49"/>
      <c r="G585" s="49"/>
      <c r="H585" s="49"/>
      <c r="I585" s="49"/>
      <c r="J585" s="49"/>
    </row>
    <row r="586">
      <c r="A586" s="63"/>
      <c r="B586" s="49"/>
      <c r="C586" s="49"/>
      <c r="D586" s="49"/>
      <c r="E586" s="49"/>
      <c r="F586" s="49"/>
      <c r="G586" s="49"/>
      <c r="H586" s="49"/>
      <c r="I586" s="49"/>
      <c r="J586" s="49"/>
    </row>
    <row r="587">
      <c r="A587" s="63"/>
      <c r="B587" s="49"/>
      <c r="C587" s="49"/>
      <c r="D587" s="49"/>
      <c r="E587" s="49"/>
      <c r="F587" s="49"/>
      <c r="G587" s="49"/>
      <c r="H587" s="49"/>
      <c r="I587" s="49"/>
      <c r="J587" s="49"/>
    </row>
    <row r="588">
      <c r="A588" s="63"/>
      <c r="B588" s="49"/>
      <c r="C588" s="49"/>
      <c r="D588" s="49"/>
      <c r="E588" s="49"/>
      <c r="F588" s="49"/>
      <c r="G588" s="49"/>
      <c r="H588" s="49"/>
      <c r="I588" s="49"/>
      <c r="J588" s="49"/>
    </row>
    <row r="589">
      <c r="A589" s="63"/>
      <c r="B589" s="49"/>
      <c r="C589" s="49"/>
      <c r="D589" s="49"/>
      <c r="E589" s="49"/>
      <c r="F589" s="49"/>
      <c r="G589" s="49"/>
      <c r="H589" s="49"/>
      <c r="I589" s="49"/>
      <c r="J589" s="49"/>
    </row>
    <row r="590">
      <c r="A590" s="63"/>
      <c r="B590" s="49"/>
      <c r="C590" s="49"/>
      <c r="D590" s="49"/>
      <c r="E590" s="49"/>
      <c r="F590" s="49"/>
      <c r="G590" s="49"/>
      <c r="H590" s="49"/>
      <c r="I590" s="49"/>
      <c r="J590" s="49"/>
    </row>
    <row r="591">
      <c r="A591" s="63"/>
      <c r="B591" s="49"/>
      <c r="C591" s="49"/>
      <c r="D591" s="49"/>
      <c r="E591" s="49"/>
      <c r="F591" s="49"/>
      <c r="G591" s="49"/>
      <c r="H591" s="49"/>
      <c r="I591" s="49"/>
      <c r="J591" s="49"/>
    </row>
    <row r="592">
      <c r="A592" s="63"/>
      <c r="B592" s="49"/>
      <c r="C592" s="49"/>
      <c r="D592" s="49"/>
      <c r="E592" s="49"/>
      <c r="F592" s="49"/>
      <c r="G592" s="49"/>
      <c r="H592" s="49"/>
      <c r="I592" s="49"/>
      <c r="J592" s="49"/>
    </row>
    <row r="593">
      <c r="A593" s="63"/>
      <c r="B593" s="49"/>
      <c r="C593" s="49"/>
      <c r="D593" s="49"/>
      <c r="E593" s="49"/>
      <c r="F593" s="49"/>
      <c r="G593" s="49"/>
      <c r="H593" s="49"/>
      <c r="I593" s="49"/>
      <c r="J593" s="49"/>
    </row>
    <row r="594">
      <c r="A594" s="63"/>
      <c r="B594" s="49"/>
      <c r="C594" s="49"/>
      <c r="D594" s="49"/>
      <c r="E594" s="49"/>
      <c r="F594" s="49"/>
      <c r="G594" s="49"/>
      <c r="H594" s="49"/>
      <c r="I594" s="49"/>
      <c r="J594" s="49"/>
    </row>
    <row r="595">
      <c r="A595" s="63"/>
      <c r="B595" s="49"/>
      <c r="C595" s="49"/>
      <c r="D595" s="49"/>
      <c r="E595" s="49"/>
      <c r="F595" s="49"/>
      <c r="G595" s="49"/>
      <c r="H595" s="49"/>
      <c r="I595" s="49"/>
      <c r="J595" s="49"/>
    </row>
    <row r="596">
      <c r="A596" s="63"/>
      <c r="B596" s="49"/>
      <c r="C596" s="49"/>
      <c r="D596" s="49"/>
      <c r="E596" s="49"/>
      <c r="F596" s="49"/>
      <c r="G596" s="49"/>
      <c r="H596" s="49"/>
      <c r="I596" s="49"/>
      <c r="J596" s="49"/>
    </row>
    <row r="597">
      <c r="A597" s="63"/>
      <c r="B597" s="49"/>
      <c r="C597" s="49"/>
      <c r="D597" s="49"/>
      <c r="E597" s="49"/>
      <c r="F597" s="49"/>
      <c r="G597" s="49"/>
      <c r="H597" s="49"/>
      <c r="I597" s="49"/>
      <c r="J597" s="49"/>
    </row>
    <row r="598">
      <c r="A598" s="63"/>
      <c r="B598" s="49"/>
      <c r="C598" s="49"/>
      <c r="D598" s="49"/>
      <c r="E598" s="49"/>
      <c r="F598" s="49"/>
      <c r="G598" s="49"/>
      <c r="H598" s="49"/>
      <c r="I598" s="49"/>
      <c r="J598" s="49"/>
    </row>
    <row r="599">
      <c r="A599" s="63"/>
      <c r="B599" s="49"/>
      <c r="C599" s="49"/>
      <c r="D599" s="49"/>
      <c r="E599" s="49"/>
      <c r="F599" s="49"/>
      <c r="G599" s="49"/>
      <c r="H599" s="49"/>
      <c r="I599" s="49"/>
      <c r="J599" s="49"/>
    </row>
    <row r="600">
      <c r="A600" s="63"/>
      <c r="B600" s="49"/>
      <c r="C600" s="49"/>
      <c r="D600" s="49"/>
      <c r="E600" s="49"/>
      <c r="F600" s="49"/>
      <c r="G600" s="49"/>
      <c r="H600" s="49"/>
      <c r="I600" s="49"/>
      <c r="J600" s="49"/>
    </row>
    <row r="601">
      <c r="A601" s="63"/>
      <c r="B601" s="49"/>
      <c r="C601" s="49"/>
      <c r="D601" s="49"/>
      <c r="E601" s="49"/>
      <c r="F601" s="49"/>
      <c r="G601" s="49"/>
      <c r="H601" s="49"/>
      <c r="I601" s="49"/>
      <c r="J601" s="49"/>
    </row>
    <row r="602">
      <c r="A602" s="63"/>
      <c r="B602" s="49"/>
      <c r="C602" s="49"/>
      <c r="D602" s="49"/>
      <c r="E602" s="49"/>
      <c r="F602" s="49"/>
      <c r="G602" s="49"/>
      <c r="H602" s="49"/>
      <c r="I602" s="49"/>
      <c r="J602" s="49"/>
    </row>
    <row r="603">
      <c r="A603" s="63"/>
      <c r="B603" s="49"/>
      <c r="C603" s="49"/>
      <c r="D603" s="49"/>
      <c r="E603" s="49"/>
      <c r="F603" s="49"/>
      <c r="G603" s="49"/>
      <c r="H603" s="49"/>
      <c r="I603" s="49"/>
      <c r="J603" s="49"/>
    </row>
    <row r="604">
      <c r="A604" s="63"/>
      <c r="B604" s="49"/>
      <c r="C604" s="49"/>
      <c r="D604" s="49"/>
      <c r="E604" s="49"/>
      <c r="F604" s="49"/>
      <c r="G604" s="49"/>
      <c r="H604" s="49"/>
      <c r="I604" s="49"/>
      <c r="J604" s="49"/>
    </row>
    <row r="605">
      <c r="A605" s="63"/>
      <c r="B605" s="49"/>
      <c r="C605" s="49"/>
      <c r="D605" s="49"/>
      <c r="E605" s="49"/>
      <c r="F605" s="49"/>
      <c r="G605" s="49"/>
      <c r="H605" s="49"/>
      <c r="I605" s="49"/>
      <c r="J605" s="49"/>
    </row>
    <row r="606">
      <c r="A606" s="63"/>
      <c r="B606" s="49"/>
      <c r="C606" s="49"/>
      <c r="D606" s="49"/>
      <c r="E606" s="49"/>
      <c r="F606" s="49"/>
      <c r="G606" s="49"/>
      <c r="H606" s="49"/>
      <c r="I606" s="49"/>
      <c r="J606" s="49"/>
    </row>
    <row r="607">
      <c r="A607" s="63"/>
      <c r="B607" s="49"/>
      <c r="C607" s="49"/>
      <c r="D607" s="49"/>
      <c r="E607" s="49"/>
      <c r="F607" s="49"/>
      <c r="G607" s="49"/>
      <c r="H607" s="49"/>
      <c r="I607" s="49"/>
      <c r="J607" s="49"/>
    </row>
    <row r="608">
      <c r="A608" s="63"/>
      <c r="B608" s="49"/>
      <c r="C608" s="49"/>
      <c r="D608" s="49"/>
      <c r="E608" s="49"/>
      <c r="F608" s="49"/>
      <c r="G608" s="49"/>
      <c r="H608" s="49"/>
      <c r="I608" s="49"/>
      <c r="J608" s="49"/>
    </row>
    <row r="609">
      <c r="A609" s="63"/>
      <c r="B609" s="49"/>
      <c r="C609" s="49"/>
      <c r="D609" s="49"/>
      <c r="E609" s="49"/>
      <c r="F609" s="49"/>
      <c r="G609" s="49"/>
      <c r="H609" s="49"/>
      <c r="I609" s="49"/>
      <c r="J609" s="49"/>
    </row>
    <row r="610">
      <c r="A610" s="63"/>
      <c r="B610" s="49"/>
      <c r="C610" s="49"/>
      <c r="D610" s="49"/>
      <c r="E610" s="49"/>
      <c r="F610" s="49"/>
      <c r="G610" s="49"/>
      <c r="H610" s="49"/>
      <c r="I610" s="49"/>
      <c r="J610" s="49"/>
    </row>
    <row r="611">
      <c r="A611" s="63"/>
      <c r="B611" s="49"/>
      <c r="C611" s="49"/>
      <c r="D611" s="49"/>
      <c r="E611" s="49"/>
      <c r="F611" s="49"/>
      <c r="G611" s="49"/>
      <c r="H611" s="49"/>
      <c r="I611" s="49"/>
      <c r="J611" s="49"/>
    </row>
    <row r="612">
      <c r="A612" s="63"/>
      <c r="B612" s="49"/>
      <c r="C612" s="49"/>
      <c r="D612" s="49"/>
      <c r="E612" s="49"/>
      <c r="F612" s="49"/>
      <c r="G612" s="49"/>
      <c r="H612" s="49"/>
      <c r="I612" s="49"/>
      <c r="J612" s="49"/>
    </row>
    <row r="613">
      <c r="A613" s="63"/>
      <c r="B613" s="49"/>
      <c r="C613" s="49"/>
      <c r="D613" s="49"/>
      <c r="E613" s="49"/>
      <c r="F613" s="49"/>
      <c r="G613" s="49"/>
      <c r="H613" s="49"/>
      <c r="I613" s="49"/>
      <c r="J613" s="49"/>
    </row>
    <row r="614">
      <c r="A614" s="63"/>
      <c r="B614" s="49"/>
      <c r="C614" s="49"/>
      <c r="D614" s="49"/>
      <c r="E614" s="49"/>
      <c r="F614" s="49"/>
      <c r="G614" s="49"/>
      <c r="H614" s="49"/>
      <c r="I614" s="49"/>
      <c r="J614" s="49"/>
    </row>
    <row r="615">
      <c r="A615" s="63"/>
      <c r="B615" s="49"/>
      <c r="C615" s="49"/>
      <c r="D615" s="49"/>
      <c r="E615" s="49"/>
      <c r="F615" s="49"/>
      <c r="G615" s="49"/>
      <c r="H615" s="49"/>
      <c r="I615" s="49"/>
      <c r="J615" s="49"/>
    </row>
    <row r="616">
      <c r="A616" s="63"/>
      <c r="B616" s="49"/>
      <c r="C616" s="49"/>
      <c r="D616" s="49"/>
      <c r="E616" s="49"/>
      <c r="F616" s="49"/>
      <c r="G616" s="49"/>
      <c r="H616" s="49"/>
      <c r="I616" s="49"/>
      <c r="J616" s="49"/>
    </row>
    <row r="617">
      <c r="A617" s="63"/>
      <c r="B617" s="49"/>
      <c r="C617" s="49"/>
      <c r="D617" s="49"/>
      <c r="E617" s="49"/>
      <c r="F617" s="49"/>
      <c r="G617" s="49"/>
      <c r="H617" s="49"/>
      <c r="I617" s="49"/>
      <c r="J617" s="49"/>
    </row>
    <row r="618">
      <c r="A618" s="63"/>
      <c r="B618" s="49"/>
      <c r="C618" s="49"/>
      <c r="D618" s="49"/>
      <c r="E618" s="49"/>
      <c r="F618" s="49"/>
      <c r="G618" s="49"/>
      <c r="H618" s="49"/>
      <c r="I618" s="49"/>
      <c r="J618" s="49"/>
    </row>
    <row r="619">
      <c r="A619" s="63"/>
      <c r="B619" s="49"/>
      <c r="C619" s="49"/>
      <c r="D619" s="49"/>
      <c r="E619" s="49"/>
      <c r="F619" s="49"/>
      <c r="G619" s="49"/>
      <c r="H619" s="49"/>
      <c r="I619" s="49"/>
      <c r="J619" s="49"/>
    </row>
    <row r="620">
      <c r="A620" s="63"/>
      <c r="B620" s="49"/>
      <c r="C620" s="49"/>
      <c r="D620" s="49"/>
      <c r="E620" s="49"/>
      <c r="F620" s="49"/>
      <c r="G620" s="49"/>
      <c r="H620" s="49"/>
      <c r="I620" s="49"/>
      <c r="J620" s="49"/>
    </row>
    <row r="621">
      <c r="A621" s="63"/>
      <c r="B621" s="49"/>
      <c r="C621" s="49"/>
      <c r="D621" s="49"/>
      <c r="E621" s="49"/>
      <c r="F621" s="49"/>
      <c r="G621" s="49"/>
      <c r="H621" s="49"/>
      <c r="I621" s="49"/>
      <c r="J621" s="49"/>
    </row>
    <row r="622">
      <c r="A622" s="63"/>
      <c r="B622" s="49"/>
      <c r="C622" s="49"/>
      <c r="D622" s="49"/>
      <c r="E622" s="49"/>
      <c r="F622" s="49"/>
      <c r="G622" s="49"/>
      <c r="H622" s="49"/>
      <c r="I622" s="49"/>
      <c r="J622" s="49"/>
    </row>
    <row r="623">
      <c r="A623" s="63"/>
      <c r="B623" s="49"/>
      <c r="C623" s="49"/>
      <c r="D623" s="49"/>
      <c r="E623" s="49"/>
      <c r="F623" s="49"/>
      <c r="G623" s="49"/>
      <c r="H623" s="49"/>
      <c r="I623" s="49"/>
      <c r="J623" s="49"/>
    </row>
    <row r="624">
      <c r="A624" s="63"/>
      <c r="B624" s="49"/>
      <c r="C624" s="49"/>
      <c r="D624" s="49"/>
      <c r="E624" s="49"/>
      <c r="F624" s="49"/>
      <c r="G624" s="49"/>
      <c r="H624" s="49"/>
      <c r="I624" s="49"/>
      <c r="J624" s="49"/>
    </row>
    <row r="625">
      <c r="A625" s="63"/>
      <c r="B625" s="49"/>
      <c r="C625" s="49"/>
      <c r="D625" s="49"/>
      <c r="E625" s="49"/>
      <c r="F625" s="49"/>
      <c r="G625" s="49"/>
      <c r="H625" s="49"/>
      <c r="I625" s="49"/>
      <c r="J625" s="49"/>
    </row>
    <row r="626">
      <c r="A626" s="63"/>
      <c r="B626" s="49"/>
      <c r="C626" s="49"/>
      <c r="D626" s="49"/>
      <c r="E626" s="49"/>
      <c r="F626" s="49"/>
      <c r="G626" s="49"/>
      <c r="H626" s="49"/>
      <c r="I626" s="49"/>
      <c r="J626" s="49"/>
    </row>
    <row r="627">
      <c r="A627" s="63"/>
      <c r="B627" s="49"/>
      <c r="C627" s="49"/>
      <c r="D627" s="49"/>
      <c r="E627" s="49"/>
      <c r="F627" s="49"/>
      <c r="G627" s="49"/>
      <c r="H627" s="49"/>
      <c r="I627" s="49"/>
      <c r="J627" s="49"/>
    </row>
    <row r="628">
      <c r="A628" s="63"/>
      <c r="B628" s="49"/>
      <c r="C628" s="49"/>
      <c r="D628" s="49"/>
      <c r="E628" s="49"/>
      <c r="F628" s="49"/>
      <c r="G628" s="49"/>
      <c r="H628" s="49"/>
      <c r="I628" s="49"/>
      <c r="J628" s="49"/>
    </row>
    <row r="629">
      <c r="A629" s="63"/>
      <c r="B629" s="49"/>
      <c r="C629" s="49"/>
      <c r="D629" s="49"/>
      <c r="E629" s="49"/>
      <c r="F629" s="49"/>
      <c r="G629" s="49"/>
      <c r="H629" s="49"/>
      <c r="I629" s="49"/>
      <c r="J629" s="49"/>
    </row>
    <row r="630">
      <c r="A630" s="63"/>
      <c r="B630" s="49"/>
      <c r="C630" s="49"/>
      <c r="D630" s="49"/>
      <c r="E630" s="49"/>
      <c r="F630" s="49"/>
      <c r="G630" s="49"/>
      <c r="H630" s="49"/>
      <c r="I630" s="49"/>
      <c r="J630" s="49"/>
    </row>
    <row r="631">
      <c r="A631" s="63"/>
      <c r="B631" s="49"/>
      <c r="C631" s="49"/>
      <c r="D631" s="49"/>
      <c r="E631" s="49"/>
      <c r="F631" s="49"/>
      <c r="G631" s="49"/>
      <c r="H631" s="49"/>
      <c r="I631" s="49"/>
      <c r="J631" s="49"/>
    </row>
    <row r="632">
      <c r="A632" s="63"/>
      <c r="B632" s="49"/>
      <c r="C632" s="49"/>
      <c r="D632" s="49"/>
      <c r="E632" s="49"/>
      <c r="F632" s="49"/>
      <c r="G632" s="49"/>
      <c r="H632" s="49"/>
      <c r="I632" s="49"/>
      <c r="J632" s="49"/>
    </row>
    <row r="633">
      <c r="A633" s="63"/>
      <c r="B633" s="49"/>
      <c r="C633" s="49"/>
      <c r="D633" s="49"/>
      <c r="E633" s="49"/>
      <c r="F633" s="49"/>
      <c r="G633" s="49"/>
      <c r="H633" s="49"/>
      <c r="I633" s="49"/>
      <c r="J633" s="49"/>
    </row>
    <row r="634">
      <c r="A634" s="63"/>
      <c r="B634" s="49"/>
      <c r="C634" s="49"/>
      <c r="D634" s="49"/>
      <c r="E634" s="49"/>
      <c r="F634" s="49"/>
      <c r="G634" s="49"/>
      <c r="H634" s="49"/>
      <c r="I634" s="49"/>
      <c r="J634" s="49"/>
    </row>
    <row r="635">
      <c r="A635" s="63"/>
      <c r="B635" s="49"/>
      <c r="C635" s="49"/>
      <c r="D635" s="49"/>
      <c r="E635" s="49"/>
      <c r="F635" s="49"/>
      <c r="G635" s="49"/>
      <c r="H635" s="49"/>
      <c r="I635" s="49"/>
      <c r="J635" s="49"/>
    </row>
    <row r="636">
      <c r="A636" s="63"/>
      <c r="B636" s="49"/>
      <c r="C636" s="49"/>
      <c r="D636" s="49"/>
      <c r="E636" s="49"/>
      <c r="F636" s="49"/>
      <c r="G636" s="49"/>
      <c r="H636" s="49"/>
      <c r="I636" s="49"/>
      <c r="J636" s="49"/>
    </row>
    <row r="637">
      <c r="A637" s="63"/>
      <c r="B637" s="49"/>
      <c r="C637" s="49"/>
      <c r="D637" s="49"/>
      <c r="E637" s="49"/>
      <c r="F637" s="49"/>
      <c r="G637" s="49"/>
      <c r="H637" s="49"/>
      <c r="I637" s="49"/>
      <c r="J637" s="49"/>
    </row>
    <row r="638">
      <c r="A638" s="63"/>
      <c r="B638" s="49"/>
      <c r="C638" s="49"/>
      <c r="D638" s="49"/>
      <c r="E638" s="49"/>
      <c r="F638" s="49"/>
      <c r="G638" s="49"/>
      <c r="H638" s="49"/>
      <c r="I638" s="49"/>
      <c r="J638" s="49"/>
    </row>
    <row r="639">
      <c r="A639" s="63"/>
      <c r="B639" s="49"/>
      <c r="C639" s="49"/>
      <c r="D639" s="49"/>
      <c r="E639" s="49"/>
      <c r="F639" s="49"/>
      <c r="G639" s="49"/>
      <c r="H639" s="49"/>
      <c r="I639" s="49"/>
      <c r="J639" s="49"/>
    </row>
    <row r="640">
      <c r="A640" s="63"/>
      <c r="B640" s="49"/>
      <c r="C640" s="49"/>
      <c r="D640" s="49"/>
      <c r="E640" s="49"/>
      <c r="F640" s="49"/>
      <c r="G640" s="49"/>
      <c r="H640" s="49"/>
      <c r="I640" s="49"/>
      <c r="J640" s="49"/>
    </row>
    <row r="641">
      <c r="A641" s="63"/>
      <c r="B641" s="49"/>
      <c r="C641" s="49"/>
      <c r="D641" s="49"/>
      <c r="E641" s="49"/>
      <c r="F641" s="49"/>
      <c r="G641" s="49"/>
      <c r="H641" s="49"/>
      <c r="I641" s="49"/>
      <c r="J641" s="49"/>
    </row>
    <row r="642">
      <c r="A642" s="63"/>
      <c r="B642" s="49"/>
      <c r="C642" s="49"/>
      <c r="D642" s="49"/>
      <c r="E642" s="49"/>
      <c r="F642" s="49"/>
      <c r="G642" s="49"/>
      <c r="H642" s="49"/>
      <c r="I642" s="49"/>
      <c r="J642" s="49"/>
    </row>
    <row r="643">
      <c r="A643" s="63"/>
      <c r="B643" s="49"/>
      <c r="C643" s="49"/>
      <c r="D643" s="49"/>
      <c r="E643" s="49"/>
      <c r="F643" s="49"/>
      <c r="G643" s="49"/>
      <c r="H643" s="49"/>
      <c r="I643" s="49"/>
      <c r="J643" s="49"/>
    </row>
    <row r="644">
      <c r="A644" s="63"/>
      <c r="B644" s="49"/>
      <c r="C644" s="49"/>
      <c r="D644" s="49"/>
      <c r="E644" s="49"/>
      <c r="F644" s="49"/>
      <c r="G644" s="49"/>
      <c r="H644" s="49"/>
      <c r="I644" s="49"/>
      <c r="J644" s="49"/>
    </row>
    <row r="645">
      <c r="A645" s="63"/>
      <c r="B645" s="49"/>
      <c r="C645" s="49"/>
      <c r="D645" s="49"/>
      <c r="E645" s="49"/>
      <c r="F645" s="49"/>
      <c r="G645" s="49"/>
      <c r="H645" s="49"/>
      <c r="I645" s="49"/>
      <c r="J645" s="49"/>
    </row>
    <row r="646">
      <c r="A646" s="63"/>
      <c r="B646" s="49"/>
      <c r="C646" s="49"/>
      <c r="D646" s="49"/>
      <c r="E646" s="49"/>
      <c r="F646" s="49"/>
      <c r="G646" s="49"/>
      <c r="H646" s="49"/>
      <c r="I646" s="49"/>
      <c r="J646" s="49"/>
    </row>
    <row r="647">
      <c r="A647" s="63"/>
      <c r="B647" s="49"/>
      <c r="C647" s="49"/>
      <c r="D647" s="49"/>
      <c r="E647" s="49"/>
      <c r="F647" s="49"/>
      <c r="G647" s="49"/>
      <c r="H647" s="49"/>
      <c r="I647" s="49"/>
      <c r="J647" s="49"/>
    </row>
    <row r="648">
      <c r="A648" s="63"/>
      <c r="B648" s="49"/>
      <c r="C648" s="49"/>
      <c r="D648" s="49"/>
      <c r="E648" s="49"/>
      <c r="F648" s="49"/>
      <c r="G648" s="49"/>
      <c r="H648" s="49"/>
      <c r="I648" s="49"/>
      <c r="J648" s="49"/>
    </row>
    <row r="649">
      <c r="A649" s="63"/>
      <c r="B649" s="49"/>
      <c r="C649" s="49"/>
      <c r="D649" s="49"/>
      <c r="E649" s="49"/>
      <c r="F649" s="49"/>
      <c r="G649" s="49"/>
      <c r="H649" s="49"/>
      <c r="I649" s="49"/>
      <c r="J649" s="49"/>
    </row>
    <row r="650">
      <c r="A650" s="63"/>
      <c r="B650" s="49"/>
      <c r="C650" s="49"/>
      <c r="D650" s="49"/>
      <c r="E650" s="49"/>
      <c r="F650" s="49"/>
      <c r="G650" s="49"/>
      <c r="H650" s="49"/>
      <c r="I650" s="49"/>
      <c r="J650" s="49"/>
    </row>
    <row r="651">
      <c r="A651" s="63"/>
      <c r="B651" s="49"/>
      <c r="C651" s="49"/>
      <c r="D651" s="49"/>
      <c r="E651" s="49"/>
      <c r="F651" s="49"/>
      <c r="G651" s="49"/>
      <c r="H651" s="49"/>
      <c r="I651" s="49"/>
      <c r="J651" s="49"/>
    </row>
    <row r="652">
      <c r="A652" s="63"/>
      <c r="B652" s="49"/>
      <c r="C652" s="49"/>
      <c r="D652" s="49"/>
      <c r="E652" s="49"/>
      <c r="F652" s="49"/>
      <c r="G652" s="49"/>
      <c r="H652" s="49"/>
      <c r="I652" s="49"/>
      <c r="J652" s="49"/>
    </row>
    <row r="653">
      <c r="A653" s="63"/>
      <c r="B653" s="49"/>
      <c r="C653" s="49"/>
      <c r="D653" s="49"/>
      <c r="E653" s="49"/>
      <c r="F653" s="49"/>
      <c r="G653" s="49"/>
      <c r="H653" s="49"/>
      <c r="I653" s="49"/>
      <c r="J653" s="49"/>
    </row>
    <row r="654">
      <c r="A654" s="63"/>
      <c r="B654" s="49"/>
      <c r="C654" s="49"/>
      <c r="D654" s="49"/>
      <c r="E654" s="49"/>
      <c r="F654" s="49"/>
      <c r="G654" s="49"/>
      <c r="H654" s="49"/>
      <c r="I654" s="49"/>
      <c r="J654" s="49"/>
    </row>
    <row r="655">
      <c r="A655" s="63"/>
      <c r="B655" s="49"/>
      <c r="C655" s="49"/>
      <c r="D655" s="49"/>
      <c r="E655" s="49"/>
      <c r="F655" s="49"/>
      <c r="G655" s="49"/>
      <c r="H655" s="49"/>
      <c r="I655" s="49"/>
      <c r="J655" s="49"/>
    </row>
    <row r="656">
      <c r="A656" s="63"/>
      <c r="B656" s="49"/>
      <c r="C656" s="49"/>
      <c r="D656" s="49"/>
      <c r="E656" s="49"/>
      <c r="F656" s="49"/>
      <c r="G656" s="49"/>
      <c r="H656" s="49"/>
      <c r="I656" s="49"/>
      <c r="J656" s="49"/>
    </row>
    <row r="657">
      <c r="A657" s="63"/>
      <c r="B657" s="49"/>
      <c r="C657" s="49"/>
      <c r="D657" s="49"/>
      <c r="E657" s="49"/>
      <c r="F657" s="49"/>
      <c r="G657" s="49"/>
      <c r="H657" s="49"/>
      <c r="I657" s="49"/>
      <c r="J657" s="49"/>
    </row>
    <row r="658">
      <c r="A658" s="63"/>
      <c r="B658" s="49"/>
      <c r="C658" s="49"/>
      <c r="D658" s="49"/>
      <c r="E658" s="49"/>
      <c r="F658" s="49"/>
      <c r="G658" s="49"/>
      <c r="H658" s="49"/>
      <c r="I658" s="49"/>
      <c r="J658" s="49"/>
    </row>
    <row r="659">
      <c r="A659" s="63"/>
      <c r="B659" s="49"/>
      <c r="C659" s="49"/>
      <c r="D659" s="49"/>
      <c r="E659" s="49"/>
      <c r="F659" s="49"/>
      <c r="G659" s="49"/>
      <c r="H659" s="49"/>
      <c r="I659" s="49"/>
      <c r="J659" s="49"/>
    </row>
    <row r="660">
      <c r="A660" s="63"/>
      <c r="B660" s="49"/>
      <c r="C660" s="49"/>
      <c r="D660" s="49"/>
      <c r="E660" s="49"/>
      <c r="F660" s="49"/>
      <c r="G660" s="49"/>
      <c r="H660" s="49"/>
      <c r="I660" s="49"/>
      <c r="J660" s="49"/>
    </row>
    <row r="661">
      <c r="A661" s="63"/>
      <c r="B661" s="49"/>
      <c r="C661" s="49"/>
      <c r="D661" s="49"/>
      <c r="E661" s="49"/>
      <c r="F661" s="49"/>
      <c r="G661" s="49"/>
      <c r="H661" s="49"/>
      <c r="I661" s="49"/>
      <c r="J661" s="49"/>
    </row>
    <row r="662">
      <c r="A662" s="63"/>
      <c r="B662" s="49"/>
      <c r="C662" s="49"/>
      <c r="D662" s="49"/>
      <c r="E662" s="49"/>
      <c r="F662" s="49"/>
      <c r="G662" s="49"/>
      <c r="H662" s="49"/>
      <c r="I662" s="49"/>
      <c r="J662" s="49"/>
    </row>
    <row r="663">
      <c r="A663" s="63"/>
      <c r="B663" s="49"/>
      <c r="C663" s="49"/>
      <c r="D663" s="49"/>
      <c r="E663" s="49"/>
      <c r="F663" s="49"/>
      <c r="G663" s="49"/>
      <c r="H663" s="49"/>
      <c r="I663" s="49"/>
      <c r="J663" s="49"/>
    </row>
    <row r="664">
      <c r="A664" s="63"/>
      <c r="B664" s="49"/>
      <c r="C664" s="49"/>
      <c r="D664" s="49"/>
      <c r="E664" s="49"/>
      <c r="F664" s="49"/>
      <c r="G664" s="49"/>
      <c r="H664" s="49"/>
      <c r="I664" s="49"/>
      <c r="J664" s="49"/>
    </row>
    <row r="665">
      <c r="A665" s="63"/>
      <c r="B665" s="49"/>
      <c r="C665" s="49"/>
      <c r="D665" s="49"/>
      <c r="E665" s="49"/>
      <c r="F665" s="49"/>
      <c r="G665" s="49"/>
      <c r="H665" s="49"/>
      <c r="I665" s="49"/>
      <c r="J665" s="49"/>
    </row>
    <row r="666">
      <c r="A666" s="63"/>
      <c r="B666" s="49"/>
      <c r="C666" s="49"/>
      <c r="D666" s="49"/>
      <c r="E666" s="49"/>
      <c r="F666" s="49"/>
      <c r="G666" s="49"/>
      <c r="H666" s="49"/>
      <c r="I666" s="49"/>
      <c r="J666" s="49"/>
    </row>
    <row r="667">
      <c r="A667" s="63"/>
      <c r="B667" s="49"/>
      <c r="C667" s="49"/>
      <c r="D667" s="49"/>
      <c r="E667" s="49"/>
      <c r="F667" s="49"/>
      <c r="G667" s="49"/>
      <c r="H667" s="49"/>
      <c r="I667" s="49"/>
      <c r="J667" s="49"/>
    </row>
    <row r="668">
      <c r="A668" s="63"/>
      <c r="B668" s="49"/>
      <c r="C668" s="49"/>
      <c r="D668" s="49"/>
      <c r="E668" s="49"/>
      <c r="F668" s="49"/>
      <c r="G668" s="49"/>
      <c r="H668" s="49"/>
      <c r="I668" s="49"/>
      <c r="J668" s="49"/>
    </row>
    <row r="669">
      <c r="A669" s="63"/>
      <c r="B669" s="49"/>
      <c r="C669" s="49"/>
      <c r="D669" s="49"/>
      <c r="E669" s="49"/>
      <c r="F669" s="49"/>
      <c r="G669" s="49"/>
      <c r="H669" s="49"/>
      <c r="I669" s="49"/>
      <c r="J669" s="49"/>
    </row>
    <row r="670">
      <c r="A670" s="63"/>
      <c r="B670" s="49"/>
      <c r="C670" s="49"/>
      <c r="D670" s="49"/>
      <c r="E670" s="49"/>
      <c r="F670" s="49"/>
      <c r="G670" s="49"/>
      <c r="H670" s="49"/>
      <c r="I670" s="49"/>
      <c r="J670" s="49"/>
    </row>
    <row r="671">
      <c r="A671" s="63"/>
      <c r="B671" s="49"/>
      <c r="C671" s="49"/>
      <c r="D671" s="49"/>
      <c r="E671" s="49"/>
      <c r="F671" s="49"/>
      <c r="G671" s="49"/>
      <c r="H671" s="49"/>
      <c r="I671" s="49"/>
      <c r="J671" s="49"/>
    </row>
    <row r="672">
      <c r="A672" s="63"/>
      <c r="B672" s="49"/>
      <c r="C672" s="49"/>
      <c r="D672" s="49"/>
      <c r="E672" s="49"/>
      <c r="F672" s="49"/>
      <c r="G672" s="49"/>
      <c r="H672" s="49"/>
      <c r="I672" s="49"/>
      <c r="J672" s="49"/>
    </row>
    <row r="673">
      <c r="A673" s="63"/>
      <c r="B673" s="49"/>
      <c r="C673" s="49"/>
      <c r="D673" s="49"/>
      <c r="E673" s="49"/>
      <c r="F673" s="49"/>
      <c r="G673" s="49"/>
      <c r="H673" s="49"/>
      <c r="I673" s="49"/>
      <c r="J673" s="49"/>
    </row>
    <row r="674">
      <c r="A674" s="63"/>
      <c r="B674" s="49"/>
      <c r="C674" s="49"/>
      <c r="D674" s="49"/>
      <c r="E674" s="49"/>
      <c r="F674" s="49"/>
      <c r="G674" s="49"/>
      <c r="H674" s="49"/>
      <c r="I674" s="49"/>
      <c r="J674" s="49"/>
    </row>
    <row r="675">
      <c r="A675" s="63"/>
      <c r="B675" s="49"/>
      <c r="C675" s="49"/>
      <c r="D675" s="49"/>
      <c r="E675" s="49"/>
      <c r="F675" s="49"/>
      <c r="G675" s="49"/>
      <c r="H675" s="49"/>
      <c r="I675" s="49"/>
      <c r="J675" s="49"/>
    </row>
    <row r="676">
      <c r="A676" s="63"/>
      <c r="B676" s="49"/>
      <c r="C676" s="49"/>
      <c r="D676" s="49"/>
      <c r="E676" s="49"/>
      <c r="F676" s="49"/>
      <c r="G676" s="49"/>
      <c r="H676" s="49"/>
      <c r="I676" s="49"/>
      <c r="J676" s="49"/>
    </row>
    <row r="677">
      <c r="A677" s="63"/>
      <c r="B677" s="49"/>
      <c r="C677" s="49"/>
      <c r="D677" s="49"/>
      <c r="E677" s="49"/>
      <c r="F677" s="49"/>
      <c r="G677" s="49"/>
      <c r="H677" s="49"/>
      <c r="I677" s="49"/>
      <c r="J677" s="49"/>
    </row>
    <row r="678">
      <c r="A678" s="63"/>
      <c r="B678" s="49"/>
      <c r="C678" s="49"/>
      <c r="D678" s="49"/>
      <c r="E678" s="49"/>
      <c r="F678" s="49"/>
      <c r="G678" s="49"/>
      <c r="H678" s="49"/>
      <c r="I678" s="49"/>
      <c r="J678" s="49"/>
    </row>
    <row r="679">
      <c r="A679" s="63"/>
      <c r="B679" s="49"/>
      <c r="C679" s="49"/>
      <c r="D679" s="49"/>
      <c r="E679" s="49"/>
      <c r="F679" s="49"/>
      <c r="G679" s="49"/>
      <c r="H679" s="49"/>
      <c r="I679" s="49"/>
      <c r="J679" s="49"/>
    </row>
    <row r="680">
      <c r="A680" s="63"/>
      <c r="B680" s="49"/>
      <c r="C680" s="49"/>
      <c r="D680" s="49"/>
      <c r="E680" s="49"/>
      <c r="F680" s="49"/>
      <c r="G680" s="49"/>
      <c r="H680" s="49"/>
      <c r="I680" s="49"/>
      <c r="J680" s="49"/>
    </row>
    <row r="681">
      <c r="A681" s="63"/>
      <c r="B681" s="49"/>
      <c r="C681" s="49"/>
      <c r="D681" s="49"/>
      <c r="E681" s="49"/>
      <c r="F681" s="49"/>
      <c r="G681" s="49"/>
      <c r="H681" s="49"/>
      <c r="I681" s="49"/>
      <c r="J681" s="49"/>
    </row>
    <row r="682">
      <c r="A682" s="63"/>
      <c r="B682" s="49"/>
      <c r="C682" s="49"/>
      <c r="D682" s="49"/>
      <c r="E682" s="49"/>
      <c r="F682" s="49"/>
      <c r="G682" s="49"/>
      <c r="H682" s="49"/>
      <c r="I682" s="49"/>
      <c r="J682" s="49"/>
    </row>
    <row r="683">
      <c r="A683" s="63"/>
      <c r="B683" s="49"/>
      <c r="C683" s="49"/>
      <c r="D683" s="49"/>
      <c r="E683" s="49"/>
      <c r="F683" s="49"/>
      <c r="G683" s="49"/>
      <c r="H683" s="49"/>
      <c r="I683" s="49"/>
      <c r="J683" s="49"/>
    </row>
    <row r="684">
      <c r="A684" s="63"/>
      <c r="B684" s="49"/>
      <c r="C684" s="49"/>
      <c r="D684" s="49"/>
      <c r="E684" s="49"/>
      <c r="F684" s="49"/>
      <c r="G684" s="49"/>
      <c r="H684" s="49"/>
      <c r="I684" s="49"/>
      <c r="J684" s="49"/>
    </row>
    <row r="685">
      <c r="A685" s="63"/>
      <c r="B685" s="49"/>
      <c r="C685" s="49"/>
      <c r="D685" s="49"/>
      <c r="E685" s="49"/>
      <c r="F685" s="49"/>
      <c r="G685" s="49"/>
      <c r="H685" s="49"/>
      <c r="I685" s="49"/>
      <c r="J685" s="49"/>
    </row>
    <row r="686">
      <c r="A686" s="63"/>
      <c r="B686" s="49"/>
      <c r="C686" s="49"/>
      <c r="D686" s="49"/>
      <c r="E686" s="49"/>
      <c r="F686" s="49"/>
      <c r="G686" s="49"/>
      <c r="H686" s="49"/>
      <c r="I686" s="49"/>
      <c r="J686" s="49"/>
    </row>
    <row r="687">
      <c r="A687" s="63"/>
      <c r="B687" s="49"/>
      <c r="C687" s="49"/>
      <c r="D687" s="49"/>
      <c r="E687" s="49"/>
      <c r="F687" s="49"/>
      <c r="G687" s="49"/>
      <c r="H687" s="49"/>
      <c r="I687" s="49"/>
      <c r="J687" s="49"/>
    </row>
    <row r="688">
      <c r="A688" s="63"/>
      <c r="B688" s="49"/>
      <c r="C688" s="49"/>
      <c r="D688" s="49"/>
      <c r="E688" s="49"/>
      <c r="F688" s="49"/>
      <c r="G688" s="49"/>
      <c r="H688" s="49"/>
      <c r="I688" s="49"/>
      <c r="J688" s="49"/>
    </row>
    <row r="689">
      <c r="A689" s="63"/>
      <c r="B689" s="49"/>
      <c r="C689" s="49"/>
      <c r="D689" s="49"/>
      <c r="E689" s="49"/>
      <c r="F689" s="49"/>
      <c r="G689" s="49"/>
      <c r="H689" s="49"/>
      <c r="I689" s="49"/>
      <c r="J689" s="49"/>
    </row>
    <row r="690">
      <c r="A690" s="63"/>
      <c r="B690" s="49"/>
      <c r="C690" s="49"/>
      <c r="D690" s="49"/>
      <c r="E690" s="49"/>
      <c r="F690" s="49"/>
      <c r="G690" s="49"/>
      <c r="H690" s="49"/>
      <c r="I690" s="49"/>
      <c r="J690" s="49"/>
    </row>
    <row r="691">
      <c r="A691" s="63"/>
      <c r="B691" s="49"/>
      <c r="C691" s="49"/>
      <c r="D691" s="49"/>
      <c r="E691" s="49"/>
      <c r="F691" s="49"/>
      <c r="G691" s="49"/>
      <c r="H691" s="49"/>
      <c r="I691" s="49"/>
      <c r="J691" s="49"/>
    </row>
    <row r="692">
      <c r="A692" s="63"/>
      <c r="B692" s="49"/>
      <c r="C692" s="49"/>
      <c r="D692" s="49"/>
      <c r="E692" s="49"/>
      <c r="F692" s="49"/>
      <c r="G692" s="49"/>
      <c r="H692" s="49"/>
      <c r="I692" s="49"/>
      <c r="J692" s="49"/>
    </row>
    <row r="693">
      <c r="A693" s="63"/>
      <c r="B693" s="49"/>
      <c r="C693" s="49"/>
      <c r="D693" s="49"/>
      <c r="E693" s="49"/>
      <c r="F693" s="49"/>
      <c r="G693" s="49"/>
      <c r="H693" s="49"/>
      <c r="I693" s="49"/>
      <c r="J693" s="49"/>
    </row>
    <row r="694">
      <c r="A694" s="63"/>
      <c r="B694" s="49"/>
      <c r="C694" s="49"/>
      <c r="D694" s="49"/>
      <c r="E694" s="49"/>
      <c r="F694" s="49"/>
      <c r="G694" s="49"/>
      <c r="H694" s="49"/>
      <c r="I694" s="49"/>
      <c r="J694" s="49"/>
    </row>
    <row r="695">
      <c r="A695" s="63"/>
      <c r="B695" s="49"/>
      <c r="C695" s="49"/>
      <c r="D695" s="49"/>
      <c r="E695" s="49"/>
      <c r="F695" s="49"/>
      <c r="G695" s="49"/>
      <c r="H695" s="49"/>
      <c r="I695" s="49"/>
      <c r="J695" s="49"/>
    </row>
    <row r="696">
      <c r="A696" s="63"/>
      <c r="B696" s="49"/>
      <c r="C696" s="49"/>
      <c r="D696" s="49"/>
      <c r="E696" s="49"/>
      <c r="F696" s="49"/>
      <c r="G696" s="49"/>
      <c r="H696" s="49"/>
      <c r="I696" s="49"/>
      <c r="J696" s="49"/>
    </row>
    <row r="697">
      <c r="A697" s="63"/>
      <c r="B697" s="49"/>
      <c r="C697" s="49"/>
      <c r="D697" s="49"/>
      <c r="E697" s="49"/>
      <c r="F697" s="49"/>
      <c r="G697" s="49"/>
      <c r="H697" s="49"/>
      <c r="I697" s="49"/>
      <c r="J697" s="49"/>
    </row>
    <row r="698">
      <c r="A698" s="63"/>
      <c r="B698" s="49"/>
      <c r="C698" s="49"/>
      <c r="D698" s="49"/>
      <c r="E698" s="49"/>
      <c r="F698" s="49"/>
      <c r="G698" s="49"/>
      <c r="H698" s="49"/>
      <c r="I698" s="49"/>
      <c r="J698" s="49"/>
    </row>
    <row r="699">
      <c r="A699" s="63"/>
      <c r="B699" s="49"/>
      <c r="C699" s="49"/>
      <c r="D699" s="49"/>
      <c r="E699" s="49"/>
      <c r="F699" s="49"/>
      <c r="G699" s="49"/>
      <c r="H699" s="49"/>
      <c r="I699" s="49"/>
      <c r="J699" s="49"/>
    </row>
    <row r="700">
      <c r="A700" s="63"/>
      <c r="B700" s="49"/>
      <c r="C700" s="49"/>
      <c r="D700" s="49"/>
      <c r="E700" s="49"/>
      <c r="F700" s="49"/>
      <c r="G700" s="49"/>
      <c r="H700" s="49"/>
      <c r="I700" s="49"/>
      <c r="J700" s="49"/>
    </row>
    <row r="701">
      <c r="A701" s="63"/>
      <c r="B701" s="49"/>
      <c r="C701" s="49"/>
      <c r="D701" s="49"/>
      <c r="E701" s="49"/>
      <c r="F701" s="49"/>
      <c r="G701" s="49"/>
      <c r="H701" s="49"/>
      <c r="I701" s="49"/>
      <c r="J701" s="49"/>
    </row>
    <row r="702">
      <c r="A702" s="63"/>
      <c r="B702" s="49"/>
      <c r="C702" s="49"/>
      <c r="D702" s="49"/>
      <c r="E702" s="49"/>
      <c r="F702" s="49"/>
      <c r="G702" s="49"/>
      <c r="H702" s="49"/>
      <c r="I702" s="49"/>
      <c r="J702" s="49"/>
    </row>
    <row r="703">
      <c r="A703" s="63"/>
      <c r="B703" s="49"/>
      <c r="C703" s="49"/>
      <c r="D703" s="49"/>
      <c r="E703" s="49"/>
      <c r="F703" s="49"/>
      <c r="G703" s="49"/>
      <c r="H703" s="49"/>
      <c r="I703" s="49"/>
      <c r="J703" s="49"/>
    </row>
    <row r="704">
      <c r="A704" s="63"/>
      <c r="B704" s="49"/>
      <c r="C704" s="49"/>
      <c r="D704" s="49"/>
      <c r="E704" s="49"/>
      <c r="F704" s="49"/>
      <c r="G704" s="49"/>
      <c r="H704" s="49"/>
      <c r="I704" s="49"/>
      <c r="J704" s="49"/>
    </row>
    <row r="705">
      <c r="A705" s="63"/>
      <c r="B705" s="49"/>
      <c r="C705" s="49"/>
      <c r="D705" s="49"/>
      <c r="E705" s="49"/>
      <c r="F705" s="49"/>
      <c r="G705" s="49"/>
      <c r="H705" s="49"/>
      <c r="I705" s="49"/>
      <c r="J705" s="49"/>
    </row>
    <row r="706">
      <c r="A706" s="63"/>
      <c r="B706" s="49"/>
      <c r="C706" s="49"/>
      <c r="D706" s="49"/>
      <c r="E706" s="49"/>
      <c r="F706" s="49"/>
      <c r="G706" s="49"/>
      <c r="H706" s="49"/>
      <c r="I706" s="49"/>
      <c r="J706" s="49"/>
    </row>
    <row r="707">
      <c r="A707" s="63"/>
      <c r="B707" s="49"/>
      <c r="C707" s="49"/>
      <c r="D707" s="49"/>
      <c r="E707" s="49"/>
      <c r="F707" s="49"/>
      <c r="G707" s="49"/>
      <c r="H707" s="49"/>
      <c r="I707" s="49"/>
      <c r="J707" s="49"/>
    </row>
    <row r="708">
      <c r="A708" s="63"/>
      <c r="B708" s="49"/>
      <c r="C708" s="49"/>
      <c r="D708" s="49"/>
      <c r="E708" s="49"/>
      <c r="F708" s="49"/>
      <c r="G708" s="49"/>
      <c r="H708" s="49"/>
      <c r="I708" s="49"/>
      <c r="J708" s="49"/>
    </row>
    <row r="709">
      <c r="A709" s="63"/>
      <c r="B709" s="49"/>
      <c r="C709" s="49"/>
      <c r="D709" s="49"/>
      <c r="E709" s="49"/>
      <c r="F709" s="49"/>
      <c r="G709" s="49"/>
      <c r="H709" s="49"/>
      <c r="I709" s="49"/>
      <c r="J709" s="49"/>
    </row>
    <row r="710">
      <c r="A710" s="63"/>
      <c r="B710" s="49"/>
      <c r="C710" s="49"/>
      <c r="D710" s="49"/>
      <c r="E710" s="49"/>
      <c r="F710" s="49"/>
      <c r="G710" s="49"/>
      <c r="H710" s="49"/>
      <c r="I710" s="49"/>
      <c r="J710" s="49"/>
    </row>
    <row r="711">
      <c r="A711" s="63"/>
      <c r="B711" s="49"/>
      <c r="C711" s="49"/>
      <c r="D711" s="49"/>
      <c r="E711" s="49"/>
      <c r="F711" s="49"/>
      <c r="G711" s="49"/>
      <c r="H711" s="49"/>
      <c r="I711" s="49"/>
      <c r="J711" s="49"/>
    </row>
    <row r="712">
      <c r="A712" s="63"/>
      <c r="B712" s="49"/>
      <c r="C712" s="49"/>
      <c r="D712" s="49"/>
      <c r="E712" s="49"/>
      <c r="F712" s="49"/>
      <c r="G712" s="49"/>
      <c r="H712" s="49"/>
      <c r="I712" s="49"/>
      <c r="J712" s="49"/>
    </row>
    <row r="713">
      <c r="A713" s="63"/>
      <c r="B713" s="49"/>
      <c r="C713" s="49"/>
      <c r="D713" s="49"/>
      <c r="E713" s="49"/>
      <c r="F713" s="49"/>
      <c r="G713" s="49"/>
      <c r="H713" s="49"/>
      <c r="I713" s="49"/>
      <c r="J713" s="49"/>
    </row>
    <row r="714">
      <c r="A714" s="63"/>
      <c r="B714" s="49"/>
      <c r="C714" s="49"/>
      <c r="D714" s="49"/>
      <c r="E714" s="49"/>
      <c r="F714" s="49"/>
      <c r="G714" s="49"/>
      <c r="H714" s="49"/>
      <c r="I714" s="49"/>
      <c r="J714" s="49"/>
    </row>
    <row r="715">
      <c r="A715" s="63"/>
      <c r="B715" s="49"/>
      <c r="C715" s="49"/>
      <c r="D715" s="49"/>
      <c r="E715" s="49"/>
      <c r="F715" s="49"/>
      <c r="G715" s="49"/>
      <c r="H715" s="49"/>
      <c r="I715" s="49"/>
      <c r="J715" s="49"/>
    </row>
    <row r="716">
      <c r="A716" s="63"/>
      <c r="B716" s="49"/>
      <c r="C716" s="49"/>
      <c r="D716" s="49"/>
      <c r="E716" s="49"/>
      <c r="F716" s="49"/>
      <c r="G716" s="49"/>
      <c r="H716" s="49"/>
      <c r="I716" s="49"/>
      <c r="J716" s="49"/>
    </row>
    <row r="717">
      <c r="A717" s="63"/>
      <c r="B717" s="49"/>
      <c r="C717" s="49"/>
      <c r="D717" s="49"/>
      <c r="E717" s="49"/>
      <c r="F717" s="49"/>
      <c r="G717" s="49"/>
      <c r="H717" s="49"/>
      <c r="I717" s="49"/>
      <c r="J717" s="49"/>
    </row>
    <row r="718">
      <c r="A718" s="63"/>
      <c r="B718" s="49"/>
      <c r="C718" s="49"/>
      <c r="D718" s="49"/>
      <c r="E718" s="49"/>
      <c r="F718" s="49"/>
      <c r="G718" s="49"/>
      <c r="H718" s="49"/>
      <c r="I718" s="49"/>
      <c r="J718" s="49"/>
    </row>
    <row r="719">
      <c r="A719" s="63"/>
      <c r="B719" s="49"/>
      <c r="C719" s="49"/>
      <c r="D719" s="49"/>
      <c r="E719" s="49"/>
      <c r="F719" s="49"/>
      <c r="G719" s="49"/>
      <c r="H719" s="49"/>
      <c r="I719" s="49"/>
      <c r="J719" s="49"/>
    </row>
    <row r="720">
      <c r="A720" s="63"/>
      <c r="B720" s="49"/>
      <c r="C720" s="49"/>
      <c r="D720" s="49"/>
      <c r="E720" s="49"/>
      <c r="F720" s="49"/>
      <c r="G720" s="49"/>
      <c r="H720" s="49"/>
      <c r="I720" s="49"/>
      <c r="J720" s="49"/>
    </row>
    <row r="721">
      <c r="A721" s="63"/>
      <c r="B721" s="49"/>
      <c r="C721" s="49"/>
      <c r="D721" s="49"/>
      <c r="E721" s="49"/>
      <c r="F721" s="49"/>
      <c r="G721" s="49"/>
      <c r="H721" s="49"/>
      <c r="I721" s="49"/>
      <c r="J721" s="49"/>
    </row>
    <row r="722">
      <c r="A722" s="63"/>
      <c r="B722" s="49"/>
      <c r="C722" s="49"/>
      <c r="D722" s="49"/>
      <c r="E722" s="49"/>
      <c r="F722" s="49"/>
      <c r="G722" s="49"/>
      <c r="H722" s="49"/>
      <c r="I722" s="49"/>
      <c r="J722" s="49"/>
    </row>
    <row r="723">
      <c r="A723" s="63"/>
      <c r="B723" s="49"/>
      <c r="C723" s="49"/>
      <c r="D723" s="49"/>
      <c r="E723" s="49"/>
      <c r="F723" s="49"/>
      <c r="G723" s="49"/>
      <c r="H723" s="49"/>
      <c r="I723" s="49"/>
      <c r="J723" s="49"/>
    </row>
    <row r="724">
      <c r="A724" s="63"/>
      <c r="B724" s="49"/>
      <c r="C724" s="49"/>
      <c r="D724" s="49"/>
      <c r="E724" s="49"/>
      <c r="F724" s="49"/>
      <c r="G724" s="49"/>
      <c r="H724" s="49"/>
      <c r="I724" s="49"/>
      <c r="J724" s="49"/>
    </row>
    <row r="725">
      <c r="A725" s="63"/>
      <c r="B725" s="49"/>
      <c r="C725" s="49"/>
      <c r="D725" s="49"/>
      <c r="E725" s="49"/>
      <c r="F725" s="49"/>
      <c r="G725" s="49"/>
      <c r="H725" s="49"/>
      <c r="I725" s="49"/>
      <c r="J725" s="49"/>
    </row>
    <row r="726">
      <c r="A726" s="63"/>
      <c r="B726" s="49"/>
      <c r="C726" s="49"/>
      <c r="D726" s="49"/>
      <c r="E726" s="49"/>
      <c r="F726" s="49"/>
      <c r="G726" s="49"/>
      <c r="H726" s="49"/>
      <c r="I726" s="49"/>
      <c r="J726" s="49"/>
    </row>
    <row r="727">
      <c r="A727" s="63"/>
      <c r="B727" s="49"/>
      <c r="C727" s="49"/>
      <c r="D727" s="49"/>
      <c r="E727" s="49"/>
      <c r="F727" s="49"/>
      <c r="G727" s="49"/>
      <c r="H727" s="49"/>
      <c r="I727" s="49"/>
      <c r="J727" s="49"/>
    </row>
    <row r="728">
      <c r="A728" s="63"/>
      <c r="B728" s="49"/>
      <c r="C728" s="49"/>
      <c r="D728" s="49"/>
      <c r="E728" s="49"/>
      <c r="F728" s="49"/>
      <c r="G728" s="49"/>
      <c r="H728" s="49"/>
      <c r="I728" s="49"/>
      <c r="J728" s="49"/>
    </row>
    <row r="729">
      <c r="A729" s="63"/>
      <c r="B729" s="49"/>
      <c r="C729" s="49"/>
      <c r="D729" s="49"/>
      <c r="E729" s="49"/>
      <c r="F729" s="49"/>
      <c r="G729" s="49"/>
      <c r="H729" s="49"/>
      <c r="I729" s="49"/>
      <c r="J729" s="49"/>
    </row>
    <row r="730">
      <c r="A730" s="63"/>
      <c r="B730" s="49"/>
      <c r="C730" s="49"/>
      <c r="D730" s="49"/>
      <c r="E730" s="49"/>
      <c r="F730" s="49"/>
      <c r="G730" s="49"/>
      <c r="H730" s="49"/>
      <c r="I730" s="49"/>
      <c r="J730" s="49"/>
    </row>
    <row r="731">
      <c r="A731" s="63"/>
      <c r="B731" s="49"/>
      <c r="C731" s="49"/>
      <c r="D731" s="49"/>
      <c r="E731" s="49"/>
      <c r="F731" s="49"/>
      <c r="G731" s="49"/>
      <c r="H731" s="49"/>
      <c r="I731" s="49"/>
      <c r="J731" s="49"/>
    </row>
    <row r="732">
      <c r="A732" s="63"/>
      <c r="B732" s="49"/>
      <c r="C732" s="49"/>
      <c r="D732" s="49"/>
      <c r="E732" s="49"/>
      <c r="F732" s="49"/>
      <c r="G732" s="49"/>
      <c r="H732" s="49"/>
      <c r="I732" s="49"/>
      <c r="J732" s="49"/>
    </row>
    <row r="733">
      <c r="A733" s="63"/>
      <c r="B733" s="49"/>
      <c r="C733" s="49"/>
      <c r="D733" s="49"/>
      <c r="E733" s="49"/>
      <c r="F733" s="49"/>
      <c r="G733" s="49"/>
      <c r="H733" s="49"/>
      <c r="I733" s="49"/>
      <c r="J733" s="49"/>
    </row>
    <row r="734">
      <c r="A734" s="63"/>
      <c r="B734" s="49"/>
      <c r="C734" s="49"/>
      <c r="D734" s="49"/>
      <c r="E734" s="49"/>
      <c r="F734" s="49"/>
      <c r="G734" s="49"/>
      <c r="H734" s="49"/>
      <c r="I734" s="49"/>
      <c r="J734" s="49"/>
    </row>
    <row r="735">
      <c r="A735" s="63"/>
      <c r="B735" s="49"/>
      <c r="C735" s="49"/>
      <c r="D735" s="49"/>
      <c r="E735" s="49"/>
      <c r="F735" s="49"/>
      <c r="G735" s="49"/>
      <c r="H735" s="49"/>
      <c r="I735" s="49"/>
      <c r="J735" s="49"/>
    </row>
    <row r="736">
      <c r="A736" s="63"/>
      <c r="B736" s="49"/>
      <c r="C736" s="49"/>
      <c r="D736" s="49"/>
      <c r="E736" s="49"/>
      <c r="F736" s="49"/>
      <c r="G736" s="49"/>
      <c r="H736" s="49"/>
      <c r="I736" s="49"/>
      <c r="J736" s="49"/>
    </row>
    <row r="737">
      <c r="A737" s="63"/>
      <c r="B737" s="49"/>
      <c r="C737" s="49"/>
      <c r="D737" s="49"/>
      <c r="E737" s="49"/>
      <c r="F737" s="49"/>
      <c r="G737" s="49"/>
      <c r="H737" s="49"/>
      <c r="I737" s="49"/>
      <c r="J737" s="49"/>
    </row>
    <row r="738">
      <c r="A738" s="63"/>
      <c r="B738" s="49"/>
      <c r="C738" s="49"/>
      <c r="D738" s="49"/>
      <c r="E738" s="49"/>
      <c r="F738" s="49"/>
      <c r="G738" s="49"/>
      <c r="H738" s="49"/>
      <c r="I738" s="49"/>
      <c r="J738" s="49"/>
    </row>
    <row r="739">
      <c r="A739" s="63"/>
      <c r="B739" s="49"/>
      <c r="C739" s="49"/>
      <c r="D739" s="49"/>
      <c r="E739" s="49"/>
      <c r="F739" s="49"/>
      <c r="G739" s="49"/>
      <c r="H739" s="49"/>
      <c r="I739" s="49"/>
      <c r="J739" s="49"/>
    </row>
    <row r="740">
      <c r="A740" s="63"/>
      <c r="B740" s="49"/>
      <c r="C740" s="49"/>
      <c r="D740" s="49"/>
      <c r="E740" s="49"/>
      <c r="F740" s="49"/>
      <c r="G740" s="49"/>
      <c r="H740" s="49"/>
      <c r="I740" s="49"/>
      <c r="J740" s="49"/>
    </row>
    <row r="741">
      <c r="A741" s="63"/>
      <c r="B741" s="49"/>
      <c r="C741" s="49"/>
      <c r="D741" s="49"/>
      <c r="E741" s="49"/>
      <c r="F741" s="49"/>
      <c r="G741" s="49"/>
      <c r="H741" s="49"/>
      <c r="I741" s="49"/>
      <c r="J741" s="49"/>
    </row>
    <row r="742">
      <c r="A742" s="63"/>
      <c r="B742" s="49"/>
      <c r="C742" s="49"/>
      <c r="D742" s="49"/>
      <c r="E742" s="49"/>
      <c r="F742" s="49"/>
      <c r="G742" s="49"/>
      <c r="H742" s="49"/>
      <c r="I742" s="49"/>
      <c r="J742" s="49"/>
    </row>
    <row r="743">
      <c r="A743" s="63"/>
      <c r="B743" s="49"/>
      <c r="C743" s="49"/>
      <c r="D743" s="49"/>
      <c r="E743" s="49"/>
      <c r="F743" s="49"/>
      <c r="G743" s="49"/>
      <c r="H743" s="49"/>
      <c r="I743" s="49"/>
      <c r="J743" s="49"/>
    </row>
    <row r="744">
      <c r="A744" s="63"/>
      <c r="B744" s="49"/>
      <c r="C744" s="49"/>
      <c r="D744" s="49"/>
      <c r="E744" s="49"/>
      <c r="F744" s="49"/>
      <c r="G744" s="49"/>
      <c r="H744" s="49"/>
      <c r="I744" s="49"/>
      <c r="J744" s="49"/>
    </row>
    <row r="745">
      <c r="A745" s="63"/>
      <c r="B745" s="49"/>
      <c r="C745" s="49"/>
      <c r="D745" s="49"/>
      <c r="E745" s="49"/>
      <c r="F745" s="49"/>
      <c r="G745" s="49"/>
      <c r="H745" s="49"/>
      <c r="I745" s="49"/>
      <c r="J745" s="49"/>
    </row>
    <row r="746">
      <c r="A746" s="63"/>
      <c r="B746" s="49"/>
      <c r="C746" s="49"/>
      <c r="D746" s="49"/>
      <c r="E746" s="49"/>
      <c r="F746" s="49"/>
      <c r="G746" s="49"/>
      <c r="H746" s="49"/>
      <c r="I746" s="49"/>
      <c r="J746" s="49"/>
    </row>
    <row r="747">
      <c r="A747" s="63"/>
      <c r="B747" s="49"/>
      <c r="C747" s="49"/>
      <c r="D747" s="49"/>
      <c r="E747" s="49"/>
      <c r="F747" s="49"/>
      <c r="G747" s="49"/>
      <c r="H747" s="49"/>
      <c r="I747" s="49"/>
      <c r="J747" s="49"/>
    </row>
    <row r="748">
      <c r="A748" s="63"/>
      <c r="B748" s="49"/>
      <c r="C748" s="49"/>
      <c r="D748" s="49"/>
      <c r="E748" s="49"/>
      <c r="F748" s="49"/>
      <c r="G748" s="49"/>
      <c r="H748" s="49"/>
      <c r="I748" s="49"/>
      <c r="J748" s="49"/>
    </row>
    <row r="749">
      <c r="A749" s="63"/>
      <c r="B749" s="49"/>
      <c r="C749" s="49"/>
      <c r="D749" s="49"/>
      <c r="E749" s="49"/>
      <c r="F749" s="49"/>
      <c r="G749" s="49"/>
      <c r="H749" s="49"/>
      <c r="I749" s="49"/>
      <c r="J749" s="49"/>
    </row>
    <row r="750">
      <c r="A750" s="63"/>
      <c r="B750" s="49"/>
      <c r="C750" s="49"/>
      <c r="D750" s="49"/>
      <c r="E750" s="49"/>
      <c r="F750" s="49"/>
      <c r="G750" s="49"/>
      <c r="H750" s="49"/>
      <c r="I750" s="49"/>
      <c r="J750" s="49"/>
    </row>
    <row r="751">
      <c r="A751" s="63"/>
      <c r="B751" s="49"/>
      <c r="C751" s="49"/>
      <c r="D751" s="49"/>
      <c r="E751" s="49"/>
      <c r="F751" s="49"/>
      <c r="G751" s="49"/>
      <c r="H751" s="49"/>
      <c r="I751" s="49"/>
      <c r="J751" s="49"/>
    </row>
    <row r="752">
      <c r="A752" s="63"/>
      <c r="B752" s="49"/>
      <c r="C752" s="49"/>
      <c r="D752" s="49"/>
      <c r="E752" s="49"/>
      <c r="F752" s="49"/>
      <c r="G752" s="49"/>
      <c r="H752" s="49"/>
      <c r="I752" s="49"/>
      <c r="J752" s="49"/>
    </row>
    <row r="753">
      <c r="A753" s="63"/>
      <c r="B753" s="49"/>
      <c r="C753" s="49"/>
      <c r="D753" s="49"/>
      <c r="E753" s="49"/>
      <c r="F753" s="49"/>
      <c r="G753" s="49"/>
      <c r="H753" s="49"/>
      <c r="I753" s="49"/>
      <c r="J753" s="49"/>
    </row>
    <row r="754">
      <c r="A754" s="63"/>
      <c r="B754" s="49"/>
      <c r="C754" s="49"/>
      <c r="D754" s="49"/>
      <c r="E754" s="49"/>
      <c r="F754" s="49"/>
      <c r="G754" s="49"/>
      <c r="H754" s="49"/>
      <c r="I754" s="49"/>
      <c r="J754" s="49"/>
    </row>
    <row r="755">
      <c r="A755" s="63"/>
      <c r="B755" s="49"/>
      <c r="C755" s="49"/>
      <c r="D755" s="49"/>
      <c r="E755" s="49"/>
      <c r="F755" s="49"/>
      <c r="G755" s="49"/>
      <c r="H755" s="49"/>
      <c r="I755" s="49"/>
      <c r="J755" s="49"/>
    </row>
    <row r="756">
      <c r="A756" s="63"/>
      <c r="B756" s="49"/>
      <c r="C756" s="49"/>
      <c r="D756" s="49"/>
      <c r="E756" s="49"/>
      <c r="F756" s="49"/>
      <c r="G756" s="49"/>
      <c r="H756" s="49"/>
      <c r="I756" s="49"/>
      <c r="J756" s="49"/>
    </row>
    <row r="757">
      <c r="A757" s="63"/>
      <c r="B757" s="49"/>
      <c r="C757" s="49"/>
      <c r="D757" s="49"/>
      <c r="E757" s="49"/>
      <c r="F757" s="49"/>
      <c r="G757" s="49"/>
      <c r="H757" s="49"/>
      <c r="I757" s="49"/>
      <c r="J757" s="49"/>
    </row>
    <row r="758">
      <c r="A758" s="63"/>
      <c r="B758" s="49"/>
      <c r="C758" s="49"/>
      <c r="D758" s="49"/>
      <c r="E758" s="49"/>
      <c r="F758" s="49"/>
      <c r="G758" s="49"/>
      <c r="H758" s="49"/>
      <c r="I758" s="49"/>
      <c r="J758" s="49"/>
    </row>
    <row r="759">
      <c r="A759" s="63"/>
      <c r="B759" s="49"/>
      <c r="C759" s="49"/>
      <c r="D759" s="49"/>
      <c r="E759" s="49"/>
      <c r="F759" s="49"/>
      <c r="G759" s="49"/>
      <c r="H759" s="49"/>
      <c r="I759" s="49"/>
      <c r="J759" s="49"/>
    </row>
    <row r="760">
      <c r="A760" s="63"/>
      <c r="B760" s="49"/>
      <c r="C760" s="49"/>
      <c r="D760" s="49"/>
      <c r="E760" s="49"/>
      <c r="F760" s="49"/>
      <c r="G760" s="49"/>
      <c r="H760" s="49"/>
      <c r="I760" s="49"/>
      <c r="J760" s="49"/>
    </row>
    <row r="761">
      <c r="A761" s="63"/>
      <c r="B761" s="49"/>
      <c r="C761" s="49"/>
      <c r="D761" s="49"/>
      <c r="E761" s="49"/>
      <c r="F761" s="49"/>
      <c r="G761" s="49"/>
      <c r="H761" s="49"/>
      <c r="I761" s="49"/>
      <c r="J761" s="49"/>
    </row>
    <row r="762">
      <c r="A762" s="63"/>
      <c r="B762" s="49"/>
      <c r="C762" s="49"/>
      <c r="D762" s="49"/>
      <c r="E762" s="49"/>
      <c r="F762" s="49"/>
      <c r="G762" s="49"/>
      <c r="H762" s="49"/>
      <c r="I762" s="49"/>
      <c r="J762" s="49"/>
    </row>
    <row r="763">
      <c r="A763" s="63"/>
      <c r="B763" s="49"/>
      <c r="C763" s="49"/>
      <c r="D763" s="49"/>
      <c r="E763" s="49"/>
      <c r="F763" s="49"/>
      <c r="G763" s="49"/>
      <c r="H763" s="49"/>
      <c r="I763" s="49"/>
      <c r="J763" s="49"/>
    </row>
    <row r="764">
      <c r="A764" s="63"/>
      <c r="B764" s="49"/>
      <c r="C764" s="49"/>
      <c r="D764" s="49"/>
      <c r="E764" s="49"/>
      <c r="F764" s="49"/>
      <c r="G764" s="49"/>
      <c r="H764" s="49"/>
      <c r="I764" s="49"/>
      <c r="J764" s="49"/>
    </row>
    <row r="765">
      <c r="A765" s="63"/>
      <c r="B765" s="49"/>
      <c r="C765" s="49"/>
      <c r="D765" s="49"/>
      <c r="E765" s="49"/>
      <c r="F765" s="49"/>
      <c r="G765" s="49"/>
      <c r="H765" s="49"/>
      <c r="I765" s="49"/>
      <c r="J765" s="49"/>
    </row>
    <row r="766">
      <c r="A766" s="63"/>
      <c r="B766" s="49"/>
      <c r="C766" s="49"/>
      <c r="D766" s="49"/>
      <c r="E766" s="49"/>
      <c r="F766" s="49"/>
      <c r="G766" s="49"/>
      <c r="H766" s="49"/>
      <c r="I766" s="49"/>
      <c r="J766" s="49"/>
    </row>
    <row r="767">
      <c r="A767" s="63"/>
      <c r="B767" s="49"/>
      <c r="C767" s="49"/>
      <c r="D767" s="49"/>
      <c r="E767" s="49"/>
      <c r="F767" s="49"/>
      <c r="G767" s="49"/>
      <c r="H767" s="49"/>
      <c r="I767" s="49"/>
      <c r="J767" s="49"/>
    </row>
    <row r="768">
      <c r="A768" s="63"/>
      <c r="B768" s="49"/>
      <c r="C768" s="49"/>
      <c r="D768" s="49"/>
      <c r="E768" s="49"/>
      <c r="F768" s="49"/>
      <c r="G768" s="49"/>
      <c r="H768" s="49"/>
      <c r="I768" s="49"/>
      <c r="J768" s="49"/>
    </row>
    <row r="769">
      <c r="A769" s="63"/>
      <c r="B769" s="49"/>
      <c r="C769" s="49"/>
      <c r="D769" s="49"/>
      <c r="E769" s="49"/>
      <c r="F769" s="49"/>
      <c r="G769" s="49"/>
      <c r="H769" s="49"/>
      <c r="I769" s="49"/>
      <c r="J769" s="49"/>
    </row>
    <row r="770">
      <c r="A770" s="63"/>
      <c r="B770" s="49"/>
      <c r="C770" s="49"/>
      <c r="D770" s="49"/>
      <c r="E770" s="49"/>
      <c r="F770" s="49"/>
      <c r="G770" s="49"/>
      <c r="H770" s="49"/>
      <c r="I770" s="49"/>
      <c r="J770" s="49"/>
    </row>
    <row r="771">
      <c r="A771" s="63"/>
      <c r="B771" s="49"/>
      <c r="C771" s="49"/>
      <c r="D771" s="49"/>
      <c r="E771" s="49"/>
      <c r="F771" s="49"/>
      <c r="G771" s="49"/>
      <c r="H771" s="49"/>
      <c r="I771" s="49"/>
      <c r="J771" s="49"/>
    </row>
    <row r="772">
      <c r="A772" s="63"/>
      <c r="B772" s="49"/>
      <c r="C772" s="49"/>
      <c r="D772" s="49"/>
      <c r="E772" s="49"/>
      <c r="F772" s="49"/>
      <c r="G772" s="49"/>
      <c r="H772" s="49"/>
      <c r="I772" s="49"/>
      <c r="J772" s="49"/>
    </row>
    <row r="773">
      <c r="A773" s="63"/>
      <c r="B773" s="49"/>
      <c r="C773" s="49"/>
      <c r="D773" s="49"/>
      <c r="E773" s="49"/>
      <c r="F773" s="49"/>
      <c r="G773" s="49"/>
      <c r="H773" s="49"/>
      <c r="I773" s="49"/>
      <c r="J773" s="49"/>
    </row>
    <row r="774">
      <c r="A774" s="63"/>
      <c r="B774" s="49"/>
      <c r="C774" s="49"/>
      <c r="D774" s="49"/>
      <c r="E774" s="49"/>
      <c r="F774" s="49"/>
      <c r="G774" s="49"/>
      <c r="H774" s="49"/>
      <c r="I774" s="49"/>
      <c r="J774" s="49"/>
    </row>
    <row r="775">
      <c r="A775" s="63"/>
      <c r="B775" s="49"/>
      <c r="C775" s="49"/>
      <c r="D775" s="49"/>
      <c r="E775" s="49"/>
      <c r="F775" s="49"/>
      <c r="G775" s="49"/>
      <c r="H775" s="49"/>
      <c r="I775" s="49"/>
      <c r="J775" s="49"/>
    </row>
    <row r="776">
      <c r="A776" s="63"/>
      <c r="B776" s="49"/>
      <c r="C776" s="49"/>
      <c r="D776" s="49"/>
      <c r="E776" s="49"/>
      <c r="F776" s="49"/>
      <c r="G776" s="49"/>
      <c r="H776" s="49"/>
      <c r="I776" s="49"/>
      <c r="J776" s="49"/>
    </row>
    <row r="777">
      <c r="A777" s="63"/>
      <c r="B777" s="49"/>
      <c r="C777" s="49"/>
      <c r="D777" s="49"/>
      <c r="E777" s="49"/>
      <c r="F777" s="49"/>
      <c r="G777" s="49"/>
      <c r="H777" s="49"/>
      <c r="I777" s="49"/>
      <c r="J777" s="49"/>
    </row>
    <row r="778">
      <c r="A778" s="63"/>
      <c r="B778" s="49"/>
      <c r="C778" s="49"/>
      <c r="D778" s="49"/>
      <c r="E778" s="49"/>
      <c r="F778" s="49"/>
      <c r="G778" s="49"/>
      <c r="H778" s="49"/>
      <c r="I778" s="49"/>
      <c r="J778" s="49"/>
    </row>
    <row r="779">
      <c r="A779" s="63"/>
      <c r="B779" s="49"/>
      <c r="C779" s="49"/>
      <c r="D779" s="49"/>
      <c r="E779" s="49"/>
      <c r="F779" s="49"/>
      <c r="G779" s="49"/>
      <c r="H779" s="49"/>
      <c r="I779" s="49"/>
      <c r="J779" s="49"/>
    </row>
    <row r="780">
      <c r="A780" s="63"/>
      <c r="B780" s="49"/>
      <c r="C780" s="49"/>
      <c r="D780" s="49"/>
      <c r="E780" s="49"/>
      <c r="F780" s="49"/>
      <c r="G780" s="49"/>
      <c r="H780" s="49"/>
      <c r="I780" s="49"/>
      <c r="J780" s="49"/>
    </row>
    <row r="781">
      <c r="A781" s="63"/>
      <c r="B781" s="49"/>
      <c r="C781" s="49"/>
      <c r="D781" s="49"/>
      <c r="E781" s="49"/>
      <c r="F781" s="49"/>
      <c r="G781" s="49"/>
      <c r="H781" s="49"/>
      <c r="I781" s="49"/>
      <c r="J781" s="49"/>
    </row>
    <row r="782">
      <c r="A782" s="63"/>
      <c r="B782" s="49"/>
      <c r="C782" s="49"/>
      <c r="D782" s="49"/>
      <c r="E782" s="49"/>
      <c r="F782" s="49"/>
      <c r="G782" s="49"/>
      <c r="H782" s="49"/>
      <c r="I782" s="49"/>
      <c r="J782" s="49"/>
    </row>
    <row r="783">
      <c r="A783" s="63"/>
      <c r="B783" s="49"/>
      <c r="C783" s="49"/>
      <c r="D783" s="49"/>
      <c r="E783" s="49"/>
      <c r="F783" s="49"/>
      <c r="G783" s="49"/>
      <c r="H783" s="49"/>
      <c r="I783" s="49"/>
      <c r="J783" s="49"/>
    </row>
    <row r="784">
      <c r="A784" s="63"/>
      <c r="B784" s="49"/>
      <c r="C784" s="49"/>
      <c r="D784" s="49"/>
      <c r="E784" s="49"/>
      <c r="F784" s="49"/>
      <c r="G784" s="49"/>
      <c r="H784" s="49"/>
      <c r="I784" s="49"/>
      <c r="J784" s="49"/>
    </row>
    <row r="785">
      <c r="A785" s="63"/>
      <c r="B785" s="49"/>
      <c r="C785" s="49"/>
      <c r="D785" s="49"/>
      <c r="E785" s="49"/>
      <c r="F785" s="49"/>
      <c r="G785" s="49"/>
      <c r="H785" s="49"/>
      <c r="I785" s="49"/>
      <c r="J785" s="49"/>
    </row>
    <row r="786">
      <c r="A786" s="63"/>
      <c r="B786" s="49"/>
      <c r="C786" s="49"/>
      <c r="D786" s="49"/>
      <c r="E786" s="49"/>
      <c r="F786" s="49"/>
      <c r="G786" s="49"/>
      <c r="H786" s="49"/>
      <c r="I786" s="49"/>
      <c r="J786" s="49"/>
    </row>
    <row r="787">
      <c r="A787" s="63"/>
      <c r="B787" s="49"/>
      <c r="C787" s="49"/>
      <c r="D787" s="49"/>
      <c r="E787" s="49"/>
      <c r="F787" s="49"/>
      <c r="G787" s="49"/>
      <c r="H787" s="49"/>
      <c r="I787" s="49"/>
      <c r="J787" s="49"/>
    </row>
    <row r="788">
      <c r="A788" s="63"/>
      <c r="B788" s="49"/>
      <c r="C788" s="49"/>
      <c r="D788" s="49"/>
      <c r="E788" s="49"/>
      <c r="F788" s="49"/>
      <c r="G788" s="49"/>
      <c r="H788" s="49"/>
      <c r="I788" s="49"/>
      <c r="J788" s="49"/>
    </row>
    <row r="789">
      <c r="A789" s="63"/>
      <c r="B789" s="49"/>
      <c r="C789" s="49"/>
      <c r="D789" s="49"/>
      <c r="E789" s="49"/>
      <c r="F789" s="49"/>
      <c r="G789" s="49"/>
      <c r="H789" s="49"/>
      <c r="I789" s="49"/>
      <c r="J789" s="49"/>
    </row>
    <row r="790">
      <c r="A790" s="63"/>
      <c r="B790" s="49"/>
      <c r="C790" s="49"/>
      <c r="D790" s="49"/>
      <c r="E790" s="49"/>
      <c r="F790" s="49"/>
      <c r="G790" s="49"/>
      <c r="H790" s="49"/>
      <c r="I790" s="49"/>
      <c r="J790" s="49"/>
    </row>
    <row r="791">
      <c r="A791" s="63"/>
      <c r="B791" s="49"/>
      <c r="C791" s="49"/>
      <c r="D791" s="49"/>
      <c r="E791" s="49"/>
      <c r="F791" s="49"/>
      <c r="G791" s="49"/>
      <c r="H791" s="49"/>
      <c r="I791" s="49"/>
      <c r="J791" s="49"/>
    </row>
    <row r="792">
      <c r="A792" s="63"/>
      <c r="B792" s="49"/>
      <c r="C792" s="49"/>
      <c r="D792" s="49"/>
      <c r="E792" s="49"/>
      <c r="F792" s="49"/>
      <c r="G792" s="49"/>
      <c r="H792" s="49"/>
      <c r="I792" s="49"/>
      <c r="J792" s="49"/>
    </row>
    <row r="793">
      <c r="A793" s="63"/>
      <c r="B793" s="49"/>
      <c r="C793" s="49"/>
      <c r="D793" s="49"/>
      <c r="E793" s="49"/>
      <c r="F793" s="49"/>
      <c r="G793" s="49"/>
      <c r="H793" s="49"/>
      <c r="I793" s="49"/>
      <c r="J793" s="49"/>
    </row>
    <row r="794">
      <c r="A794" s="63"/>
      <c r="B794" s="49"/>
      <c r="C794" s="49"/>
      <c r="D794" s="49"/>
      <c r="E794" s="49"/>
      <c r="F794" s="49"/>
      <c r="G794" s="49"/>
      <c r="H794" s="49"/>
      <c r="I794" s="49"/>
      <c r="J794" s="49"/>
    </row>
    <row r="795">
      <c r="A795" s="63"/>
      <c r="B795" s="49"/>
      <c r="C795" s="49"/>
      <c r="D795" s="49"/>
      <c r="E795" s="49"/>
      <c r="F795" s="49"/>
      <c r="G795" s="49"/>
      <c r="H795" s="49"/>
      <c r="I795" s="49"/>
      <c r="J795" s="49"/>
    </row>
    <row r="796">
      <c r="A796" s="63"/>
      <c r="B796" s="49"/>
      <c r="C796" s="49"/>
      <c r="D796" s="49"/>
      <c r="E796" s="49"/>
      <c r="F796" s="49"/>
      <c r="G796" s="49"/>
      <c r="H796" s="49"/>
      <c r="I796" s="49"/>
      <c r="J796" s="49"/>
    </row>
    <row r="797">
      <c r="A797" s="63"/>
      <c r="B797" s="49"/>
      <c r="C797" s="49"/>
      <c r="D797" s="49"/>
      <c r="E797" s="49"/>
      <c r="F797" s="49"/>
      <c r="G797" s="49"/>
      <c r="H797" s="49"/>
      <c r="I797" s="49"/>
      <c r="J797" s="49"/>
    </row>
    <row r="798">
      <c r="A798" s="63"/>
      <c r="B798" s="49"/>
      <c r="C798" s="49"/>
      <c r="D798" s="49"/>
      <c r="E798" s="49"/>
      <c r="F798" s="49"/>
      <c r="G798" s="49"/>
      <c r="H798" s="49"/>
      <c r="I798" s="49"/>
      <c r="J798" s="49"/>
    </row>
    <row r="799">
      <c r="A799" s="63"/>
      <c r="B799" s="49"/>
      <c r="C799" s="49"/>
      <c r="D799" s="49"/>
      <c r="E799" s="49"/>
      <c r="F799" s="49"/>
      <c r="G799" s="49"/>
      <c r="H799" s="49"/>
      <c r="I799" s="49"/>
      <c r="J799" s="49"/>
    </row>
    <row r="800">
      <c r="A800" s="63"/>
      <c r="B800" s="49"/>
      <c r="C800" s="49"/>
      <c r="D800" s="49"/>
      <c r="E800" s="49"/>
      <c r="F800" s="49"/>
      <c r="G800" s="49"/>
      <c r="H800" s="49"/>
      <c r="I800" s="49"/>
      <c r="J800" s="49"/>
    </row>
    <row r="801">
      <c r="A801" s="63"/>
      <c r="B801" s="49"/>
      <c r="C801" s="49"/>
      <c r="D801" s="49"/>
      <c r="E801" s="49"/>
      <c r="F801" s="49"/>
      <c r="G801" s="49"/>
      <c r="H801" s="49"/>
      <c r="I801" s="49"/>
      <c r="J801" s="49"/>
    </row>
    <row r="802">
      <c r="A802" s="63"/>
      <c r="B802" s="49"/>
      <c r="C802" s="49"/>
      <c r="D802" s="49"/>
      <c r="E802" s="49"/>
      <c r="F802" s="49"/>
      <c r="G802" s="49"/>
      <c r="H802" s="49"/>
      <c r="I802" s="49"/>
      <c r="J802" s="49"/>
    </row>
    <row r="803">
      <c r="A803" s="63"/>
      <c r="B803" s="49"/>
      <c r="C803" s="49"/>
      <c r="D803" s="49"/>
      <c r="E803" s="49"/>
      <c r="F803" s="49"/>
      <c r="G803" s="49"/>
      <c r="H803" s="49"/>
      <c r="I803" s="49"/>
      <c r="J803" s="49"/>
    </row>
    <row r="804">
      <c r="A804" s="63"/>
      <c r="B804" s="49"/>
      <c r="C804" s="49"/>
      <c r="D804" s="49"/>
      <c r="E804" s="49"/>
      <c r="F804" s="49"/>
      <c r="G804" s="49"/>
      <c r="H804" s="49"/>
      <c r="I804" s="49"/>
      <c r="J804" s="49"/>
    </row>
    <row r="805">
      <c r="A805" s="63"/>
      <c r="B805" s="49"/>
      <c r="C805" s="49"/>
      <c r="D805" s="49"/>
      <c r="E805" s="49"/>
      <c r="F805" s="49"/>
      <c r="G805" s="49"/>
      <c r="H805" s="49"/>
      <c r="I805" s="49"/>
      <c r="J805" s="49"/>
    </row>
    <row r="806">
      <c r="A806" s="63"/>
      <c r="B806" s="49"/>
      <c r="C806" s="49"/>
      <c r="D806" s="49"/>
      <c r="E806" s="49"/>
      <c r="F806" s="49"/>
      <c r="G806" s="49"/>
      <c r="H806" s="49"/>
      <c r="I806" s="49"/>
      <c r="J806" s="49"/>
    </row>
    <row r="807">
      <c r="A807" s="63"/>
      <c r="B807" s="49"/>
      <c r="C807" s="49"/>
      <c r="D807" s="49"/>
      <c r="E807" s="49"/>
      <c r="F807" s="49"/>
      <c r="G807" s="49"/>
      <c r="H807" s="49"/>
      <c r="I807" s="49"/>
      <c r="J807" s="49"/>
    </row>
    <row r="808">
      <c r="A808" s="63"/>
      <c r="B808" s="49"/>
      <c r="C808" s="49"/>
      <c r="D808" s="49"/>
      <c r="E808" s="49"/>
      <c r="F808" s="49"/>
      <c r="G808" s="49"/>
      <c r="H808" s="49"/>
      <c r="I808" s="49"/>
      <c r="J808" s="49"/>
    </row>
    <row r="809">
      <c r="A809" s="63"/>
      <c r="B809" s="49"/>
      <c r="C809" s="49"/>
      <c r="D809" s="49"/>
      <c r="E809" s="49"/>
      <c r="F809" s="49"/>
      <c r="G809" s="49"/>
      <c r="H809" s="49"/>
      <c r="I809" s="49"/>
      <c r="J809" s="49"/>
    </row>
    <row r="810">
      <c r="A810" s="63"/>
      <c r="B810" s="49"/>
      <c r="C810" s="49"/>
      <c r="D810" s="49"/>
      <c r="E810" s="49"/>
      <c r="F810" s="49"/>
      <c r="G810" s="49"/>
      <c r="H810" s="49"/>
      <c r="I810" s="49"/>
      <c r="J810" s="49"/>
    </row>
    <row r="811">
      <c r="A811" s="63"/>
      <c r="B811" s="49"/>
      <c r="C811" s="49"/>
      <c r="D811" s="49"/>
      <c r="E811" s="49"/>
      <c r="F811" s="49"/>
      <c r="G811" s="49"/>
      <c r="H811" s="49"/>
      <c r="I811" s="49"/>
      <c r="J811" s="49"/>
    </row>
    <row r="812">
      <c r="A812" s="63"/>
      <c r="B812" s="49"/>
      <c r="C812" s="49"/>
      <c r="D812" s="49"/>
      <c r="E812" s="49"/>
      <c r="F812" s="49"/>
      <c r="G812" s="49"/>
      <c r="H812" s="49"/>
      <c r="I812" s="49"/>
      <c r="J812" s="49"/>
    </row>
    <row r="813">
      <c r="A813" s="63"/>
      <c r="B813" s="49"/>
      <c r="C813" s="49"/>
      <c r="D813" s="49"/>
      <c r="E813" s="49"/>
      <c r="F813" s="49"/>
      <c r="G813" s="49"/>
      <c r="H813" s="49"/>
      <c r="I813" s="49"/>
      <c r="J813" s="49"/>
    </row>
    <row r="814">
      <c r="A814" s="63"/>
      <c r="B814" s="49"/>
      <c r="C814" s="49"/>
      <c r="D814" s="49"/>
      <c r="E814" s="49"/>
      <c r="F814" s="49"/>
      <c r="G814" s="49"/>
      <c r="H814" s="49"/>
      <c r="I814" s="49"/>
      <c r="J814" s="49"/>
    </row>
    <row r="815">
      <c r="A815" s="63"/>
      <c r="B815" s="49"/>
      <c r="C815" s="49"/>
      <c r="D815" s="49"/>
      <c r="E815" s="49"/>
      <c r="F815" s="49"/>
      <c r="G815" s="49"/>
      <c r="H815" s="49"/>
      <c r="I815" s="49"/>
      <c r="J815" s="49"/>
    </row>
    <row r="816">
      <c r="A816" s="63"/>
      <c r="B816" s="49"/>
      <c r="C816" s="49"/>
      <c r="D816" s="49"/>
      <c r="E816" s="49"/>
      <c r="F816" s="49"/>
      <c r="G816" s="49"/>
      <c r="H816" s="49"/>
      <c r="I816" s="49"/>
      <c r="J816" s="49"/>
    </row>
    <row r="817">
      <c r="A817" s="63"/>
      <c r="B817" s="49"/>
      <c r="C817" s="49"/>
      <c r="D817" s="49"/>
      <c r="E817" s="49"/>
      <c r="F817" s="49"/>
      <c r="G817" s="49"/>
      <c r="H817" s="49"/>
      <c r="I817" s="49"/>
      <c r="J817" s="49"/>
    </row>
    <row r="818">
      <c r="A818" s="63"/>
      <c r="B818" s="49"/>
      <c r="C818" s="49"/>
      <c r="D818" s="49"/>
      <c r="E818" s="49"/>
      <c r="F818" s="49"/>
      <c r="G818" s="49"/>
      <c r="H818" s="49"/>
      <c r="I818" s="49"/>
      <c r="J818" s="49"/>
    </row>
    <row r="819">
      <c r="A819" s="63"/>
      <c r="B819" s="49"/>
      <c r="C819" s="49"/>
      <c r="D819" s="49"/>
      <c r="E819" s="49"/>
      <c r="F819" s="49"/>
      <c r="G819" s="49"/>
      <c r="H819" s="49"/>
      <c r="I819" s="49"/>
      <c r="J819" s="49"/>
    </row>
    <row r="820">
      <c r="A820" s="63"/>
      <c r="B820" s="49"/>
      <c r="C820" s="49"/>
      <c r="D820" s="49"/>
      <c r="E820" s="49"/>
      <c r="F820" s="49"/>
      <c r="G820" s="49"/>
      <c r="H820" s="49"/>
      <c r="I820" s="49"/>
      <c r="J820" s="49"/>
    </row>
    <row r="821">
      <c r="A821" s="63"/>
      <c r="B821" s="49"/>
      <c r="C821" s="49"/>
      <c r="D821" s="49"/>
      <c r="E821" s="49"/>
      <c r="F821" s="49"/>
      <c r="G821" s="49"/>
      <c r="H821" s="49"/>
      <c r="I821" s="49"/>
      <c r="J821" s="49"/>
    </row>
    <row r="822">
      <c r="A822" s="63"/>
      <c r="B822" s="49"/>
      <c r="C822" s="49"/>
      <c r="D822" s="49"/>
      <c r="E822" s="49"/>
      <c r="F822" s="49"/>
      <c r="G822" s="49"/>
      <c r="H822" s="49"/>
      <c r="I822" s="49"/>
      <c r="J822" s="49"/>
    </row>
    <row r="823">
      <c r="A823" s="63"/>
      <c r="B823" s="49"/>
      <c r="C823" s="49"/>
      <c r="D823" s="49"/>
      <c r="E823" s="49"/>
      <c r="F823" s="49"/>
      <c r="G823" s="49"/>
      <c r="H823" s="49"/>
      <c r="I823" s="49"/>
      <c r="J823" s="49"/>
    </row>
    <row r="824">
      <c r="A824" s="63"/>
      <c r="B824" s="49"/>
      <c r="C824" s="49"/>
      <c r="D824" s="49"/>
      <c r="E824" s="49"/>
      <c r="F824" s="49"/>
      <c r="G824" s="49"/>
      <c r="H824" s="49"/>
      <c r="I824" s="49"/>
      <c r="J824" s="49"/>
    </row>
    <row r="825">
      <c r="A825" s="63"/>
      <c r="B825" s="49"/>
      <c r="C825" s="49"/>
      <c r="D825" s="49"/>
      <c r="E825" s="49"/>
      <c r="F825" s="49"/>
      <c r="G825" s="49"/>
      <c r="H825" s="49"/>
      <c r="I825" s="49"/>
      <c r="J825" s="49"/>
    </row>
    <row r="826">
      <c r="A826" s="63"/>
      <c r="B826" s="49"/>
      <c r="C826" s="49"/>
      <c r="D826" s="49"/>
      <c r="E826" s="49"/>
      <c r="F826" s="49"/>
      <c r="G826" s="49"/>
      <c r="H826" s="49"/>
      <c r="I826" s="49"/>
      <c r="J826" s="49"/>
    </row>
    <row r="827">
      <c r="A827" s="63"/>
      <c r="B827" s="49"/>
      <c r="C827" s="49"/>
      <c r="D827" s="49"/>
      <c r="E827" s="49"/>
      <c r="F827" s="49"/>
      <c r="G827" s="49"/>
      <c r="H827" s="49"/>
      <c r="I827" s="49"/>
      <c r="J827" s="49"/>
    </row>
    <row r="828">
      <c r="A828" s="63"/>
      <c r="B828" s="49"/>
      <c r="C828" s="49"/>
      <c r="D828" s="49"/>
      <c r="E828" s="49"/>
      <c r="F828" s="49"/>
      <c r="G828" s="49"/>
      <c r="H828" s="49"/>
      <c r="I828" s="49"/>
      <c r="J828" s="49"/>
    </row>
    <row r="829">
      <c r="A829" s="63"/>
      <c r="B829" s="49"/>
      <c r="C829" s="49"/>
      <c r="D829" s="49"/>
      <c r="E829" s="49"/>
      <c r="F829" s="49"/>
      <c r="G829" s="49"/>
      <c r="H829" s="49"/>
      <c r="I829" s="49"/>
      <c r="J829" s="49"/>
    </row>
    <row r="830">
      <c r="A830" s="63"/>
      <c r="B830" s="49"/>
      <c r="C830" s="49"/>
      <c r="D830" s="49"/>
      <c r="E830" s="49"/>
      <c r="F830" s="49"/>
      <c r="G830" s="49"/>
      <c r="H830" s="49"/>
      <c r="I830" s="49"/>
      <c r="J830" s="49"/>
    </row>
    <row r="831">
      <c r="A831" s="63"/>
      <c r="B831" s="49"/>
      <c r="C831" s="49"/>
      <c r="D831" s="49"/>
      <c r="E831" s="49"/>
      <c r="F831" s="49"/>
      <c r="G831" s="49"/>
      <c r="H831" s="49"/>
      <c r="I831" s="49"/>
      <c r="J831" s="49"/>
    </row>
    <row r="832">
      <c r="A832" s="63"/>
      <c r="B832" s="49"/>
      <c r="C832" s="49"/>
      <c r="D832" s="49"/>
      <c r="E832" s="49"/>
      <c r="F832" s="49"/>
      <c r="G832" s="49"/>
      <c r="H832" s="49"/>
      <c r="I832" s="49"/>
      <c r="J832" s="49"/>
    </row>
    <row r="833">
      <c r="A833" s="63"/>
      <c r="B833" s="49"/>
      <c r="C833" s="49"/>
      <c r="D833" s="49"/>
      <c r="E833" s="49"/>
      <c r="F833" s="49"/>
      <c r="G833" s="49"/>
      <c r="H833" s="49"/>
      <c r="I833" s="49"/>
      <c r="J833" s="49"/>
    </row>
    <row r="834">
      <c r="A834" s="63"/>
      <c r="B834" s="49"/>
      <c r="C834" s="49"/>
      <c r="D834" s="49"/>
      <c r="E834" s="49"/>
      <c r="F834" s="49"/>
      <c r="G834" s="49"/>
      <c r="H834" s="49"/>
      <c r="I834" s="49"/>
      <c r="J834" s="49"/>
    </row>
    <row r="835">
      <c r="A835" s="63"/>
      <c r="B835" s="49"/>
      <c r="C835" s="49"/>
      <c r="D835" s="49"/>
      <c r="E835" s="49"/>
      <c r="F835" s="49"/>
      <c r="G835" s="49"/>
      <c r="H835" s="49"/>
      <c r="I835" s="49"/>
      <c r="J835" s="49"/>
    </row>
    <row r="836">
      <c r="A836" s="63"/>
      <c r="B836" s="49"/>
      <c r="C836" s="49"/>
      <c r="D836" s="49"/>
      <c r="E836" s="49"/>
      <c r="F836" s="49"/>
      <c r="G836" s="49"/>
      <c r="H836" s="49"/>
      <c r="I836" s="49"/>
      <c r="J836" s="49"/>
    </row>
    <row r="837">
      <c r="A837" s="63"/>
      <c r="B837" s="49"/>
      <c r="C837" s="49"/>
      <c r="D837" s="49"/>
      <c r="E837" s="49"/>
      <c r="F837" s="49"/>
      <c r="G837" s="49"/>
      <c r="H837" s="49"/>
      <c r="I837" s="49"/>
      <c r="J837" s="49"/>
    </row>
    <row r="838">
      <c r="A838" s="63"/>
      <c r="B838" s="49"/>
      <c r="C838" s="49"/>
      <c r="D838" s="49"/>
      <c r="E838" s="49"/>
      <c r="F838" s="49"/>
      <c r="G838" s="49"/>
      <c r="H838" s="49"/>
      <c r="I838" s="49"/>
      <c r="J838" s="49"/>
    </row>
    <row r="839">
      <c r="A839" s="63"/>
      <c r="B839" s="49"/>
      <c r="C839" s="49"/>
      <c r="D839" s="49"/>
      <c r="E839" s="49"/>
      <c r="F839" s="49"/>
      <c r="G839" s="49"/>
      <c r="H839" s="49"/>
      <c r="I839" s="49"/>
      <c r="J839" s="49"/>
    </row>
    <row r="840">
      <c r="A840" s="63"/>
      <c r="B840" s="49"/>
      <c r="C840" s="49"/>
      <c r="D840" s="49"/>
      <c r="E840" s="49"/>
      <c r="F840" s="49"/>
      <c r="G840" s="49"/>
      <c r="H840" s="49"/>
      <c r="I840" s="49"/>
      <c r="J840" s="49"/>
    </row>
    <row r="841">
      <c r="A841" s="63"/>
      <c r="B841" s="49"/>
      <c r="C841" s="49"/>
      <c r="D841" s="49"/>
      <c r="E841" s="49"/>
      <c r="F841" s="49"/>
      <c r="G841" s="49"/>
      <c r="H841" s="49"/>
      <c r="I841" s="49"/>
      <c r="J841" s="49"/>
    </row>
    <row r="842">
      <c r="A842" s="63"/>
      <c r="B842" s="49"/>
      <c r="C842" s="49"/>
      <c r="D842" s="49"/>
      <c r="E842" s="49"/>
      <c r="F842" s="49"/>
      <c r="G842" s="49"/>
      <c r="H842" s="49"/>
      <c r="I842" s="49"/>
      <c r="J842" s="49"/>
    </row>
    <row r="843">
      <c r="A843" s="63"/>
      <c r="B843" s="49"/>
      <c r="C843" s="49"/>
      <c r="D843" s="49"/>
      <c r="E843" s="49"/>
      <c r="F843" s="49"/>
      <c r="G843" s="49"/>
      <c r="H843" s="49"/>
      <c r="I843" s="49"/>
      <c r="J843" s="49"/>
    </row>
    <row r="844">
      <c r="A844" s="63"/>
      <c r="B844" s="49"/>
      <c r="C844" s="49"/>
      <c r="D844" s="49"/>
      <c r="E844" s="49"/>
      <c r="F844" s="49"/>
      <c r="G844" s="49"/>
      <c r="H844" s="49"/>
      <c r="I844" s="49"/>
      <c r="J844" s="49"/>
    </row>
    <row r="845">
      <c r="A845" s="63"/>
      <c r="B845" s="49"/>
      <c r="C845" s="49"/>
      <c r="D845" s="49"/>
      <c r="E845" s="49"/>
      <c r="F845" s="49"/>
      <c r="G845" s="49"/>
      <c r="H845" s="49"/>
      <c r="I845" s="49"/>
      <c r="J845" s="49"/>
    </row>
    <row r="846">
      <c r="A846" s="63"/>
      <c r="B846" s="49"/>
      <c r="C846" s="49"/>
      <c r="D846" s="49"/>
      <c r="E846" s="49"/>
      <c r="F846" s="49"/>
      <c r="G846" s="49"/>
      <c r="H846" s="49"/>
      <c r="I846" s="49"/>
      <c r="J846" s="49"/>
    </row>
    <row r="847">
      <c r="A847" s="63"/>
      <c r="B847" s="49"/>
      <c r="C847" s="49"/>
      <c r="D847" s="49"/>
      <c r="E847" s="49"/>
      <c r="F847" s="49"/>
      <c r="G847" s="49"/>
      <c r="H847" s="49"/>
      <c r="I847" s="49"/>
      <c r="J847" s="49"/>
    </row>
    <row r="848">
      <c r="A848" s="63"/>
      <c r="B848" s="49"/>
      <c r="C848" s="49"/>
      <c r="D848" s="49"/>
      <c r="E848" s="49"/>
      <c r="F848" s="49"/>
      <c r="G848" s="49"/>
      <c r="H848" s="49"/>
      <c r="I848" s="49"/>
      <c r="J848" s="49"/>
    </row>
    <row r="849">
      <c r="A849" s="63"/>
      <c r="B849" s="49"/>
      <c r="C849" s="49"/>
      <c r="D849" s="49"/>
      <c r="E849" s="49"/>
      <c r="F849" s="49"/>
      <c r="G849" s="49"/>
      <c r="H849" s="49"/>
      <c r="I849" s="49"/>
      <c r="J849" s="49"/>
    </row>
    <row r="850">
      <c r="A850" s="63"/>
      <c r="B850" s="49"/>
      <c r="C850" s="49"/>
      <c r="D850" s="49"/>
      <c r="E850" s="49"/>
      <c r="F850" s="49"/>
      <c r="G850" s="49"/>
      <c r="H850" s="49"/>
      <c r="I850" s="49"/>
      <c r="J850" s="49"/>
    </row>
    <row r="851">
      <c r="A851" s="63"/>
      <c r="B851" s="49"/>
      <c r="C851" s="49"/>
      <c r="D851" s="49"/>
      <c r="E851" s="49"/>
      <c r="F851" s="49"/>
      <c r="G851" s="49"/>
      <c r="H851" s="49"/>
      <c r="I851" s="49"/>
      <c r="J851" s="49"/>
    </row>
    <row r="852">
      <c r="A852" s="63"/>
      <c r="B852" s="49"/>
      <c r="C852" s="49"/>
      <c r="D852" s="49"/>
      <c r="E852" s="49"/>
      <c r="F852" s="49"/>
      <c r="G852" s="49"/>
      <c r="H852" s="49"/>
      <c r="I852" s="49"/>
      <c r="J852" s="49"/>
    </row>
    <row r="853">
      <c r="A853" s="63"/>
      <c r="B853" s="49"/>
      <c r="C853" s="49"/>
      <c r="D853" s="49"/>
      <c r="E853" s="49"/>
      <c r="F853" s="49"/>
      <c r="G853" s="49"/>
      <c r="H853" s="49"/>
      <c r="I853" s="49"/>
      <c r="J853" s="49"/>
    </row>
    <row r="854">
      <c r="A854" s="63"/>
      <c r="B854" s="49"/>
      <c r="C854" s="49"/>
      <c r="D854" s="49"/>
      <c r="E854" s="49"/>
      <c r="F854" s="49"/>
      <c r="G854" s="49"/>
      <c r="H854" s="49"/>
      <c r="I854" s="49"/>
      <c r="J854" s="49"/>
    </row>
    <row r="855">
      <c r="A855" s="63"/>
      <c r="B855" s="49"/>
      <c r="C855" s="49"/>
      <c r="D855" s="49"/>
      <c r="E855" s="49"/>
      <c r="F855" s="49"/>
      <c r="G855" s="49"/>
      <c r="H855" s="49"/>
      <c r="I855" s="49"/>
      <c r="J855" s="49"/>
    </row>
    <row r="856">
      <c r="A856" s="63"/>
      <c r="B856" s="49"/>
      <c r="C856" s="49"/>
      <c r="D856" s="49"/>
      <c r="E856" s="49"/>
      <c r="F856" s="49"/>
      <c r="G856" s="49"/>
      <c r="H856" s="49"/>
      <c r="I856" s="49"/>
      <c r="J856" s="49"/>
    </row>
    <row r="857">
      <c r="A857" s="63"/>
      <c r="B857" s="49"/>
      <c r="C857" s="49"/>
      <c r="D857" s="49"/>
      <c r="E857" s="49"/>
      <c r="F857" s="49"/>
      <c r="G857" s="49"/>
      <c r="H857" s="49"/>
      <c r="I857" s="49"/>
      <c r="J857" s="49"/>
    </row>
    <row r="858">
      <c r="A858" s="63"/>
      <c r="B858" s="49"/>
      <c r="C858" s="49"/>
      <c r="D858" s="49"/>
      <c r="E858" s="49"/>
      <c r="F858" s="49"/>
      <c r="G858" s="49"/>
      <c r="H858" s="49"/>
      <c r="I858" s="49"/>
      <c r="J858" s="49"/>
    </row>
    <row r="859">
      <c r="A859" s="63"/>
      <c r="B859" s="49"/>
      <c r="C859" s="49"/>
      <c r="D859" s="49"/>
      <c r="E859" s="49"/>
      <c r="F859" s="49"/>
      <c r="G859" s="49"/>
      <c r="H859" s="49"/>
      <c r="I859" s="49"/>
      <c r="J859" s="49"/>
    </row>
    <row r="860">
      <c r="A860" s="63"/>
      <c r="B860" s="49"/>
      <c r="C860" s="49"/>
      <c r="D860" s="49"/>
      <c r="E860" s="49"/>
      <c r="F860" s="49"/>
      <c r="G860" s="49"/>
      <c r="H860" s="49"/>
      <c r="I860" s="49"/>
      <c r="J860" s="49"/>
    </row>
    <row r="861">
      <c r="A861" s="63"/>
      <c r="B861" s="49"/>
      <c r="C861" s="49"/>
      <c r="D861" s="49"/>
      <c r="E861" s="49"/>
      <c r="F861" s="49"/>
      <c r="G861" s="49"/>
      <c r="H861" s="49"/>
      <c r="I861" s="49"/>
      <c r="J861" s="49"/>
    </row>
    <row r="862">
      <c r="A862" s="63"/>
      <c r="B862" s="49"/>
      <c r="C862" s="49"/>
      <c r="D862" s="49"/>
      <c r="E862" s="49"/>
      <c r="F862" s="49"/>
      <c r="G862" s="49"/>
      <c r="H862" s="49"/>
      <c r="I862" s="49"/>
      <c r="J862" s="49"/>
    </row>
    <row r="863">
      <c r="A863" s="63"/>
      <c r="B863" s="49"/>
      <c r="C863" s="49"/>
      <c r="D863" s="49"/>
      <c r="E863" s="49"/>
      <c r="F863" s="49"/>
      <c r="G863" s="49"/>
      <c r="H863" s="49"/>
      <c r="I863" s="49"/>
      <c r="J863" s="49"/>
    </row>
    <row r="864">
      <c r="A864" s="63"/>
      <c r="B864" s="49"/>
      <c r="C864" s="49"/>
      <c r="D864" s="49"/>
      <c r="E864" s="49"/>
      <c r="F864" s="49"/>
      <c r="G864" s="49"/>
      <c r="H864" s="49"/>
      <c r="I864" s="49"/>
      <c r="J864" s="49"/>
    </row>
    <row r="865">
      <c r="A865" s="63"/>
      <c r="B865" s="49"/>
      <c r="C865" s="49"/>
      <c r="D865" s="49"/>
      <c r="E865" s="49"/>
      <c r="F865" s="49"/>
      <c r="G865" s="49"/>
      <c r="H865" s="49"/>
      <c r="I865" s="49"/>
      <c r="J865" s="49"/>
    </row>
    <row r="866">
      <c r="A866" s="63"/>
      <c r="B866" s="49"/>
      <c r="C866" s="49"/>
      <c r="D866" s="49"/>
      <c r="E866" s="49"/>
      <c r="F866" s="49"/>
      <c r="G866" s="49"/>
      <c r="H866" s="49"/>
      <c r="I866" s="49"/>
      <c r="J866" s="49"/>
    </row>
    <row r="867">
      <c r="A867" s="63"/>
      <c r="B867" s="49"/>
      <c r="C867" s="49"/>
      <c r="D867" s="49"/>
      <c r="E867" s="49"/>
      <c r="F867" s="49"/>
      <c r="G867" s="49"/>
      <c r="H867" s="49"/>
      <c r="I867" s="49"/>
      <c r="J867" s="49"/>
    </row>
    <row r="868">
      <c r="A868" s="63"/>
      <c r="B868" s="49"/>
      <c r="C868" s="49"/>
      <c r="D868" s="49"/>
      <c r="E868" s="49"/>
      <c r="F868" s="49"/>
      <c r="G868" s="49"/>
      <c r="H868" s="49"/>
      <c r="I868" s="49"/>
      <c r="J868" s="49"/>
    </row>
    <row r="869">
      <c r="A869" s="63"/>
      <c r="B869" s="49"/>
      <c r="C869" s="49"/>
      <c r="D869" s="49"/>
      <c r="E869" s="49"/>
      <c r="F869" s="49"/>
      <c r="G869" s="49"/>
      <c r="H869" s="49"/>
      <c r="I869" s="49"/>
      <c r="J869" s="49"/>
    </row>
    <row r="870">
      <c r="A870" s="63"/>
      <c r="B870" s="49"/>
      <c r="C870" s="49"/>
      <c r="D870" s="49"/>
      <c r="E870" s="49"/>
      <c r="F870" s="49"/>
      <c r="G870" s="49"/>
      <c r="H870" s="49"/>
      <c r="I870" s="49"/>
      <c r="J870" s="49"/>
    </row>
    <row r="871">
      <c r="A871" s="63"/>
      <c r="B871" s="49"/>
      <c r="C871" s="49"/>
      <c r="D871" s="49"/>
      <c r="E871" s="49"/>
      <c r="F871" s="49"/>
      <c r="G871" s="49"/>
      <c r="H871" s="49"/>
      <c r="I871" s="49"/>
      <c r="J871" s="49"/>
    </row>
    <row r="872">
      <c r="A872" s="63"/>
      <c r="B872" s="49"/>
      <c r="C872" s="49"/>
      <c r="D872" s="49"/>
      <c r="E872" s="49"/>
      <c r="F872" s="49"/>
      <c r="G872" s="49"/>
      <c r="H872" s="49"/>
      <c r="I872" s="49"/>
      <c r="J872" s="49"/>
    </row>
    <row r="873">
      <c r="A873" s="63"/>
      <c r="B873" s="49"/>
      <c r="C873" s="49"/>
      <c r="D873" s="49"/>
      <c r="E873" s="49"/>
      <c r="F873" s="49"/>
      <c r="G873" s="49"/>
      <c r="H873" s="49"/>
      <c r="I873" s="49"/>
      <c r="J873" s="49"/>
    </row>
    <row r="874">
      <c r="A874" s="63"/>
      <c r="B874" s="49"/>
      <c r="C874" s="49"/>
      <c r="D874" s="49"/>
      <c r="E874" s="49"/>
      <c r="F874" s="49"/>
      <c r="G874" s="49"/>
      <c r="H874" s="49"/>
      <c r="I874" s="49"/>
      <c r="J874" s="49"/>
    </row>
    <row r="875">
      <c r="A875" s="63"/>
      <c r="B875" s="49"/>
      <c r="C875" s="49"/>
      <c r="D875" s="49"/>
      <c r="E875" s="49"/>
      <c r="F875" s="49"/>
      <c r="G875" s="49"/>
      <c r="H875" s="49"/>
      <c r="I875" s="49"/>
      <c r="J875" s="49"/>
    </row>
    <row r="876">
      <c r="A876" s="63"/>
      <c r="B876" s="49"/>
      <c r="C876" s="49"/>
      <c r="D876" s="49"/>
      <c r="E876" s="49"/>
      <c r="F876" s="49"/>
      <c r="G876" s="49"/>
      <c r="H876" s="49"/>
      <c r="I876" s="49"/>
      <c r="J876" s="49"/>
    </row>
    <row r="877">
      <c r="A877" s="63"/>
      <c r="B877" s="49"/>
      <c r="C877" s="49"/>
      <c r="D877" s="49"/>
      <c r="E877" s="49"/>
      <c r="F877" s="49"/>
      <c r="G877" s="49"/>
      <c r="H877" s="49"/>
      <c r="I877" s="49"/>
      <c r="J877" s="49"/>
    </row>
    <row r="878">
      <c r="A878" s="63"/>
      <c r="B878" s="49"/>
      <c r="C878" s="49"/>
      <c r="D878" s="49"/>
      <c r="E878" s="49"/>
      <c r="F878" s="49"/>
      <c r="G878" s="49"/>
      <c r="H878" s="49"/>
      <c r="I878" s="49"/>
      <c r="J878" s="49"/>
    </row>
    <row r="879">
      <c r="A879" s="63"/>
      <c r="B879" s="49"/>
      <c r="C879" s="49"/>
      <c r="D879" s="49"/>
      <c r="E879" s="49"/>
      <c r="F879" s="49"/>
      <c r="G879" s="49"/>
      <c r="H879" s="49"/>
      <c r="I879" s="49"/>
      <c r="J879" s="49"/>
    </row>
    <row r="880">
      <c r="A880" s="63"/>
      <c r="B880" s="49"/>
      <c r="C880" s="49"/>
      <c r="D880" s="49"/>
      <c r="E880" s="49"/>
      <c r="F880" s="49"/>
      <c r="G880" s="49"/>
      <c r="H880" s="49"/>
      <c r="I880" s="49"/>
      <c r="J880" s="49"/>
    </row>
    <row r="881">
      <c r="A881" s="63"/>
      <c r="B881" s="49"/>
      <c r="C881" s="49"/>
      <c r="D881" s="49"/>
      <c r="E881" s="49"/>
      <c r="F881" s="49"/>
      <c r="G881" s="49"/>
      <c r="H881" s="49"/>
      <c r="I881" s="49"/>
      <c r="J881" s="49"/>
    </row>
    <row r="882">
      <c r="A882" s="63"/>
      <c r="B882" s="49"/>
      <c r="C882" s="49"/>
      <c r="D882" s="49"/>
      <c r="E882" s="49"/>
      <c r="F882" s="49"/>
      <c r="G882" s="49"/>
      <c r="H882" s="49"/>
      <c r="I882" s="49"/>
      <c r="J882" s="49"/>
    </row>
    <row r="883">
      <c r="A883" s="63"/>
      <c r="B883" s="49"/>
      <c r="C883" s="49"/>
      <c r="D883" s="49"/>
      <c r="E883" s="49"/>
      <c r="F883" s="49"/>
      <c r="G883" s="49"/>
      <c r="H883" s="49"/>
      <c r="I883" s="49"/>
      <c r="J883" s="49"/>
    </row>
    <row r="884">
      <c r="A884" s="63"/>
      <c r="B884" s="49"/>
      <c r="C884" s="49"/>
      <c r="D884" s="49"/>
      <c r="E884" s="49"/>
      <c r="F884" s="49"/>
      <c r="G884" s="49"/>
      <c r="H884" s="49"/>
      <c r="I884" s="49"/>
      <c r="J884" s="49"/>
    </row>
    <row r="885">
      <c r="A885" s="63"/>
      <c r="B885" s="49"/>
      <c r="C885" s="49"/>
      <c r="D885" s="49"/>
      <c r="E885" s="49"/>
      <c r="F885" s="49"/>
      <c r="G885" s="49"/>
      <c r="H885" s="49"/>
      <c r="I885" s="49"/>
      <c r="J885" s="49"/>
    </row>
    <row r="886">
      <c r="A886" s="63"/>
      <c r="B886" s="49"/>
      <c r="C886" s="49"/>
      <c r="D886" s="49"/>
      <c r="E886" s="49"/>
      <c r="F886" s="49"/>
      <c r="G886" s="49"/>
      <c r="H886" s="49"/>
      <c r="I886" s="49"/>
      <c r="J886" s="49"/>
    </row>
    <row r="887">
      <c r="A887" s="63"/>
      <c r="B887" s="49"/>
      <c r="C887" s="49"/>
      <c r="D887" s="49"/>
      <c r="E887" s="49"/>
      <c r="F887" s="49"/>
      <c r="G887" s="49"/>
      <c r="H887" s="49"/>
      <c r="I887" s="49"/>
      <c r="J887" s="49"/>
    </row>
    <row r="888">
      <c r="A888" s="63"/>
      <c r="B888" s="49"/>
      <c r="C888" s="49"/>
      <c r="D888" s="49"/>
      <c r="E888" s="49"/>
      <c r="F888" s="49"/>
      <c r="G888" s="49"/>
      <c r="H888" s="49"/>
      <c r="I888" s="49"/>
      <c r="J888" s="49"/>
    </row>
    <row r="889">
      <c r="A889" s="63"/>
      <c r="B889" s="49"/>
      <c r="C889" s="49"/>
      <c r="D889" s="49"/>
      <c r="E889" s="49"/>
      <c r="F889" s="49"/>
      <c r="G889" s="49"/>
      <c r="H889" s="49"/>
      <c r="I889" s="49"/>
      <c r="J889" s="49"/>
    </row>
    <row r="890">
      <c r="A890" s="63"/>
      <c r="B890" s="49"/>
      <c r="C890" s="49"/>
      <c r="D890" s="49"/>
      <c r="E890" s="49"/>
      <c r="F890" s="49"/>
      <c r="G890" s="49"/>
      <c r="H890" s="49"/>
      <c r="I890" s="49"/>
      <c r="J890" s="49"/>
    </row>
    <row r="891">
      <c r="A891" s="63"/>
      <c r="B891" s="49"/>
      <c r="C891" s="49"/>
      <c r="D891" s="49"/>
      <c r="E891" s="49"/>
      <c r="F891" s="49"/>
      <c r="G891" s="49"/>
      <c r="H891" s="49"/>
      <c r="I891" s="49"/>
      <c r="J891" s="49"/>
    </row>
    <row r="892">
      <c r="A892" s="63"/>
      <c r="B892" s="49"/>
      <c r="C892" s="49"/>
      <c r="D892" s="49"/>
      <c r="E892" s="49"/>
      <c r="F892" s="49"/>
      <c r="G892" s="49"/>
      <c r="H892" s="49"/>
      <c r="I892" s="49"/>
      <c r="J892" s="49"/>
    </row>
    <row r="893">
      <c r="A893" s="63"/>
      <c r="B893" s="49"/>
      <c r="C893" s="49"/>
      <c r="D893" s="49"/>
      <c r="E893" s="49"/>
      <c r="F893" s="49"/>
      <c r="G893" s="49"/>
      <c r="H893" s="49"/>
      <c r="I893" s="49"/>
      <c r="J893" s="49"/>
    </row>
    <row r="894">
      <c r="A894" s="63"/>
      <c r="B894" s="49"/>
      <c r="C894" s="49"/>
      <c r="D894" s="49"/>
      <c r="E894" s="49"/>
      <c r="F894" s="49"/>
      <c r="G894" s="49"/>
      <c r="H894" s="49"/>
      <c r="I894" s="49"/>
      <c r="J894" s="49"/>
    </row>
    <row r="895">
      <c r="A895" s="63"/>
      <c r="B895" s="49"/>
      <c r="C895" s="49"/>
      <c r="D895" s="49"/>
      <c r="E895" s="49"/>
      <c r="F895" s="49"/>
      <c r="G895" s="49"/>
      <c r="H895" s="49"/>
      <c r="I895" s="49"/>
      <c r="J895" s="49"/>
    </row>
    <row r="896">
      <c r="A896" s="63"/>
      <c r="B896" s="49"/>
      <c r="C896" s="49"/>
      <c r="D896" s="49"/>
      <c r="E896" s="49"/>
      <c r="F896" s="49"/>
      <c r="G896" s="49"/>
      <c r="H896" s="49"/>
      <c r="I896" s="49"/>
      <c r="J896" s="49"/>
    </row>
    <row r="897">
      <c r="A897" s="63"/>
      <c r="B897" s="49"/>
      <c r="C897" s="49"/>
      <c r="D897" s="49"/>
      <c r="E897" s="49"/>
      <c r="F897" s="49"/>
      <c r="G897" s="49"/>
      <c r="H897" s="49"/>
      <c r="I897" s="49"/>
      <c r="J897" s="49"/>
    </row>
    <row r="898">
      <c r="A898" s="63"/>
      <c r="B898" s="49"/>
      <c r="C898" s="49"/>
      <c r="D898" s="49"/>
      <c r="E898" s="49"/>
      <c r="F898" s="49"/>
      <c r="G898" s="49"/>
      <c r="H898" s="49"/>
      <c r="I898" s="49"/>
      <c r="J898" s="49"/>
    </row>
    <row r="899">
      <c r="A899" s="63"/>
      <c r="B899" s="49"/>
      <c r="C899" s="49"/>
      <c r="D899" s="49"/>
      <c r="E899" s="49"/>
      <c r="F899" s="49"/>
      <c r="G899" s="49"/>
      <c r="H899" s="49"/>
      <c r="I899" s="49"/>
      <c r="J899" s="49"/>
    </row>
    <row r="900">
      <c r="A900" s="63"/>
      <c r="B900" s="49"/>
      <c r="C900" s="49"/>
      <c r="D900" s="49"/>
      <c r="E900" s="49"/>
      <c r="F900" s="49"/>
      <c r="G900" s="49"/>
      <c r="H900" s="49"/>
      <c r="I900" s="49"/>
      <c r="J900" s="49"/>
    </row>
    <row r="901">
      <c r="A901" s="63"/>
      <c r="B901" s="49"/>
      <c r="C901" s="49"/>
      <c r="D901" s="49"/>
      <c r="E901" s="49"/>
      <c r="F901" s="49"/>
      <c r="G901" s="49"/>
      <c r="H901" s="49"/>
      <c r="I901" s="49"/>
      <c r="J901" s="49"/>
    </row>
    <row r="902">
      <c r="A902" s="63"/>
      <c r="B902" s="49"/>
      <c r="C902" s="49"/>
      <c r="D902" s="49"/>
      <c r="E902" s="49"/>
      <c r="F902" s="49"/>
      <c r="G902" s="49"/>
      <c r="H902" s="49"/>
      <c r="I902" s="49"/>
      <c r="J902" s="49"/>
    </row>
    <row r="903">
      <c r="A903" s="63"/>
      <c r="B903" s="49"/>
      <c r="C903" s="49"/>
      <c r="D903" s="49"/>
      <c r="E903" s="49"/>
      <c r="F903" s="49"/>
      <c r="G903" s="49"/>
      <c r="H903" s="49"/>
      <c r="I903" s="49"/>
      <c r="J903" s="49"/>
    </row>
    <row r="904">
      <c r="A904" s="63"/>
      <c r="B904" s="49"/>
      <c r="C904" s="49"/>
      <c r="D904" s="49"/>
      <c r="E904" s="49"/>
      <c r="F904" s="49"/>
      <c r="G904" s="49"/>
      <c r="H904" s="49"/>
      <c r="I904" s="49"/>
      <c r="J904" s="49"/>
    </row>
    <row r="905">
      <c r="A905" s="63"/>
      <c r="B905" s="49"/>
      <c r="C905" s="49"/>
      <c r="D905" s="49"/>
      <c r="E905" s="49"/>
      <c r="F905" s="49"/>
      <c r="G905" s="49"/>
      <c r="H905" s="49"/>
      <c r="I905" s="49"/>
      <c r="J905" s="49"/>
    </row>
    <row r="906">
      <c r="A906" s="63"/>
      <c r="B906" s="49"/>
      <c r="C906" s="49"/>
      <c r="D906" s="49"/>
      <c r="E906" s="49"/>
      <c r="F906" s="49"/>
      <c r="G906" s="49"/>
      <c r="H906" s="49"/>
      <c r="I906" s="49"/>
      <c r="J906" s="49"/>
    </row>
    <row r="907">
      <c r="A907" s="63"/>
      <c r="B907" s="49"/>
      <c r="C907" s="49"/>
      <c r="D907" s="49"/>
      <c r="E907" s="49"/>
      <c r="F907" s="49"/>
      <c r="G907" s="49"/>
      <c r="H907" s="49"/>
      <c r="I907" s="49"/>
      <c r="J907" s="49"/>
    </row>
    <row r="908">
      <c r="A908" s="63"/>
      <c r="B908" s="49"/>
      <c r="C908" s="49"/>
      <c r="D908" s="49"/>
      <c r="E908" s="49"/>
      <c r="F908" s="49"/>
      <c r="G908" s="49"/>
      <c r="H908" s="49"/>
      <c r="I908" s="49"/>
      <c r="J908" s="49"/>
    </row>
    <row r="909">
      <c r="A909" s="63"/>
      <c r="B909" s="49"/>
      <c r="C909" s="49"/>
      <c r="D909" s="49"/>
      <c r="E909" s="49"/>
      <c r="F909" s="49"/>
      <c r="G909" s="49"/>
      <c r="H909" s="49"/>
      <c r="I909" s="49"/>
      <c r="J909" s="49"/>
    </row>
    <row r="910">
      <c r="A910" s="63"/>
      <c r="B910" s="49"/>
      <c r="C910" s="49"/>
      <c r="D910" s="49"/>
      <c r="E910" s="49"/>
      <c r="F910" s="49"/>
      <c r="G910" s="49"/>
      <c r="H910" s="49"/>
      <c r="I910" s="49"/>
      <c r="J910" s="49"/>
    </row>
    <row r="911">
      <c r="A911" s="63"/>
      <c r="B911" s="49"/>
      <c r="C911" s="49"/>
      <c r="D911" s="49"/>
      <c r="E911" s="49"/>
      <c r="F911" s="49"/>
      <c r="G911" s="49"/>
      <c r="H911" s="49"/>
      <c r="I911" s="49"/>
      <c r="J911" s="49"/>
    </row>
    <row r="912">
      <c r="A912" s="63"/>
      <c r="B912" s="49"/>
      <c r="C912" s="49"/>
      <c r="D912" s="49"/>
      <c r="E912" s="49"/>
      <c r="F912" s="49"/>
      <c r="G912" s="49"/>
      <c r="H912" s="49"/>
      <c r="I912" s="49"/>
      <c r="J912" s="49"/>
    </row>
    <row r="913">
      <c r="A913" s="63"/>
      <c r="B913" s="49"/>
      <c r="C913" s="49"/>
      <c r="D913" s="49"/>
      <c r="E913" s="49"/>
      <c r="F913" s="49"/>
      <c r="G913" s="49"/>
      <c r="H913" s="49"/>
      <c r="I913" s="49"/>
      <c r="J913" s="49"/>
    </row>
    <row r="914">
      <c r="A914" s="63"/>
      <c r="B914" s="49"/>
      <c r="C914" s="49"/>
      <c r="D914" s="49"/>
      <c r="E914" s="49"/>
      <c r="F914" s="49"/>
      <c r="G914" s="49"/>
      <c r="H914" s="49"/>
      <c r="I914" s="49"/>
      <c r="J914" s="49"/>
    </row>
    <row r="915">
      <c r="A915" s="63"/>
      <c r="B915" s="49"/>
      <c r="C915" s="49"/>
      <c r="D915" s="49"/>
      <c r="E915" s="49"/>
      <c r="F915" s="49"/>
      <c r="G915" s="49"/>
      <c r="H915" s="49"/>
      <c r="I915" s="49"/>
      <c r="J915" s="49"/>
    </row>
    <row r="916">
      <c r="A916" s="63"/>
      <c r="B916" s="49"/>
      <c r="C916" s="49"/>
      <c r="D916" s="49"/>
      <c r="E916" s="49"/>
      <c r="F916" s="49"/>
      <c r="G916" s="49"/>
      <c r="H916" s="49"/>
      <c r="I916" s="49"/>
      <c r="J916" s="49"/>
    </row>
    <row r="917">
      <c r="A917" s="63"/>
      <c r="B917" s="49"/>
      <c r="C917" s="49"/>
      <c r="D917" s="49"/>
      <c r="E917" s="49"/>
      <c r="F917" s="49"/>
      <c r="G917" s="49"/>
      <c r="H917" s="49"/>
      <c r="I917" s="49"/>
      <c r="J917" s="49"/>
    </row>
    <row r="918">
      <c r="A918" s="63"/>
      <c r="B918" s="49"/>
      <c r="C918" s="49"/>
      <c r="D918" s="49"/>
      <c r="E918" s="49"/>
      <c r="F918" s="49"/>
      <c r="G918" s="49"/>
      <c r="H918" s="49"/>
      <c r="I918" s="49"/>
      <c r="J918" s="49"/>
    </row>
    <row r="919">
      <c r="A919" s="63"/>
      <c r="B919" s="49"/>
      <c r="C919" s="49"/>
      <c r="D919" s="49"/>
      <c r="E919" s="49"/>
      <c r="F919" s="49"/>
      <c r="G919" s="49"/>
      <c r="H919" s="49"/>
      <c r="I919" s="49"/>
      <c r="J919" s="49"/>
    </row>
    <row r="920">
      <c r="A920" s="63"/>
      <c r="B920" s="49"/>
      <c r="C920" s="49"/>
      <c r="D920" s="49"/>
      <c r="E920" s="49"/>
      <c r="F920" s="49"/>
      <c r="G920" s="49"/>
      <c r="H920" s="49"/>
      <c r="I920" s="49"/>
      <c r="J920" s="49"/>
    </row>
    <row r="921">
      <c r="A921" s="63"/>
      <c r="B921" s="49"/>
      <c r="C921" s="49"/>
      <c r="D921" s="49"/>
      <c r="E921" s="49"/>
      <c r="F921" s="49"/>
      <c r="G921" s="49"/>
      <c r="H921" s="49"/>
      <c r="I921" s="49"/>
      <c r="J921" s="49"/>
    </row>
    <row r="922">
      <c r="A922" s="63"/>
      <c r="B922" s="49"/>
      <c r="C922" s="49"/>
      <c r="D922" s="49"/>
      <c r="E922" s="49"/>
      <c r="F922" s="49"/>
      <c r="G922" s="49"/>
      <c r="H922" s="49"/>
      <c r="I922" s="49"/>
      <c r="J922" s="49"/>
    </row>
    <row r="923">
      <c r="A923" s="63"/>
      <c r="B923" s="49"/>
      <c r="C923" s="49"/>
      <c r="D923" s="49"/>
      <c r="E923" s="49"/>
      <c r="F923" s="49"/>
      <c r="G923" s="49"/>
      <c r="H923" s="49"/>
      <c r="I923" s="49"/>
      <c r="J923" s="49"/>
    </row>
    <row r="924">
      <c r="A924" s="63"/>
      <c r="B924" s="49"/>
      <c r="C924" s="49"/>
      <c r="D924" s="49"/>
      <c r="E924" s="49"/>
      <c r="F924" s="49"/>
      <c r="G924" s="49"/>
      <c r="H924" s="49"/>
      <c r="I924" s="49"/>
      <c r="J924" s="49"/>
    </row>
    <row r="925">
      <c r="A925" s="63"/>
      <c r="B925" s="49"/>
      <c r="C925" s="49"/>
      <c r="D925" s="49"/>
      <c r="E925" s="49"/>
      <c r="F925" s="49"/>
      <c r="G925" s="49"/>
      <c r="H925" s="49"/>
      <c r="I925" s="49"/>
      <c r="J925" s="49"/>
    </row>
    <row r="926">
      <c r="A926" s="63"/>
      <c r="B926" s="49"/>
      <c r="C926" s="49"/>
      <c r="D926" s="49"/>
      <c r="E926" s="49"/>
      <c r="F926" s="49"/>
      <c r="G926" s="49"/>
      <c r="H926" s="49"/>
      <c r="I926" s="49"/>
      <c r="J926" s="49"/>
    </row>
    <row r="927">
      <c r="A927" s="63"/>
      <c r="B927" s="49"/>
      <c r="C927" s="49"/>
      <c r="D927" s="49"/>
      <c r="E927" s="49"/>
      <c r="F927" s="49"/>
      <c r="G927" s="49"/>
      <c r="H927" s="49"/>
      <c r="I927" s="49"/>
      <c r="J927" s="49"/>
    </row>
    <row r="928">
      <c r="A928" s="63"/>
      <c r="B928" s="49"/>
      <c r="C928" s="49"/>
      <c r="D928" s="49"/>
      <c r="E928" s="49"/>
      <c r="F928" s="49"/>
      <c r="G928" s="49"/>
      <c r="H928" s="49"/>
      <c r="I928" s="49"/>
      <c r="J928" s="49"/>
    </row>
    <row r="929">
      <c r="A929" s="63"/>
      <c r="B929" s="49"/>
      <c r="C929" s="49"/>
      <c r="D929" s="49"/>
      <c r="E929" s="49"/>
      <c r="F929" s="49"/>
      <c r="G929" s="49"/>
      <c r="H929" s="49"/>
      <c r="I929" s="49"/>
      <c r="J929" s="49"/>
    </row>
    <row r="930">
      <c r="A930" s="63"/>
      <c r="B930" s="49"/>
      <c r="C930" s="49"/>
      <c r="D930" s="49"/>
      <c r="E930" s="49"/>
      <c r="F930" s="49"/>
      <c r="G930" s="49"/>
      <c r="H930" s="49"/>
      <c r="I930" s="49"/>
      <c r="J930" s="49"/>
    </row>
    <row r="931">
      <c r="A931" s="63"/>
      <c r="B931" s="49"/>
      <c r="C931" s="49"/>
      <c r="D931" s="49"/>
      <c r="E931" s="49"/>
      <c r="F931" s="49"/>
      <c r="G931" s="49"/>
      <c r="H931" s="49"/>
      <c r="I931" s="49"/>
      <c r="J931" s="49"/>
    </row>
    <row r="932">
      <c r="A932" s="63"/>
      <c r="B932" s="49"/>
      <c r="C932" s="49"/>
      <c r="D932" s="49"/>
      <c r="E932" s="49"/>
      <c r="F932" s="49"/>
      <c r="G932" s="49"/>
      <c r="H932" s="49"/>
      <c r="I932" s="49"/>
      <c r="J932" s="49"/>
    </row>
    <row r="933">
      <c r="A933" s="63"/>
      <c r="B933" s="49"/>
      <c r="C933" s="49"/>
      <c r="D933" s="49"/>
      <c r="E933" s="49"/>
      <c r="F933" s="49"/>
      <c r="G933" s="49"/>
      <c r="H933" s="49"/>
      <c r="I933" s="49"/>
      <c r="J933" s="49"/>
    </row>
    <row r="934">
      <c r="A934" s="63"/>
      <c r="B934" s="49"/>
      <c r="C934" s="49"/>
      <c r="D934" s="49"/>
      <c r="E934" s="49"/>
      <c r="F934" s="49"/>
      <c r="G934" s="49"/>
      <c r="H934" s="49"/>
      <c r="I934" s="49"/>
      <c r="J934" s="49"/>
    </row>
    <row r="935">
      <c r="A935" s="63"/>
      <c r="B935" s="49"/>
      <c r="C935" s="49"/>
      <c r="D935" s="49"/>
      <c r="E935" s="49"/>
      <c r="F935" s="49"/>
      <c r="G935" s="49"/>
      <c r="H935" s="49"/>
      <c r="I935" s="49"/>
      <c r="J935" s="49"/>
    </row>
    <row r="936">
      <c r="A936" s="63"/>
      <c r="B936" s="49"/>
      <c r="C936" s="49"/>
      <c r="D936" s="49"/>
      <c r="E936" s="49"/>
      <c r="F936" s="49"/>
      <c r="G936" s="49"/>
      <c r="H936" s="49"/>
      <c r="I936" s="49"/>
      <c r="J936" s="49"/>
    </row>
    <row r="937">
      <c r="A937" s="63"/>
      <c r="B937" s="49"/>
      <c r="C937" s="49"/>
      <c r="D937" s="49"/>
      <c r="E937" s="49"/>
      <c r="F937" s="49"/>
      <c r="G937" s="49"/>
      <c r="H937" s="49"/>
      <c r="I937" s="49"/>
      <c r="J937" s="49"/>
    </row>
    <row r="938">
      <c r="A938" s="63"/>
      <c r="B938" s="49"/>
      <c r="C938" s="49"/>
      <c r="D938" s="49"/>
      <c r="E938" s="49"/>
      <c r="F938" s="49"/>
      <c r="G938" s="49"/>
      <c r="H938" s="49"/>
      <c r="I938" s="49"/>
      <c r="J938" s="49"/>
    </row>
    <row r="939">
      <c r="A939" s="63"/>
      <c r="B939" s="49"/>
      <c r="C939" s="49"/>
      <c r="D939" s="49"/>
      <c r="E939" s="49"/>
      <c r="F939" s="49"/>
      <c r="G939" s="49"/>
      <c r="H939" s="49"/>
      <c r="I939" s="49"/>
      <c r="J939" s="49"/>
    </row>
    <row r="940">
      <c r="A940" s="63"/>
      <c r="B940" s="49"/>
      <c r="C940" s="49"/>
      <c r="D940" s="49"/>
      <c r="E940" s="49"/>
      <c r="F940" s="49"/>
      <c r="G940" s="49"/>
      <c r="H940" s="49"/>
      <c r="I940" s="49"/>
      <c r="J940" s="49"/>
    </row>
    <row r="941">
      <c r="A941" s="63"/>
      <c r="B941" s="49"/>
      <c r="C941" s="49"/>
      <c r="D941" s="49"/>
      <c r="E941" s="49"/>
      <c r="F941" s="49"/>
      <c r="G941" s="49"/>
      <c r="H941" s="49"/>
      <c r="I941" s="49"/>
      <c r="J941" s="49"/>
    </row>
    <row r="942">
      <c r="A942" s="63"/>
      <c r="B942" s="49"/>
      <c r="C942" s="49"/>
      <c r="D942" s="49"/>
      <c r="E942" s="49"/>
      <c r="F942" s="49"/>
      <c r="G942" s="49"/>
      <c r="H942" s="49"/>
      <c r="I942" s="49"/>
      <c r="J942" s="49"/>
    </row>
    <row r="943">
      <c r="A943" s="63"/>
      <c r="B943" s="49"/>
      <c r="C943" s="49"/>
      <c r="D943" s="49"/>
      <c r="E943" s="49"/>
      <c r="F943" s="49"/>
      <c r="G943" s="49"/>
      <c r="H943" s="49"/>
      <c r="I943" s="49"/>
      <c r="J943" s="49"/>
    </row>
    <row r="944">
      <c r="A944" s="63"/>
      <c r="B944" s="49"/>
      <c r="C944" s="49"/>
      <c r="D944" s="49"/>
      <c r="E944" s="49"/>
      <c r="F944" s="49"/>
      <c r="G944" s="49"/>
      <c r="H944" s="49"/>
      <c r="I944" s="49"/>
      <c r="J944" s="49"/>
    </row>
    <row r="945">
      <c r="A945" s="63"/>
      <c r="B945" s="49"/>
      <c r="C945" s="49"/>
      <c r="D945" s="49"/>
      <c r="E945" s="49"/>
      <c r="F945" s="49"/>
      <c r="G945" s="49"/>
      <c r="H945" s="49"/>
      <c r="I945" s="49"/>
      <c r="J945" s="49"/>
    </row>
    <row r="946">
      <c r="A946" s="63"/>
      <c r="B946" s="49"/>
      <c r="C946" s="49"/>
      <c r="D946" s="49"/>
      <c r="E946" s="49"/>
      <c r="F946" s="49"/>
      <c r="G946" s="49"/>
      <c r="H946" s="49"/>
      <c r="I946" s="49"/>
      <c r="J946" s="49"/>
    </row>
    <row r="947">
      <c r="A947" s="63"/>
      <c r="B947" s="49"/>
      <c r="C947" s="49"/>
      <c r="D947" s="49"/>
      <c r="E947" s="49"/>
      <c r="F947" s="49"/>
      <c r="G947" s="49"/>
      <c r="H947" s="49"/>
      <c r="I947" s="49"/>
      <c r="J947" s="49"/>
    </row>
    <row r="948">
      <c r="A948" s="63"/>
      <c r="B948" s="49"/>
      <c r="C948" s="49"/>
      <c r="D948" s="49"/>
      <c r="E948" s="49"/>
      <c r="F948" s="49"/>
      <c r="G948" s="49"/>
      <c r="H948" s="49"/>
      <c r="I948" s="49"/>
      <c r="J948" s="49"/>
    </row>
    <row r="949">
      <c r="A949" s="63"/>
      <c r="B949" s="49"/>
      <c r="C949" s="49"/>
      <c r="D949" s="49"/>
      <c r="E949" s="49"/>
      <c r="F949" s="49"/>
      <c r="G949" s="49"/>
      <c r="H949" s="49"/>
      <c r="I949" s="49"/>
      <c r="J949" s="49"/>
    </row>
    <row r="950">
      <c r="A950" s="63"/>
      <c r="B950" s="49"/>
      <c r="C950" s="49"/>
      <c r="D950" s="49"/>
      <c r="E950" s="49"/>
      <c r="F950" s="49"/>
      <c r="G950" s="49"/>
      <c r="H950" s="49"/>
      <c r="I950" s="49"/>
      <c r="J950" s="49"/>
    </row>
    <row r="951">
      <c r="A951" s="63"/>
      <c r="B951" s="49"/>
      <c r="C951" s="49"/>
      <c r="D951" s="49"/>
      <c r="E951" s="49"/>
      <c r="F951" s="49"/>
      <c r="G951" s="49"/>
      <c r="H951" s="49"/>
      <c r="I951" s="49"/>
      <c r="J951" s="49"/>
    </row>
    <row r="952">
      <c r="A952" s="63"/>
      <c r="B952" s="49"/>
      <c r="C952" s="49"/>
      <c r="D952" s="49"/>
      <c r="E952" s="49"/>
      <c r="F952" s="49"/>
      <c r="G952" s="49"/>
      <c r="H952" s="49"/>
      <c r="I952" s="49"/>
      <c r="J952" s="49"/>
    </row>
    <row r="953">
      <c r="A953" s="63"/>
      <c r="B953" s="49"/>
      <c r="C953" s="49"/>
      <c r="D953" s="49"/>
      <c r="E953" s="49"/>
      <c r="F953" s="49"/>
      <c r="G953" s="49"/>
      <c r="H953" s="49"/>
      <c r="I953" s="49"/>
      <c r="J953" s="49"/>
    </row>
    <row r="954">
      <c r="A954" s="63"/>
      <c r="B954" s="49"/>
      <c r="C954" s="49"/>
      <c r="D954" s="49"/>
      <c r="E954" s="49"/>
      <c r="F954" s="49"/>
      <c r="G954" s="49"/>
      <c r="H954" s="49"/>
      <c r="I954" s="49"/>
      <c r="J954" s="49"/>
    </row>
    <row r="955">
      <c r="A955" s="63"/>
      <c r="B955" s="49"/>
      <c r="C955" s="49"/>
      <c r="D955" s="49"/>
      <c r="E955" s="49"/>
      <c r="F955" s="49"/>
      <c r="G955" s="49"/>
      <c r="H955" s="49"/>
      <c r="I955" s="49"/>
      <c r="J955" s="49"/>
    </row>
    <row r="956">
      <c r="A956" s="63"/>
      <c r="B956" s="49"/>
      <c r="C956" s="49"/>
      <c r="D956" s="49"/>
      <c r="E956" s="49"/>
      <c r="F956" s="49"/>
      <c r="G956" s="49"/>
      <c r="H956" s="49"/>
      <c r="I956" s="49"/>
      <c r="J956" s="49"/>
    </row>
    <row r="957">
      <c r="A957" s="63"/>
      <c r="B957" s="49"/>
      <c r="C957" s="49"/>
      <c r="D957" s="49"/>
      <c r="E957" s="49"/>
      <c r="F957" s="49"/>
      <c r="G957" s="49"/>
      <c r="H957" s="49"/>
      <c r="I957" s="49"/>
      <c r="J957" s="49"/>
    </row>
    <row r="958">
      <c r="A958" s="63"/>
      <c r="B958" s="49"/>
      <c r="C958" s="49"/>
      <c r="D958" s="49"/>
      <c r="E958" s="49"/>
      <c r="F958" s="49"/>
      <c r="G958" s="49"/>
      <c r="H958" s="49"/>
      <c r="I958" s="49"/>
      <c r="J958" s="49"/>
    </row>
    <row r="959">
      <c r="A959" s="63"/>
      <c r="B959" s="49"/>
      <c r="C959" s="49"/>
      <c r="D959" s="49"/>
      <c r="E959" s="49"/>
      <c r="F959" s="49"/>
      <c r="G959" s="49"/>
      <c r="H959" s="49"/>
      <c r="I959" s="49"/>
      <c r="J959" s="49"/>
    </row>
    <row r="960">
      <c r="A960" s="63"/>
      <c r="B960" s="49"/>
      <c r="C960" s="49"/>
      <c r="D960" s="49"/>
      <c r="E960" s="49"/>
      <c r="F960" s="49"/>
      <c r="G960" s="49"/>
      <c r="H960" s="49"/>
      <c r="I960" s="49"/>
      <c r="J960" s="49"/>
    </row>
    <row r="961">
      <c r="A961" s="63"/>
      <c r="B961" s="49"/>
      <c r="C961" s="49"/>
      <c r="D961" s="49"/>
      <c r="E961" s="49"/>
      <c r="F961" s="49"/>
      <c r="G961" s="49"/>
      <c r="H961" s="49"/>
      <c r="I961" s="49"/>
      <c r="J961" s="49"/>
    </row>
    <row r="962">
      <c r="A962" s="63"/>
      <c r="B962" s="49"/>
      <c r="C962" s="49"/>
      <c r="D962" s="49"/>
      <c r="E962" s="49"/>
      <c r="F962" s="49"/>
      <c r="G962" s="49"/>
      <c r="H962" s="49"/>
      <c r="I962" s="49"/>
      <c r="J962" s="49"/>
    </row>
    <row r="963">
      <c r="A963" s="63"/>
      <c r="B963" s="49"/>
      <c r="C963" s="49"/>
      <c r="D963" s="49"/>
      <c r="E963" s="49"/>
      <c r="F963" s="49"/>
      <c r="G963" s="49"/>
      <c r="H963" s="49"/>
      <c r="I963" s="49"/>
      <c r="J963" s="49"/>
    </row>
    <row r="964">
      <c r="A964" s="63"/>
      <c r="B964" s="49"/>
      <c r="C964" s="49"/>
      <c r="D964" s="49"/>
      <c r="E964" s="49"/>
      <c r="F964" s="49"/>
      <c r="G964" s="49"/>
      <c r="H964" s="49"/>
      <c r="I964" s="49"/>
      <c r="J964" s="49"/>
    </row>
    <row r="965">
      <c r="A965" s="63"/>
      <c r="B965" s="49"/>
      <c r="C965" s="49"/>
      <c r="D965" s="49"/>
      <c r="E965" s="49"/>
      <c r="F965" s="49"/>
      <c r="G965" s="49"/>
      <c r="H965" s="49"/>
      <c r="I965" s="49"/>
      <c r="J965" s="49"/>
    </row>
    <row r="966">
      <c r="A966" s="63"/>
      <c r="B966" s="49"/>
      <c r="C966" s="49"/>
      <c r="D966" s="49"/>
      <c r="E966" s="49"/>
      <c r="F966" s="49"/>
      <c r="G966" s="49"/>
      <c r="H966" s="49"/>
      <c r="I966" s="49"/>
      <c r="J966" s="49"/>
    </row>
    <row r="967">
      <c r="A967" s="63"/>
      <c r="B967" s="49"/>
      <c r="C967" s="49"/>
      <c r="D967" s="49"/>
      <c r="E967" s="49"/>
      <c r="F967" s="49"/>
      <c r="G967" s="49"/>
      <c r="H967" s="49"/>
      <c r="I967" s="49"/>
      <c r="J967" s="49"/>
    </row>
    <row r="968">
      <c r="A968" s="63"/>
      <c r="B968" s="49"/>
      <c r="C968" s="49"/>
      <c r="D968" s="49"/>
      <c r="E968" s="49"/>
      <c r="F968" s="49"/>
      <c r="G968" s="49"/>
      <c r="H968" s="49"/>
      <c r="I968" s="49"/>
      <c r="J968" s="49"/>
    </row>
    <row r="969">
      <c r="A969" s="63"/>
      <c r="B969" s="49"/>
      <c r="C969" s="49"/>
      <c r="D969" s="49"/>
      <c r="E969" s="49"/>
      <c r="F969" s="49"/>
      <c r="G969" s="49"/>
      <c r="H969" s="49"/>
      <c r="I969" s="49"/>
      <c r="J969" s="49"/>
    </row>
    <row r="970">
      <c r="A970" s="63"/>
      <c r="B970" s="49"/>
      <c r="C970" s="49"/>
      <c r="D970" s="49"/>
      <c r="E970" s="49"/>
      <c r="F970" s="49"/>
      <c r="G970" s="49"/>
      <c r="H970" s="49"/>
      <c r="I970" s="49"/>
      <c r="J970" s="49"/>
    </row>
    <row r="971">
      <c r="A971" s="63"/>
      <c r="B971" s="49"/>
      <c r="C971" s="49"/>
      <c r="D971" s="49"/>
      <c r="E971" s="49"/>
      <c r="F971" s="49"/>
      <c r="G971" s="49"/>
      <c r="H971" s="49"/>
      <c r="I971" s="49"/>
      <c r="J971" s="49"/>
    </row>
    <row r="972">
      <c r="A972" s="63"/>
      <c r="B972" s="49"/>
      <c r="C972" s="49"/>
      <c r="D972" s="49"/>
      <c r="E972" s="49"/>
      <c r="F972" s="49"/>
      <c r="G972" s="49"/>
      <c r="H972" s="49"/>
      <c r="I972" s="49"/>
      <c r="J972" s="49"/>
    </row>
    <row r="973">
      <c r="A973" s="63"/>
      <c r="B973" s="49"/>
      <c r="C973" s="49"/>
      <c r="D973" s="49"/>
      <c r="E973" s="49"/>
      <c r="F973" s="49"/>
      <c r="G973" s="49"/>
      <c r="H973" s="49"/>
      <c r="I973" s="49"/>
      <c r="J973" s="49"/>
    </row>
    <row r="974">
      <c r="A974" s="63"/>
      <c r="B974" s="49"/>
      <c r="C974" s="49"/>
      <c r="D974" s="49"/>
      <c r="E974" s="49"/>
      <c r="F974" s="49"/>
      <c r="G974" s="49"/>
      <c r="H974" s="49"/>
      <c r="I974" s="49"/>
      <c r="J974" s="49"/>
    </row>
    <row r="975">
      <c r="A975" s="63"/>
      <c r="B975" s="49"/>
      <c r="C975" s="49"/>
      <c r="D975" s="49"/>
      <c r="E975" s="49"/>
      <c r="F975" s="49"/>
      <c r="G975" s="49"/>
      <c r="H975" s="49"/>
      <c r="I975" s="49"/>
      <c r="J975" s="49"/>
    </row>
    <row r="976">
      <c r="A976" s="63"/>
      <c r="B976" s="49"/>
      <c r="C976" s="49"/>
      <c r="D976" s="49"/>
      <c r="E976" s="49"/>
      <c r="F976" s="49"/>
      <c r="G976" s="49"/>
      <c r="H976" s="49"/>
      <c r="I976" s="49"/>
      <c r="J976" s="49"/>
    </row>
    <row r="977">
      <c r="A977" s="63"/>
      <c r="B977" s="49"/>
      <c r="C977" s="49"/>
      <c r="D977" s="49"/>
      <c r="E977" s="49"/>
      <c r="F977" s="49"/>
      <c r="G977" s="49"/>
      <c r="H977" s="49"/>
      <c r="I977" s="49"/>
      <c r="J977" s="49"/>
    </row>
    <row r="978">
      <c r="A978" s="63"/>
      <c r="B978" s="49"/>
      <c r="C978" s="49"/>
      <c r="D978" s="49"/>
      <c r="E978" s="49"/>
      <c r="F978" s="49"/>
      <c r="G978" s="49"/>
      <c r="H978" s="49"/>
      <c r="I978" s="49"/>
      <c r="J978" s="49"/>
    </row>
    <row r="979">
      <c r="A979" s="63"/>
      <c r="B979" s="49"/>
      <c r="C979" s="49"/>
      <c r="D979" s="49"/>
      <c r="E979" s="49"/>
      <c r="F979" s="49"/>
      <c r="G979" s="49"/>
      <c r="H979" s="49"/>
      <c r="I979" s="49"/>
      <c r="J979" s="49"/>
    </row>
    <row r="980">
      <c r="A980" s="63"/>
      <c r="B980" s="49"/>
      <c r="C980" s="49"/>
      <c r="D980" s="49"/>
      <c r="E980" s="49"/>
      <c r="F980" s="49"/>
      <c r="G980" s="49"/>
      <c r="H980" s="49"/>
      <c r="I980" s="49"/>
      <c r="J980" s="49"/>
    </row>
    <row r="981">
      <c r="A981" s="63"/>
      <c r="B981" s="49"/>
      <c r="C981" s="49"/>
      <c r="D981" s="49"/>
      <c r="E981" s="49"/>
      <c r="F981" s="49"/>
      <c r="G981" s="49"/>
      <c r="H981" s="49"/>
      <c r="I981" s="49"/>
      <c r="J981" s="49"/>
    </row>
    <row r="982">
      <c r="A982" s="63"/>
      <c r="B982" s="49"/>
      <c r="C982" s="49"/>
      <c r="D982" s="49"/>
      <c r="E982" s="49"/>
      <c r="F982" s="49"/>
      <c r="G982" s="49"/>
      <c r="H982" s="49"/>
      <c r="I982" s="49"/>
      <c r="J982" s="49"/>
    </row>
    <row r="983">
      <c r="A983" s="63"/>
      <c r="B983" s="49"/>
      <c r="C983" s="49"/>
      <c r="D983" s="49"/>
      <c r="E983" s="49"/>
      <c r="F983" s="49"/>
      <c r="G983" s="49"/>
      <c r="H983" s="49"/>
      <c r="I983" s="49"/>
      <c r="J983" s="49"/>
    </row>
    <row r="984">
      <c r="A984" s="63"/>
      <c r="B984" s="49"/>
      <c r="C984" s="49"/>
      <c r="D984" s="49"/>
      <c r="E984" s="49"/>
      <c r="F984" s="49"/>
      <c r="G984" s="49"/>
      <c r="H984" s="49"/>
      <c r="I984" s="49"/>
      <c r="J984" s="49"/>
    </row>
    <row r="985">
      <c r="A985" s="63"/>
      <c r="B985" s="49"/>
      <c r="C985" s="49"/>
      <c r="D985" s="49"/>
      <c r="E985" s="49"/>
      <c r="F985" s="49"/>
      <c r="G985" s="49"/>
      <c r="H985" s="49"/>
      <c r="I985" s="49"/>
      <c r="J985" s="49"/>
    </row>
    <row r="986">
      <c r="A986" s="63"/>
      <c r="B986" s="49"/>
      <c r="C986" s="49"/>
      <c r="D986" s="49"/>
      <c r="E986" s="49"/>
      <c r="F986" s="49"/>
      <c r="G986" s="49"/>
      <c r="H986" s="49"/>
      <c r="I986" s="49"/>
      <c r="J986" s="49"/>
    </row>
    <row r="987">
      <c r="A987" s="63"/>
      <c r="B987" s="49"/>
      <c r="C987" s="49"/>
      <c r="D987" s="49"/>
      <c r="E987" s="49"/>
      <c r="F987" s="49"/>
      <c r="G987" s="49"/>
      <c r="H987" s="49"/>
      <c r="I987" s="49"/>
      <c r="J987" s="49"/>
    </row>
    <row r="988">
      <c r="A988" s="63"/>
      <c r="B988" s="49"/>
      <c r="C988" s="49"/>
      <c r="D988" s="49"/>
      <c r="E988" s="49"/>
      <c r="F988" s="49"/>
      <c r="G988" s="49"/>
      <c r="H988" s="49"/>
      <c r="I988" s="49"/>
      <c r="J988" s="49"/>
    </row>
    <row r="989">
      <c r="A989" s="63"/>
      <c r="B989" s="49"/>
      <c r="C989" s="49"/>
      <c r="D989" s="49"/>
      <c r="E989" s="49"/>
      <c r="F989" s="49"/>
      <c r="G989" s="49"/>
      <c r="H989" s="49"/>
      <c r="I989" s="49"/>
      <c r="J989" s="49"/>
    </row>
    <row r="990">
      <c r="A990" s="63"/>
      <c r="B990" s="49"/>
      <c r="C990" s="49"/>
      <c r="D990" s="49"/>
      <c r="E990" s="49"/>
      <c r="F990" s="49"/>
      <c r="G990" s="49"/>
      <c r="H990" s="49"/>
      <c r="I990" s="49"/>
      <c r="J990" s="49"/>
    </row>
    <row r="991">
      <c r="A991" s="63"/>
      <c r="B991" s="49"/>
      <c r="C991" s="49"/>
      <c r="D991" s="49"/>
      <c r="E991" s="49"/>
      <c r="F991" s="49"/>
      <c r="G991" s="49"/>
      <c r="H991" s="49"/>
      <c r="I991" s="49"/>
      <c r="J991" s="49"/>
    </row>
    <row r="992">
      <c r="A992" s="63"/>
      <c r="B992" s="49"/>
      <c r="C992" s="49"/>
      <c r="D992" s="49"/>
      <c r="E992" s="49"/>
      <c r="F992" s="49"/>
      <c r="G992" s="49"/>
      <c r="H992" s="49"/>
      <c r="I992" s="49"/>
      <c r="J992" s="49"/>
    </row>
    <row r="993">
      <c r="A993" s="63"/>
      <c r="B993" s="49"/>
      <c r="C993" s="49"/>
      <c r="D993" s="49"/>
      <c r="E993" s="49"/>
      <c r="F993" s="49"/>
      <c r="G993" s="49"/>
      <c r="H993" s="49"/>
      <c r="I993" s="49"/>
      <c r="J993" s="49"/>
    </row>
    <row r="994">
      <c r="A994" s="63"/>
      <c r="B994" s="49"/>
      <c r="C994" s="49"/>
      <c r="D994" s="49"/>
      <c r="E994" s="49"/>
      <c r="F994" s="49"/>
      <c r="G994" s="49"/>
      <c r="H994" s="49"/>
      <c r="I994" s="49"/>
      <c r="J994" s="49"/>
    </row>
    <row r="995">
      <c r="A995" s="63"/>
      <c r="B995" s="49"/>
      <c r="C995" s="49"/>
      <c r="D995" s="49"/>
      <c r="E995" s="49"/>
      <c r="F995" s="49"/>
      <c r="G995" s="49"/>
      <c r="H995" s="49"/>
      <c r="I995" s="49"/>
      <c r="J995" s="49"/>
    </row>
    <row r="996">
      <c r="A996" s="63"/>
      <c r="B996" s="49"/>
      <c r="C996" s="49"/>
      <c r="D996" s="49"/>
      <c r="E996" s="49"/>
      <c r="F996" s="49"/>
      <c r="G996" s="49"/>
      <c r="H996" s="49"/>
      <c r="I996" s="49"/>
      <c r="J996" s="49"/>
    </row>
    <row r="997">
      <c r="A997" s="63"/>
      <c r="B997" s="49"/>
      <c r="C997" s="49"/>
      <c r="D997" s="49"/>
      <c r="E997" s="49"/>
      <c r="F997" s="49"/>
      <c r="G997" s="49"/>
      <c r="H997" s="49"/>
      <c r="I997" s="49"/>
      <c r="J997" s="49"/>
    </row>
    <row r="998">
      <c r="A998" s="63"/>
      <c r="B998" s="49"/>
      <c r="C998" s="49"/>
      <c r="D998" s="49"/>
      <c r="E998" s="49"/>
      <c r="F998" s="49"/>
      <c r="G998" s="49"/>
      <c r="H998" s="49"/>
      <c r="I998" s="49"/>
      <c r="J998" s="49"/>
    </row>
    <row r="999">
      <c r="A999" s="63"/>
      <c r="B999" s="49"/>
      <c r="C999" s="49"/>
      <c r="D999" s="49"/>
      <c r="E999" s="49"/>
      <c r="F999" s="49"/>
      <c r="G999" s="49"/>
      <c r="H999" s="49"/>
      <c r="I999" s="49"/>
      <c r="J999" s="49"/>
    </row>
    <row r="1000">
      <c r="A1000" s="63"/>
      <c r="B1000" s="49"/>
      <c r="C1000" s="49"/>
      <c r="D1000" s="49"/>
      <c r="E1000" s="49"/>
      <c r="F1000" s="49"/>
      <c r="G1000" s="49"/>
      <c r="H1000" s="49"/>
      <c r="I1000" s="49"/>
      <c r="J1000" s="49"/>
    </row>
  </sheetData>
  <hyperlinks>
    <hyperlink display="RETURN TO DASHBOARD" location="Dashboard!A1" ref="A1"/>
    <hyperlink r:id="rId1" ref="E2"/>
    <hyperlink r:id="rId2" ref="J2"/>
    <hyperlink r:id="rId3" ref="E3"/>
    <hyperlink r:id="rId4" ref="J3"/>
    <hyperlink r:id="rId5" ref="J4"/>
    <hyperlink r:id="rId6" ref="J5"/>
  </hyperlinks>
  <drawing r:id="rId7"/>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63"/>
    <col customWidth="1" min="2" max="2" width="10.25"/>
    <col customWidth="1" min="3" max="3" width="13.25"/>
    <col customWidth="1" min="4" max="4" width="31.0"/>
    <col customWidth="1" min="5" max="5" width="35.0"/>
    <col customWidth="1" min="7" max="7" width="49.5"/>
    <col customWidth="1" min="8" max="8" width="25.38"/>
  </cols>
  <sheetData>
    <row r="1">
      <c r="A1" s="64" t="s">
        <v>1258</v>
      </c>
      <c r="B1" s="46" t="str">
        <f>IFERROR(__xludf.DUMMYFUNCTION("QUERY('Form Responses 1'!A:AAC, ""SELECT D, E, F, G, H, I, J WHERE C = 'Digital Media'"", 1)"),"Date")</f>
        <v>Date</v>
      </c>
      <c r="C1" s="65" t="str">
        <f>IFERROR(__xludf.DUMMYFUNCTION("""COMPUTED_VALUE"""),"Channel")</f>
        <v>Channel</v>
      </c>
      <c r="D1" s="65" t="str">
        <f>IFERROR(__xludf.DUMMYFUNCTION("""COMPUTED_VALUE"""),"Link of the Article")</f>
        <v>Link of the Article</v>
      </c>
      <c r="E1" s="65" t="str">
        <f>IFERROR(__xludf.DUMMYFUNCTION("""COMPUTED_VALUE"""),"Article Topic")</f>
        <v>Article Topic</v>
      </c>
      <c r="F1" s="46" t="str">
        <f>IFERROR(__xludf.DUMMYFUNCTION("""COMPUTED_VALUE"""),"Amount Paid")</f>
        <v>Amount Paid</v>
      </c>
      <c r="G1" s="65" t="str">
        <f>IFERROR(__xludf.DUMMYFUNCTION("""COMPUTED_VALUE"""),"Summary")</f>
        <v>Summary</v>
      </c>
      <c r="H1" s="65" t="str">
        <f>IFERROR(__xludf.DUMMYFUNCTION("""COMPUTED_VALUE"""),"Digital Media -  Upload Zip FIle")</f>
        <v>Digital Media -  Upload Zip FIle</v>
      </c>
      <c r="I1" s="46"/>
      <c r="J1" s="46"/>
      <c r="K1" s="46"/>
      <c r="L1" s="46"/>
      <c r="M1" s="46"/>
      <c r="N1" s="46"/>
      <c r="O1" s="46"/>
      <c r="P1" s="46"/>
      <c r="Q1" s="46"/>
      <c r="R1" s="46"/>
      <c r="S1" s="46"/>
      <c r="T1" s="46"/>
      <c r="U1" s="46"/>
      <c r="V1" s="46"/>
      <c r="W1" s="46"/>
      <c r="X1" s="46"/>
      <c r="Y1" s="46"/>
      <c r="Z1" s="46"/>
      <c r="AA1" s="46"/>
    </row>
    <row r="2">
      <c r="B2" s="66">
        <f>IFERROR(__xludf.DUMMYFUNCTION("""COMPUTED_VALUE"""),45967.0)</f>
        <v>45967</v>
      </c>
      <c r="C2" s="60" t="str">
        <f>IFERROR(__xludf.DUMMYFUNCTION("""COMPUTED_VALUE"""),"Telegraph India(Edugraph)")</f>
        <v>Telegraph India(Edugraph)</v>
      </c>
      <c r="D2" s="62" t="str">
        <f>IFERROR(__xludf.DUMMYFUNCTION("""COMPUTED_VALUE"""),"https://www.telegraphindia.com/edugraph/campus/dayananda-sagar-university-celebrates-academic-excellence-at-convocation-with-over-2500-graduates/cid/2131581#goog_rewarded")</f>
        <v>https://www.telegraphindia.com/edugraph/campus/dayananda-sagar-university-celebrates-academic-excellence-at-convocation-with-over-2500-graduates/cid/2131581#goog_rewarded</v>
      </c>
      <c r="E2" s="60" t="str">
        <f>IFERROR(__xludf.DUMMYFUNCTION("""COMPUTED_VALUE"""),"DSU’s 9th Convocation Highlights Innovation, Global Vision and Student Success")</f>
        <v>DSU’s 9th Convocation Highlights Innovation, Global Vision and Student Success</v>
      </c>
      <c r="F2" s="57" t="str">
        <f>IFERROR(__xludf.DUMMYFUNCTION("""COMPUTED_VALUE"""),"Zero")</f>
        <v>Zero</v>
      </c>
      <c r="G2" s="60" t="str">
        <f>IFERROR(__xludf.DUMMYFUNCTION("""COMPUTED_VALUE"""),"Dayananda Sagar University (DSU) celebrated a landmark moment as it hosted its 9th Annual Convocation Ceremony.
The event was a vibrant reflection of DSU’s mission to foster academic excellence, innovation, and holistic growth.")</f>
        <v>Dayananda Sagar University (DSU) celebrated a landmark moment as it hosted its 9th Annual Convocation Ceremony.
The event was a vibrant reflection of DSU’s mission to foster academic excellence, innovation, and holistic growth.</v>
      </c>
      <c r="H2" s="62" t="str">
        <f>IFERROR(__xludf.DUMMYFUNCTION("""COMPUTED_VALUE"""),"https://drive.google.com/open?id=16MYaO138Gk-BlmX6q611Aa8McImWXZYp")</f>
        <v>https://drive.google.com/open?id=16MYaO138Gk-BlmX6q611Aa8McImWXZYp</v>
      </c>
    </row>
    <row r="3">
      <c r="B3" s="66">
        <f>IFERROR(__xludf.DUMMYFUNCTION("""COMPUTED_VALUE"""),45873.0)</f>
        <v>45873</v>
      </c>
      <c r="C3" s="60" t="str">
        <f>IFERROR(__xludf.DUMMYFUNCTION("""COMPUTED_VALUE"""),"The Print")</f>
        <v>The Print</v>
      </c>
      <c r="D3" s="62" t="str">
        <f>IFERROR(__xludf.DUMMYFUNCTION("""COMPUTED_VALUE"""),"https://theprint.in/ani-press-releases/palace-of-vision-step-inside-dayananda-sagar-university-open-house-2025/2712638/")</f>
        <v>https://theprint.in/ani-press-releases/palace-of-vision-step-inside-dayananda-sagar-university-open-house-2025/2712638/</v>
      </c>
      <c r="E3" s="60" t="str">
        <f>IFERROR(__xludf.DUMMYFUNCTION("""COMPUTED_VALUE"""),"Open House 2025")</f>
        <v>Open House 2025</v>
      </c>
      <c r="F3" s="57" t="str">
        <f>IFERROR(__xludf.DUMMYFUNCTION("""COMPUTED_VALUE"""),"40000")</f>
        <v>40000</v>
      </c>
      <c r="G3" s="60" t="str">
        <f>IFERROR(__xludf.DUMMYFUNCTION("""COMPUTED_VALUE"""),"Article says: ""The DSU Open House showcased the university’s legacy, innovation, and global outlook. Leaders highlighted AI’s growing role in education, while panelists emphasized community empowerment and future-ready learning. Students explored smart c"&amp;"lassrooms and labs, experiencing a vibrant, inclusive campus. The event reflected DSU’s commitment to meaningful education and inspiring futures.""")</f>
        <v>Article says: "The DSU Open House showcased the university’s legacy, innovation, and global outlook. Leaders highlighted AI’s growing role in education, while panelists emphasized community empowerment and future-ready learning. Students explored smart classrooms and labs, experiencing a vibrant, inclusive campus. The event reflected DSU’s commitment to meaningful education and inspiring futures."</v>
      </c>
      <c r="H3" s="62" t="str">
        <f>IFERROR(__xludf.DUMMYFUNCTION("""COMPUTED_VALUE"""),"https://drive.google.com/open?id=1pdi9mN2RiF5GaU8t4yif34BCViovTaqt")</f>
        <v>https://drive.google.com/open?id=1pdi9mN2RiF5GaU8t4yif34BCViovTaqt</v>
      </c>
    </row>
    <row r="4">
      <c r="B4" s="66">
        <f>IFERROR(__xludf.DUMMYFUNCTION("""COMPUTED_VALUE"""),45873.0)</f>
        <v>45873</v>
      </c>
      <c r="C4" s="60" t="str">
        <f>IFERROR(__xludf.DUMMYFUNCTION("""COMPUTED_VALUE"""),"ED Times")</f>
        <v>ED Times</v>
      </c>
      <c r="D4" s="62" t="str">
        <f>IFERROR(__xludf.DUMMYFUNCTION("""COMPUTED_VALUE"""),"https://edtimes.in/dream-big-travel-far-dayananda-sagar-university-opens-doors-to-the-world-for-every-student/")</f>
        <v>https://edtimes.in/dream-big-travel-far-dayananda-sagar-university-opens-doors-to-the-world-for-every-student/</v>
      </c>
      <c r="E4" s="60" t="str">
        <f>IFERROR(__xludf.DUMMYFUNCTION("""COMPUTED_VALUE"""),"Student Semester Echange")</f>
        <v>Student Semester Echange</v>
      </c>
      <c r="F4" s="57" t="str">
        <f>IFERROR(__xludf.DUMMYFUNCTION("""COMPUTED_VALUE"""),"40000")</f>
        <v>40000</v>
      </c>
      <c r="G4" s="60" t="str">
        <f>IFERROR(__xludf.DUMMYFUNCTION("""COMPUTED_VALUE"""),"DSU’s Student Exchange Program enables students to study abroad for a semester with 100% tuition waiver through global university partnerships. It makes international learning accessible, builds cultural exposure, transfers full academic credits, and expa"&amp;"nds student horizons. Supported by the International Affairs Office, it also helps guide postgraduate opportunities through the Master’s Desk initiative.")</f>
        <v>DSU’s Student Exchange Program enables students to study abroad for a semester with 100% tuition waiver through global university partnerships. It makes international learning accessible, builds cultural exposure, transfers full academic credits, and expands student horizons. Supported by the International Affairs Office, it also helps guide postgraduate opportunities through the Master’s Desk initiative.</v>
      </c>
      <c r="H4" s="62" t="str">
        <f>IFERROR(__xludf.DUMMYFUNCTION("""COMPUTED_VALUE"""),"https://drive.google.com/open?id=1qbL8pInXNBnCAxBDV_mwrK0feRAFEj8y")</f>
        <v>https://drive.google.com/open?id=1qbL8pInXNBnCAxBDV_mwrK0feRAFEj8y</v>
      </c>
    </row>
    <row r="5">
      <c r="B5" s="66">
        <f>IFERROR(__xludf.DUMMYFUNCTION("""COMPUTED_VALUE"""),45873.0)</f>
        <v>45873</v>
      </c>
      <c r="C5" s="60" t="str">
        <f>IFERROR(__xludf.DUMMYFUNCTION("""COMPUTED_VALUE"""),"ANI press Release Wire")</f>
        <v>ANI press Release Wire</v>
      </c>
      <c r="D5" s="62" t="str">
        <f>IFERROR(__xludf.DUMMYFUNCTION("""COMPUTED_VALUE"""),"https://theprint.in/ani-press-releases/palace-of-vision-step-inside-dayananda-sagar-university-open-house-2025/2712638/")</f>
        <v>https://theprint.in/ani-press-releases/palace-of-vision-step-inside-dayananda-sagar-university-open-house-2025/2712638/</v>
      </c>
      <c r="E5" s="60" t="str">
        <f>IFERROR(__xludf.DUMMYFUNCTION("""COMPUTED_VALUE"""),"DSU Open House 2025")</f>
        <v>DSU Open House 2025</v>
      </c>
      <c r="F5" s="57" t="str">
        <f>IFERROR(__xludf.DUMMYFUNCTION("""COMPUTED_VALUE"""),"Zero")</f>
        <v>Zero</v>
      </c>
      <c r="G5" s="60" t="str">
        <f>IFERROR(__xludf.DUMMYFUNCTION("""COMPUTED_VALUE"""),"Article says: ""The DSU Open House showcased the university’s legacy, innovation, and global outlook. Leaders highlighted AI’s growing role in education, while panelists emphasized community empowerment and future-ready learning. Students explored smart c"&amp;"lassrooms and labs, experiencing a vibrant, inclusive campus. The event reflected DSU’s commitment to meaningful education and inspiring futures.""")</f>
        <v>Article says: "The DSU Open House showcased the university’s legacy, innovation, and global outlook. Leaders highlighted AI’s growing role in education, while panelists emphasized community empowerment and future-ready learning. Students explored smart classrooms and labs, experiencing a vibrant, inclusive campus. The event reflected DSU’s commitment to meaningful education and inspiring futures."</v>
      </c>
      <c r="H5" s="62" t="str">
        <f>IFERROR(__xludf.DUMMYFUNCTION("""COMPUTED_VALUE"""),"https://drive.google.com/open?id=1ePmf87uMnPgJXHWbSFV19T77VUZ3T9tN")</f>
        <v>https://drive.google.com/open?id=1ePmf87uMnPgJXHWbSFV19T77VUZ3T9tN</v>
      </c>
    </row>
    <row r="6">
      <c r="B6" s="66">
        <f>IFERROR(__xludf.DUMMYFUNCTION("""COMPUTED_VALUE"""),45861.0)</f>
        <v>45861</v>
      </c>
      <c r="C6" s="60" t="str">
        <f>IFERROR(__xludf.DUMMYFUNCTION("""COMPUTED_VALUE"""),"The Tribune")</f>
        <v>The Tribune</v>
      </c>
      <c r="D6" s="62" t="str">
        <f>IFERROR(__xludf.DUMMYFUNCTION("""COMPUTED_VALUE"""),"https://www.tribuneindia.com/partner-exclusives/dayananda-sagar-university-a-global-education-destination-with-heartfelt-experiences-from-international-students/")</f>
        <v>https://www.tribuneindia.com/partner-exclusives/dayananda-sagar-university-a-global-education-destination-with-heartfelt-experiences-from-international-students/</v>
      </c>
      <c r="E6" s="60" t="str">
        <f>IFERROR(__xludf.DUMMYFUNCTION("""COMPUTED_VALUE"""),"Dayananda Sagar University: A Global Education Destination with Heartfelt Experiences from International Students")</f>
        <v>Dayananda Sagar University: A Global Education Destination with Heartfelt Experiences from International Students</v>
      </c>
      <c r="F6" s="57" t="str">
        <f>IFERROR(__xludf.DUMMYFUNCTION("""COMPUTED_VALUE"""),"40000")</f>
        <v>40000</v>
      </c>
      <c r="G6" s="60" t="str">
        <f>IFERROR(__xludf.DUMMYFUNCTION("""COMPUTED_VALUE"""),"Dayananda Sagar University (DSU) is emerging as a top global education destination, attracting international students from countries like Madagascar, Sudan, and Qatar. Students praise its safe, welcoming campus, holistic learning, vibrant student life, an"&amp;"d strong academic support. DSU blends world-class education with Indian hospitality, helping students grow personally and professionally.")</f>
        <v>Dayananda Sagar University (DSU) is emerging as a top global education destination, attracting international students from countries like Madagascar, Sudan, and Qatar. Students praise its safe, welcoming campus, holistic learning, vibrant student life, and strong academic support. DSU blends world-class education with Indian hospitality, helping students grow personally and professionally.</v>
      </c>
      <c r="H6" s="62" t="str">
        <f>IFERROR(__xludf.DUMMYFUNCTION("""COMPUTED_VALUE"""),"https://drive.google.com/open?id=1wanswy4tCzClbsvEQlKGigOQBhmOboPB")</f>
        <v>https://drive.google.com/open?id=1wanswy4tCzClbsvEQlKGigOQBhmOboPB</v>
      </c>
    </row>
    <row r="7">
      <c r="B7" s="66">
        <f>IFERROR(__xludf.DUMMYFUNCTION("""COMPUTED_VALUE"""),45784.0)</f>
        <v>45784</v>
      </c>
      <c r="C7" s="60" t="str">
        <f>IFERROR(__xludf.DUMMYFUNCTION("""COMPUTED_VALUE"""),"The Print (ANI Wire)")</f>
        <v>The Print (ANI Wire)</v>
      </c>
      <c r="D7" s="62" t="str">
        <f>IFERROR(__xludf.DUMMYFUNCTION("""COMPUTED_VALUE"""),"https://theprint.in/ani-press-releases/tedx-dayananda-sagar-university-a-symphony-of-ideas-and-inspiration-unfolds-on-stage/2618154/")</f>
        <v>https://theprint.in/ani-press-releases/tedx-dayananda-sagar-university-a-symphony-of-ideas-and-inspiration-unfolds-on-stage/2618154/</v>
      </c>
      <c r="E7" s="60" t="str">
        <f>IFERROR(__xludf.DUMMYFUNCTION("""COMPUTED_VALUE"""),"TedX Season 1")</f>
        <v>TedX Season 1</v>
      </c>
      <c r="F7" s="57" t="str">
        <f>IFERROR(__xludf.DUMMYFUNCTION("""COMPUTED_VALUE"""),"40000")</f>
        <v>40000</v>
      </c>
      <c r="G7" s="60" t="str">
        <f>IFERROR(__xludf.DUMMYFUNCTION("""COMPUTED_VALUE"""),"TEDxDSU 2025 brought together global leaders and innovators who shared powerful stories of authenticity, resilience, optimism, innovation, and lifelong learning. Speakers from diplomacy, technology, public service, and corporate leadership inspired studen"&amp;"ts through personal journeys, data-driven insights, and motivational frameworks—igniting hope and encouraging the audience to dream boldly and act courageously.")</f>
        <v>TEDxDSU 2025 brought together global leaders and innovators who shared powerful stories of authenticity, resilience, optimism, innovation, and lifelong learning. Speakers from diplomacy, technology, public service, and corporate leadership inspired students through personal journeys, data-driven insights, and motivational frameworks—igniting hope and encouraging the audience to dream boldly and act courageously.</v>
      </c>
      <c r="H7" s="62" t="str">
        <f>IFERROR(__xludf.DUMMYFUNCTION("""COMPUTED_VALUE"""),"https://drive.google.com/open?id=1BaWA87bdUvxSysmjZjtSSkJ3lT76Xplp")</f>
        <v>https://drive.google.com/open?id=1BaWA87bdUvxSysmjZjtSSkJ3lT76Xplp</v>
      </c>
    </row>
    <row r="8">
      <c r="B8" s="66">
        <f>IFERROR(__xludf.DUMMYFUNCTION("""COMPUTED_VALUE"""),45728.0)</f>
        <v>45728</v>
      </c>
      <c r="C8" s="60" t="str">
        <f>IFERROR(__xludf.DUMMYFUNCTION("""COMPUTED_VALUE"""),"Wire Distribution")</f>
        <v>Wire Distribution</v>
      </c>
      <c r="D8" s="62" t="str">
        <f>IFERROR(__xludf.DUMMYFUNCTION("""COMPUTED_VALUE"""),"https://www.tribuneindia.com/news/business/discover-the-inspiring-journey-of-dayananda-sagar-university-from-vision-to-legacy/#")</f>
        <v>https://www.tribuneindia.com/news/business/discover-the-inspiring-journey-of-dayananda-sagar-university-from-vision-to-legacy/#</v>
      </c>
      <c r="E8" s="60" t="str">
        <f>IFERROR(__xludf.DUMMYFUNCTION("""COMPUTED_VALUE"""),"Discover the Inspiring Journey of Dayananda Sagar University: From Vision to Legacy")</f>
        <v>Discover the Inspiring Journey of Dayananda Sagar University: From Vision to Legacy</v>
      </c>
      <c r="F8" s="57" t="str">
        <f>IFERROR(__xludf.DUMMYFUNCTION("""COMPUTED_VALUE"""),"40000")</f>
        <v>40000</v>
      </c>
      <c r="G8" s="60" t="str">
        <f>IFERROR(__xludf.DUMMYFUNCTION("""COMPUTED_VALUE"""),"Dayananda Sagar University (DSU) blends a rich legacy with innovation-driven education. Founded by late Shri R. Dayananda Sagar, it offers top-ranked programs, industry partnerships, global collaborations, and strong entrepreneurship support. With vibrant"&amp;" campus life and diverse schools, DSU continues transforming students into leaders, innovators, and changemakers.")</f>
        <v>Dayananda Sagar University (DSU) blends a rich legacy with innovation-driven education. Founded by late Shri R. Dayananda Sagar, it offers top-ranked programs, industry partnerships, global collaborations, and strong entrepreneurship support. With vibrant campus life and diverse schools, DSU continues transforming students into leaders, innovators, and changemakers.</v>
      </c>
      <c r="H8" s="62" t="str">
        <f>IFERROR(__xludf.DUMMYFUNCTION("""COMPUTED_VALUE"""),"https://drive.google.com/open?id=1NDH6MzmkEyll6Ej742DR9GGoESlJNAGJ")</f>
        <v>https://drive.google.com/open?id=1NDH6MzmkEyll6Ej742DR9GGoESlJNAGJ</v>
      </c>
    </row>
    <row r="9">
      <c r="B9" s="66">
        <f>IFERROR(__xludf.DUMMYFUNCTION("""COMPUTED_VALUE"""),45784.0)</f>
        <v>45784</v>
      </c>
      <c r="C9" s="60" t="str">
        <f>IFERROR(__xludf.DUMMYFUNCTION("""COMPUTED_VALUE"""),"The Tribune")</f>
        <v>The Tribune</v>
      </c>
      <c r="D9" s="62" t="str">
        <f>IFERROR(__xludf.DUMMYFUNCTION("""COMPUTED_VALUE"""),"https://www.tribuneindia.com/partner-exclusives/global-conflicts-media-law-and-human-rights-a-humanitarian-perspective-at-dayananda-sagar-university/")</f>
        <v>https://www.tribuneindia.com/partner-exclusives/global-conflicts-media-law-and-human-rights-a-humanitarian-perspective-at-dayananda-sagar-university/</v>
      </c>
      <c r="E9" s="60" t="str">
        <f>IFERROR(__xludf.DUMMYFUNCTION("""COMPUTED_VALUE"""),"Global Conflicts, Media, Law, and Human Rights: A Humanitarian Perspective at Dayananda Sagar University")</f>
        <v>Global Conflicts, Media, Law, and Human Rights: A Humanitarian Perspective at Dayananda Sagar University</v>
      </c>
      <c r="F9" s="57" t="str">
        <f>IFERROR(__xludf.DUMMYFUNCTION("""COMPUTED_VALUE"""),"40000")</f>
        <v>40000</v>
      </c>
      <c r="G9" s="60" t="str">
        <f>IFERROR(__xludf.DUMMYFUNCTION("""COMPUTED_VALUE"""),"Dayananda Sagar University hosted a powerful seminar with The Azadi Project, highlighting global refugee crises through journalism, law, and lived experiences. Speakers explored legal frameworks, media responsibility, climate displacement, and human stori"&amp;"es from Gaza to Myanmar, reminding students that migration is human, not political—and storytelling can drive empathy and change.")</f>
        <v>Dayananda Sagar University hosted a powerful seminar with The Azadi Project, highlighting global refugee crises through journalism, law, and lived experiences. Speakers explored legal frameworks, media responsibility, climate displacement, and human stories from Gaza to Myanmar, reminding students that migration is human, not political—and storytelling can drive empathy and change.</v>
      </c>
      <c r="H9" s="62" t="str">
        <f>IFERROR(__xludf.DUMMYFUNCTION("""COMPUTED_VALUE"""),"https://drive.google.com/open?id=1KYtDrTW_x5tmIM-a7V5WUjkwfOKBpIwS")</f>
        <v>https://drive.google.com/open?id=1KYtDrTW_x5tmIM-a7V5WUjkwfOKBpIwS</v>
      </c>
    </row>
    <row r="10">
      <c r="B10" s="66">
        <f>IFERROR(__xludf.DUMMYFUNCTION("""COMPUTED_VALUE"""),45733.0)</f>
        <v>45733</v>
      </c>
      <c r="C10" s="60" t="str">
        <f>IFERROR(__xludf.DUMMYFUNCTION("""COMPUTED_VALUE"""),"One India")</f>
        <v>One India</v>
      </c>
      <c r="D10" s="62" t="str">
        <f>IFERROR(__xludf.DUMMYFUNCTION("""COMPUTED_VALUE"""),"https://www.oneindia.com/partner-content/from-dsu-to-the-world-inspiring-student-success-stories-4094111.html")</f>
        <v>https://www.oneindia.com/partner-content/from-dsu-to-the-world-inspiring-student-success-stories-4094111.html</v>
      </c>
      <c r="E10" s="60" t="str">
        <f>IFERROR(__xludf.DUMMYFUNCTION("""COMPUTED_VALUE"""),"Dayananda Sagar University to the World: Inspiring Student Success Stories  Read more at: https://www.oneindia.com/partner-content/from-dsu-to-the-world-inspiring-student-success-stories-4094111.html")</f>
        <v>Dayananda Sagar University to the World: Inspiring Student Success Stories  Read more at: https://www.oneindia.com/partner-content/from-dsu-to-the-world-inspiring-student-success-stories-4094111.html</v>
      </c>
      <c r="F10" s="57" t="str">
        <f>IFERROR(__xludf.DUMMYFUNCTION("""COMPUTED_VALUE"""),"40000")</f>
        <v>40000</v>
      </c>
      <c r="G10" s="60" t="str">
        <f>IFERROR(__xludf.DUMMYFUNCTION("""COMPUTED_VALUE"""),"Dayananda Sagar University students continue to excel globally, achieving success in cultural arts, entrepreneurship, research, innovation, and higher education. From festival performances and MSME awards to international scholarships, best-paper wins, ha"&amp;"ckathon victories, and industry milestones, these accomplishments highlight DSU’s commitment to nurturing talent, innovation, and future-ready leaders.")</f>
        <v>Dayananda Sagar University students continue to excel globally, achieving success in cultural arts, entrepreneurship, research, innovation, and higher education. From festival performances and MSME awards to international scholarships, best-paper wins, hackathon victories, and industry milestones, these accomplishments highlight DSU’s commitment to nurturing talent, innovation, and future-ready leaders.</v>
      </c>
      <c r="H10" s="62" t="str">
        <f>IFERROR(__xludf.DUMMYFUNCTION("""COMPUTED_VALUE"""),"https://drive.google.com/open?id=1LAZaO8Y_G2qOMH5nIzVFVTVPRjpF5v26")</f>
        <v>https://drive.google.com/open?id=1LAZaO8Y_G2qOMH5nIzVFVTVPRjpF5v26</v>
      </c>
    </row>
    <row r="11">
      <c r="B11" s="66">
        <f>IFERROR(__xludf.DUMMYFUNCTION("""COMPUTED_VALUE"""),45727.0)</f>
        <v>45727</v>
      </c>
      <c r="C11" s="60" t="str">
        <f>IFERROR(__xludf.DUMMYFUNCTION("""COMPUTED_VALUE"""),"Outlook India")</f>
        <v>Outlook India</v>
      </c>
      <c r="D11" s="62" t="str">
        <f>IFERROR(__xludf.DUMMYFUNCTION("""COMPUTED_VALUE"""),"https://www.outlookindia.com/xhub/featured-insights/how-dayananda-sagar-university-is-transforming-lives-real-stories-of-community-impact")</f>
        <v>https://www.outlookindia.com/xhub/featured-insights/how-dayananda-sagar-university-is-transforming-lives-real-stories-of-community-impact</v>
      </c>
      <c r="E11" s="60" t="str">
        <f>IFERROR(__xludf.DUMMYFUNCTION("""COMPUTED_VALUE"""),"Community Impact")</f>
        <v>Community Impact</v>
      </c>
      <c r="F11" s="57" t="str">
        <f>IFERROR(__xludf.DUMMYFUNCTION("""COMPUTED_VALUE"""),"40000")</f>
        <v>40000</v>
      </c>
      <c r="G11" s="60" t="str">
        <f>IFERROR(__xludf.DUMMYFUNCTION("""COMPUTED_VALUE"""),"Dayananda Sagar University drives impactful community engagement through health camps, voter awareness drives, cultural initiatives, legal workshops, environmental activities, and student-led outreach programs. Across multiple schools, DSU fosters social "&amp;"responsibility, civic awareness, sustainability, creativity, and practical learning—reflecting its commitment to transforming lives and building a responsible, empowered society.")</f>
        <v>Dayananda Sagar University drives impactful community engagement through health camps, voter awareness drives, cultural initiatives, legal workshops, environmental activities, and student-led outreach programs. Across multiple schools, DSU fosters social responsibility, civic awareness, sustainability, creativity, and practical learning—reflecting its commitment to transforming lives and building a responsible, empowered society.</v>
      </c>
      <c r="H11" s="62" t="str">
        <f>IFERROR(__xludf.DUMMYFUNCTION("""COMPUTED_VALUE"""),"https://drive.google.com/open?id=1e8RF9ta4O-UfjwaCmmOFlAMnXMC6SMIP")</f>
        <v>https://drive.google.com/open?id=1e8RF9ta4O-UfjwaCmmOFlAMnXMC6SMIP</v>
      </c>
    </row>
    <row r="12">
      <c r="B12" s="66">
        <f>IFERROR(__xludf.DUMMYFUNCTION("""COMPUTED_VALUE"""),45666.0)</f>
        <v>45666</v>
      </c>
      <c r="C12" s="60" t="str">
        <f>IFERROR(__xludf.DUMMYFUNCTION("""COMPUTED_VALUE"""),"The Pie Network")</f>
        <v>The Pie Network</v>
      </c>
      <c r="D12" s="62" t="str">
        <f>IFERROR(__xludf.DUMMYFUNCTION("""COMPUTED_VALUE"""),"https://thepienews.com/special-category-visas-announced-for-india-bound-intl-students/")</f>
        <v>https://thepienews.com/special-category-visas-announced-for-india-bound-intl-students/</v>
      </c>
      <c r="E12" s="60" t="str">
        <f>IFERROR(__xludf.DUMMYFUNCTION("""COMPUTED_VALUE"""),"Special category visas announced for India-bound int’l students")</f>
        <v>Special category visas announced for India-bound int’l students</v>
      </c>
      <c r="F12" s="57" t="str">
        <f>IFERROR(__xludf.DUMMYFUNCTION("""COMPUTED_VALUE"""),"Zero")</f>
        <v>Zero</v>
      </c>
      <c r="G12" s="60" t="str">
        <f>IFERROR(__xludf.DUMMYFUNCTION("""COMPUTED_VALUE"""),"The Pie has published the comments made my Ms. Supriya Mathew ma'am on the newly announced special category visas ")</f>
        <v>The Pie has published the comments made my Ms. Supriya Mathew ma'am on the newly announced special category visas </v>
      </c>
      <c r="H12" s="62" t="str">
        <f>IFERROR(__xludf.DUMMYFUNCTION("""COMPUTED_VALUE"""),"https://drive.google.com/open?id=1zfMHiVKAUvBq8WWUYHY_Di6ul-kmZuvD")</f>
        <v>https://drive.google.com/open?id=1zfMHiVKAUvBq8WWUYHY_Di6ul-kmZuvD</v>
      </c>
    </row>
    <row r="13">
      <c r="B13" s="66">
        <f>IFERROR(__xludf.DUMMYFUNCTION("""COMPUTED_VALUE"""),45504.0)</f>
        <v>45504</v>
      </c>
      <c r="C13" s="62" t="str">
        <f>IFERROR(__xludf.DUMMYFUNCTION("""COMPUTED_VALUE"""),"Anandabazar.com")</f>
        <v>Anandabazar.com</v>
      </c>
      <c r="D13" s="62" t="str">
        <f>IFERROR(__xludf.DUMMYFUNCTION("""COMPUTED_VALUE"""),"https://www.anandabazar.com/brand-studio/nurturing-dreams-in-bangalores-educational-landscape-dgtl/cid/1534936")</f>
        <v>https://www.anandabazar.com/brand-studio/nurturing-dreams-in-bangalores-educational-landscape-dgtl/cid/1534936</v>
      </c>
      <c r="E13" s="60" t="str">
        <f>IFERROR(__xludf.DUMMYFUNCTION("""COMPUTED_VALUE"""),"Legacy, Growth, and Impact: An Overview of Dayananda Sagar University")</f>
        <v>Legacy, Growth, and Impact: An Overview of Dayananda Sagar University</v>
      </c>
      <c r="F13" s="57" t="str">
        <f>IFERROR(__xludf.DUMMYFUNCTION("""COMPUTED_VALUE"""),"Part of Banner ad Campaign")</f>
        <v>Part of Banner ad Campaign</v>
      </c>
      <c r="G13" s="60" t="str">
        <f>IFERROR(__xludf.DUMMYFUNCTION("""COMPUTED_VALUE"""),"Dayananda Sagar University is a leading institution in Bengaluru, offering high-quality education across diverse schools and modern programs. With a strong legacy, global alumni success, and active community engagement, DSU is committed to holistic learni"&amp;"ng and shaping future-ready leaders while contributing to the city’s growth as a premier education hub.")</f>
        <v>Dayananda Sagar University is a leading institution in Bengaluru, offering high-quality education across diverse schools and modern programs. With a strong legacy, global alumni success, and active community engagement, DSU is committed to holistic learning and shaping future-ready leaders while contributing to the city’s growth as a premier education hub.</v>
      </c>
      <c r="H13" s="62" t="str">
        <f>IFERROR(__xludf.DUMMYFUNCTION("""COMPUTED_VALUE"""),"https://drive.google.com/open?id=1VfQs4Ob-d1ztO4V2QwvV-y7IFRgtuFBS")</f>
        <v>https://drive.google.com/open?id=1VfQs4Ob-d1ztO4V2QwvV-y7IFRgtuFBS</v>
      </c>
    </row>
    <row r="14">
      <c r="B14" s="66">
        <f>IFERROR(__xludf.DUMMYFUNCTION("""COMPUTED_VALUE"""),45569.0)</f>
        <v>45569</v>
      </c>
      <c r="C14" s="62" t="str">
        <f>IFERROR(__xludf.DUMMYFUNCTION("""COMPUTED_VALUE"""),"Anandabazar.com")</f>
        <v>Anandabazar.com</v>
      </c>
      <c r="D14" s="62" t="str">
        <f>IFERROR(__xludf.DUMMYFUNCTION("""COMPUTED_VALUE"""),"https://www.anandabazar.com/brand-studio/bridging-borders-dayananda-sagar-universitys-path-to-inclusive-internationalization-dgtl/cid/1550595")</f>
        <v>https://www.anandabazar.com/brand-studio/bridging-borders-dayananda-sagar-universitys-path-to-inclusive-internationalization-dgtl/cid/1550595</v>
      </c>
      <c r="E14" s="60" t="str">
        <f>IFERROR(__xludf.DUMMYFUNCTION("""COMPUTED_VALUE"""),"Promotion of DSU Infrastructure")</f>
        <v>Promotion of DSU Infrastructure</v>
      </c>
      <c r="F14" s="57" t="str">
        <f>IFERROR(__xludf.DUMMYFUNCTION("""COMPUTED_VALUE"""),"Part of Banner ad Campaign by ABP")</f>
        <v>Part of Banner ad Campaign by ABP</v>
      </c>
      <c r="G14" s="60" t="str">
        <f>IFERROR(__xludf.DUMMYFUNCTION("""COMPUTED_VALUE"""),"Dayananda Sagar University is committed to providing world-class education by offering global learning opportunities through its Study Abroad programs and the KOEL initiative. By partnering with accessible international universities and hosting renowned g"&amp;"lobal experts, DSU ensures students gain intercultural exposure, advanced skills, and the confidence needed for modern global careers.")</f>
        <v>Dayananda Sagar University is committed to providing world-class education by offering global learning opportunities through its Study Abroad programs and the KOEL initiative. By partnering with accessible international universities and hosting renowned global experts, DSU ensures students gain intercultural exposure, advanced skills, and the confidence needed for modern global careers.</v>
      </c>
      <c r="H14" s="62" t="str">
        <f>IFERROR(__xludf.DUMMYFUNCTION("""COMPUTED_VALUE"""),"https://drive.google.com/open?id=1OX7U4kfq-j3P6CEGqWtm9XFbwEPwlogm")</f>
        <v>https://drive.google.com/open?id=1OX7U4kfq-j3P6CEGqWtm9XFbwEPwlogm</v>
      </c>
    </row>
    <row r="15">
      <c r="B15" s="66">
        <f>IFERROR(__xludf.DUMMYFUNCTION("""COMPUTED_VALUE"""),45594.0)</f>
        <v>45594</v>
      </c>
      <c r="C15" s="60" t="str">
        <f>IFERROR(__xludf.DUMMYFUNCTION("""COMPUTED_VALUE"""),"Telegraph India")</f>
        <v>Telegraph India</v>
      </c>
      <c r="D15" s="62" t="str">
        <f>IFERROR(__xludf.DUMMYFUNCTION("""COMPUTED_VALUE"""),"https://www.telegraphindia.com/edugraph/campus/why-choose-dayananda-sagar-university-for-your-law-degree/cid/2059145")</f>
        <v>https://www.telegraphindia.com/edugraph/campus/why-choose-dayananda-sagar-university-for-your-law-degree/cid/2059145</v>
      </c>
      <c r="E15" s="60" t="str">
        <f>IFERROR(__xludf.DUMMYFUNCTION("""COMPUTED_VALUE"""),"Why Choose Dayananda Sagar University for Law Degree?")</f>
        <v>Why Choose Dayananda Sagar University for Law Degree?</v>
      </c>
      <c r="F15" s="57" t="str">
        <f>IFERROR(__xludf.DUMMYFUNCTION("""COMPUTED_VALUE"""),"Part of Banner ad Campaign by ABP")</f>
        <v>Part of Banner ad Campaign by ABP</v>
      </c>
      <c r="G15" s="60" t="str">
        <f>IFERROR(__xludf.DUMMYFUNCTION("""COMPUTED_VALUE"""),"The DSU School of Law offers a progressive curriculum that combines traditional legal studies with modern, pressing topics like cyber law, environmental justice, and the growing influence of technology in the legal world
With a state-of-the-art moot court"&amp;" hall, a fully equipped library, and specialized research centers in areas such as intellectual property rights, criminal law, and corporate law, students have access to all the tools they need to excel")</f>
        <v>The DSU School of Law offers a progressive curriculum that combines traditional legal studies with modern, pressing topics like cyber law, environmental justice, and the growing influence of technology in the legal world
With a state-of-the-art moot court hall, a fully equipped library, and specialized research centers in areas such as intellectual property rights, criminal law, and corporate law, students have access to all the tools they need to excel</v>
      </c>
      <c r="H15" s="62" t="str">
        <f>IFERROR(__xludf.DUMMYFUNCTION("""COMPUTED_VALUE"""),"https://drive.google.com/open?id=1aY65CGz4AcYT60H56_vXXkcTGhIETunQ")</f>
        <v>https://drive.google.com/open?id=1aY65CGz4AcYT60H56_vXXkcTGhIETunQ</v>
      </c>
    </row>
    <row r="16">
      <c r="B16" s="66">
        <f>IFERROR(__xludf.DUMMYFUNCTION("""COMPUTED_VALUE"""),45556.0)</f>
        <v>45556</v>
      </c>
      <c r="C16" s="60" t="str">
        <f>IFERROR(__xludf.DUMMYFUNCTION("""COMPUTED_VALUE"""),"Telegraph India")</f>
        <v>Telegraph India</v>
      </c>
      <c r="D16" s="62" t="str">
        <f>IFERROR(__xludf.DUMMYFUNCTION("""COMPUTED_VALUE"""),"https://www.telegraphindia.com/edugraph/campus/dayananda-sagar-university-gears-up-for-nasa-space-apps-global-hackathon/cid/2049488#goog_rewarded")</f>
        <v>https://www.telegraphindia.com/edugraph/campus/dayananda-sagar-university-gears-up-for-nasa-space-apps-global-hackathon/cid/2049488#goog_rewarded</v>
      </c>
      <c r="E16" s="60" t="str">
        <f>IFERROR(__xludf.DUMMYFUNCTION("""COMPUTED_VALUE"""),"Nasa Space Apps event at DSU")</f>
        <v>Nasa Space Apps event at DSU</v>
      </c>
      <c r="F16" s="57" t="str">
        <f>IFERROR(__xludf.DUMMYFUNCTION("""COMPUTED_VALUE"""),"Part of Banner ad Campaign by ABP")</f>
        <v>Part of Banner ad Campaign by ABP</v>
      </c>
      <c r="G16" s="60" t="str">
        <f>IFERROR(__xludf.DUMMYFUNCTION("""COMPUTED_VALUE"""),"DSU takes immense pride in bringing the Space Apps Hackathon to our expansive 140-acre Harohalli campus
The hackathon welcomes students and aspiring minds above the 8th grade, creating a diverse pool of talent and perspectives")</f>
        <v>DSU takes immense pride in bringing the Space Apps Hackathon to our expansive 140-acre Harohalli campus
The hackathon welcomes students and aspiring minds above the 8th grade, creating a diverse pool of talent and perspectives</v>
      </c>
      <c r="H16" s="62" t="str">
        <f>IFERROR(__xludf.DUMMYFUNCTION("""COMPUTED_VALUE"""),"https://drive.google.com/open?id=1F23d1rKsYKaA73KVsl74TeL3WyJAM2qX")</f>
        <v>https://drive.google.com/open?id=1F23d1rKsYKaA73KVsl74TeL3WyJAM2qX</v>
      </c>
    </row>
    <row r="17">
      <c r="B17" s="66">
        <f>IFERROR(__xludf.DUMMYFUNCTION("""COMPUTED_VALUE"""),45552.0)</f>
        <v>45552</v>
      </c>
      <c r="C17" s="60" t="str">
        <f>IFERROR(__xludf.DUMMYFUNCTION("""COMPUTED_VALUE"""),"Telegraph India")</f>
        <v>Telegraph India</v>
      </c>
      <c r="D17" s="62" t="str">
        <f>IFERROR(__xludf.DUMMYFUNCTION("""COMPUTED_VALUE"""),"https://www.telegraphindia.com/edugraph/campus/bridging-borders-dayananda-sagar-universitys-path-to-inclusive-internationalization/cid/2048511")</f>
        <v>https://www.telegraphindia.com/edugraph/campus/bridging-borders-dayananda-sagar-universitys-path-to-inclusive-internationalization/cid/2048511</v>
      </c>
      <c r="E17" s="60" t="str">
        <f>IFERROR(__xludf.DUMMYFUNCTION("""COMPUTED_VALUE"""),"Inclusive Internationalisation at DSU")</f>
        <v>Inclusive Internationalisation at DSU</v>
      </c>
      <c r="F17" s="57" t="str">
        <f>IFERROR(__xludf.DUMMYFUNCTION("""COMPUTED_VALUE"""),"Part of Banner ad Campaign by ABP")</f>
        <v>Part of Banner ad Campaign by ABP</v>
      </c>
      <c r="G17" s="60" t="str">
        <f>IFERROR(__xludf.DUMMYFUNCTION("""COMPUTED_VALUE"""),"Dayananda Sagar University is committed to creating a global learning environment where everyone has the opportunity to thrive. Internationalization is at the core of our mission, ensuring that students benefit from cross-cultural experiences
Dayananda Sa"&amp;"gar University is advancing internationalization through Scholars in Residence by hosting distinguished visiting scholars from around the world, enriching its academic environment with global perspectives.")</f>
        <v>Dayananda Sagar University is committed to creating a global learning environment where everyone has the opportunity to thrive. Internationalization is at the core of our mission, ensuring that students benefit from cross-cultural experiences
Dayananda Sagar University is advancing internationalization through Scholars in Residence by hosting distinguished visiting scholars from around the world, enriching its academic environment with global perspectives.</v>
      </c>
      <c r="H17" s="62" t="str">
        <f>IFERROR(__xludf.DUMMYFUNCTION("""COMPUTED_VALUE"""),"https://drive.google.com/open?id=1AvYIIz8v85u895wej-rNSELQnEPacXJo")</f>
        <v>https://drive.google.com/open?id=1AvYIIz8v85u895wej-rNSELQnEPacXJo</v>
      </c>
    </row>
    <row r="18">
      <c r="B18" s="66">
        <f>IFERROR(__xludf.DUMMYFUNCTION("""COMPUTED_VALUE"""),45500.0)</f>
        <v>45500</v>
      </c>
      <c r="C18" s="60" t="str">
        <f>IFERROR(__xludf.DUMMYFUNCTION("""COMPUTED_VALUE"""),"Telegraph India")</f>
        <v>Telegraph India</v>
      </c>
      <c r="D18" s="62" t="str">
        <f>IFERROR(__xludf.DUMMYFUNCTION("""COMPUTED_VALUE"""),"https://www.telegraphindia.com/edugraph/campus/dayananda-sagar-university-nurturing-dreams-in-bangalores-educational-landscape/cid/2036683")</f>
        <v>https://www.telegraphindia.com/edugraph/campus/dayananda-sagar-university-nurturing-dreams-in-bangalores-educational-landscape/cid/2036683</v>
      </c>
      <c r="E18" s="60" t="str">
        <f>IFERROR(__xludf.DUMMYFUNCTION("""COMPUTED_VALUE"""),"Brand Promotion")</f>
        <v>Brand Promotion</v>
      </c>
      <c r="F18" s="57" t="str">
        <f>IFERROR(__xludf.DUMMYFUNCTION("""COMPUTED_VALUE"""),"Part of Banner ad Campaign by ABP")</f>
        <v>Part of Banner ad Campaign by ABP</v>
      </c>
      <c r="G18" s="60" t="str">
        <f>IFERROR(__xludf.DUMMYFUNCTION("""COMPUTED_VALUE"""),"Situated in the vibrant city of Bangalore, DSU provides a conducive environment for learning, innovation and personal growth
The university proudly offers a wide array of programs across schools like the School of Engineering, School of Medicine, School o"&amp;"f Health Sciences, School of Commerce and Management, School of Computing, School of Arts and Humanities, School of Basic and Applied Science, and many more")</f>
        <v>Situated in the vibrant city of Bangalore, DSU provides a conducive environment for learning, innovation and personal growth
The university proudly offers a wide array of programs across schools like the School of Engineering, School of Medicine, School of Health Sciences, School of Commerce and Management, School of Computing, School of Arts and Humanities, School of Basic and Applied Science, and many more</v>
      </c>
      <c r="H18" s="62" t="str">
        <f>IFERROR(__xludf.DUMMYFUNCTION("""COMPUTED_VALUE"""),"https://drive.google.com/open?id=1ECjr5_--u3Ff68N1bAyCHItXEW2tG7-v")</f>
        <v>https://drive.google.com/open?id=1ECjr5_--u3Ff68N1bAyCHItXEW2tG7-v</v>
      </c>
    </row>
    <row r="19">
      <c r="B19" s="66">
        <f>IFERROR(__xludf.DUMMYFUNCTION("""COMPUTED_VALUE"""),45451.0)</f>
        <v>45451</v>
      </c>
      <c r="C19" s="60" t="str">
        <f>IFERROR(__xludf.DUMMYFUNCTION("""COMPUTED_VALUE"""),"Telegraph India")</f>
        <v>Telegraph India</v>
      </c>
      <c r="D19" s="62" t="str">
        <f>IFERROR(__xludf.DUMMYFUNCTION("""COMPUTED_VALUE"""),"https://www.telegraphindia.com/edugraph/campus/dayananda-sagar-universitys-open-house-2024-combined-traditional-celebrations-with-cutting-edge-educational-programmes-photogallery/cid/2025553")</f>
        <v>https://www.telegraphindia.com/edugraph/campus/dayananda-sagar-universitys-open-house-2024-combined-traditional-celebrations-with-cutting-edge-educational-programmes-photogallery/cid/2025553</v>
      </c>
      <c r="E19" s="60" t="str">
        <f>IFERROR(__xludf.DUMMYFUNCTION("""COMPUTED_VALUE"""),"DSU Open House 2024")</f>
        <v>DSU Open House 2024</v>
      </c>
      <c r="F19" s="57" t="str">
        <f>IFERROR(__xludf.DUMMYFUNCTION("""COMPUTED_VALUE"""),"Part of Banner ad Campaign by ABP")</f>
        <v>Part of Banner ad Campaign by ABP</v>
      </c>
      <c r="G19" s="60" t="str">
        <f>IFERROR(__xludf.DUMMYFUNCTION("""COMPUTED_VALUE"""),"Article Explains in detail about the DSU open house 2024 event")</f>
        <v>Article Explains in detail about the DSU open house 2024 event</v>
      </c>
      <c r="H19" s="62" t="str">
        <f>IFERROR(__xludf.DUMMYFUNCTION("""COMPUTED_VALUE"""),"https://drive.google.com/open?id=1eZnif2wlM6KDkX5_o5FPnt-ixB2BgbpZ")</f>
        <v>https://drive.google.com/open?id=1eZnif2wlM6KDkX5_o5FPnt-ixB2BgbpZ</v>
      </c>
    </row>
    <row r="20">
      <c r="B20" s="66">
        <f>IFERROR(__xludf.DUMMYFUNCTION("""COMPUTED_VALUE"""),45436.0)</f>
        <v>45436</v>
      </c>
      <c r="C20" s="60" t="str">
        <f>IFERROR(__xludf.DUMMYFUNCTION("""COMPUTED_VALUE"""),"WCRCINT")</f>
        <v>WCRCINT</v>
      </c>
      <c r="D20" s="62" t="str">
        <f>IFERROR(__xludf.DUMMYFUNCTION("""COMPUTED_VALUE"""),"https://wcrcleaders.com/rohan-prem-sagar-a-visionary-leader-igniting-transformation-at-dayananda-sagar-university/")</f>
        <v>https://wcrcleaders.com/rohan-prem-sagar-a-visionary-leader-igniting-transformation-at-dayananda-sagar-university/</v>
      </c>
      <c r="E20" s="60" t="str">
        <f>IFERROR(__xludf.DUMMYFUNCTION("""COMPUTED_VALUE"""),"Article on visionary leadership of Rohan Prem Sagar sir")</f>
        <v>Article on visionary leadership of Rohan Prem Sagar sir</v>
      </c>
      <c r="F20" s="57" t="str">
        <f>IFERROR(__xludf.DUMMYFUNCTION("""COMPUTED_VALUE"""),"zero")</f>
        <v>zero</v>
      </c>
      <c r="G20" s="60" t="str">
        <f>IFERROR(__xludf.DUMMYFUNCTION("""COMPUTED_VALUE"""),"The article highlights the visionary leadership of Rohan Prem Sagar sir. With global academic experience from institutions like George Washington University and Columbia University, he has transformed DSU through a focus on innovation, global medical educ"&amp;"ation, entrepreneurship, ethical governance, and digital transformation. His initiatives—including strengthening CDSIMER, fostering startups through DERBI Angel, building international partnerships, enhancing research, and promoting CSR—have positioned DS"&amp;"U as a progressive, globally oriented, and socially responsible university. Rohan’s leadership philosophy centers on resilience, holistic growth, inclusivity, and continuous improvement, inspiring students and institutions toward a future of excellence.")</f>
        <v>The article highlights the visionary leadership of Rohan Prem Sagar sir. With global academic experience from institutions like George Washington University and Columbia University, he has transformed DSU through a focus on innovation, global medical education, entrepreneurship, ethical governance, and digital transformation. His initiatives—including strengthening CDSIMER, fostering startups through DERBI Angel, building international partnerships, enhancing research, and promoting CSR—have positioned DSU as a progressive, globally oriented, and socially responsible university. Rohan’s leadership philosophy centers on resilience, holistic growth, inclusivity, and continuous improvement, inspiring students and institutions toward a future of excellence.</v>
      </c>
      <c r="H20" s="62" t="str">
        <f>IFERROR(__xludf.DUMMYFUNCTION("""COMPUTED_VALUE"""),"https://drive.google.com/open?id=109cihFWmcDcrMqKBGR56Xgi2yllupzRT")</f>
        <v>https://drive.google.com/open?id=109cihFWmcDcrMqKBGR56Xgi2yllupzRT</v>
      </c>
    </row>
    <row r="21">
      <c r="B21" s="66">
        <f>IFERROR(__xludf.DUMMYFUNCTION("""COMPUTED_VALUE"""),45436.0)</f>
        <v>45436</v>
      </c>
      <c r="C21" s="60" t="str">
        <f>IFERROR(__xludf.DUMMYFUNCTION("""COMPUTED_VALUE"""),"WCRCINT")</f>
        <v>WCRCINT</v>
      </c>
      <c r="D21" s="62" t="str">
        <f>IFERROR(__xludf.DUMMYFUNCTION("""COMPUTED_VALUE""")," https://wcrcleaders.com/pioneering-a-legacy-of-transformative-education-an-in-depth-exploration-of-dayananda-sagar-university/")</f>
        <v> https://wcrcleaders.com/pioneering-a-legacy-of-transformative-education-an-in-depth-exploration-of-dayananda-sagar-university/</v>
      </c>
      <c r="E21" s="60" t="str">
        <f>IFERROR(__xludf.DUMMYFUNCTION("""COMPUTED_VALUE"""),"Recognitionof DSU as world's leading  Brand")</f>
        <v>Recognitionof DSU as world's leading  Brand</v>
      </c>
      <c r="F21" s="57" t="str">
        <f>IFERROR(__xludf.DUMMYFUNCTION("""COMPUTED_VALUE"""),"zero")</f>
        <v>zero</v>
      </c>
      <c r="G21" s="60" t="str">
        <f>IFERROR(__xludf.DUMMYFUNCTION("""COMPUTED_VALUE"""),"Dayananda Sagar University, recognised as a world-leading education brand, is a multidisciplinary institution focused on innovation, research, and industry-aligned learning. With advanced labs, global collaborations, strong placements, and holistic studen"&amp;"t development, DSU prepares future-ready graduates through academic excellence, modern infrastructure, and a commitment to inclusive and purposeful education.")</f>
        <v>Dayananda Sagar University, recognised as a world-leading education brand, is a multidisciplinary institution focused on innovation, research, and industry-aligned learning. With advanced labs, global collaborations, strong placements, and holistic student development, DSU prepares future-ready graduates through academic excellence, modern infrastructure, and a commitment to inclusive and purposeful education.</v>
      </c>
      <c r="H21" s="62" t="str">
        <f>IFERROR(__xludf.DUMMYFUNCTION("""COMPUTED_VALUE"""),"https://drive.google.com/open?id=14qAT6stOmfhlqHAs5eVnXgsJkexaS1FG")</f>
        <v>https://drive.google.com/open?id=14qAT6stOmfhlqHAs5eVnXgsJkexaS1FG</v>
      </c>
    </row>
    <row r="22">
      <c r="C22" s="60"/>
      <c r="D22" s="60"/>
      <c r="E22" s="60"/>
      <c r="G22" s="60"/>
      <c r="H22" s="60"/>
    </row>
    <row r="23">
      <c r="C23" s="60"/>
      <c r="D23" s="60"/>
      <c r="E23" s="60"/>
      <c r="G23" s="60"/>
      <c r="H23" s="60"/>
    </row>
    <row r="24">
      <c r="C24" s="60"/>
      <c r="D24" s="60"/>
      <c r="E24" s="60"/>
      <c r="G24" s="60"/>
      <c r="H24" s="60"/>
    </row>
    <row r="25">
      <c r="C25" s="60"/>
      <c r="D25" s="60"/>
      <c r="E25" s="60"/>
      <c r="G25" s="60"/>
      <c r="H25" s="60"/>
    </row>
    <row r="26">
      <c r="C26" s="60"/>
      <c r="D26" s="60"/>
      <c r="E26" s="60"/>
      <c r="G26" s="60"/>
      <c r="H26" s="60"/>
    </row>
    <row r="27">
      <c r="C27" s="60"/>
      <c r="D27" s="60"/>
      <c r="E27" s="60"/>
      <c r="G27" s="60"/>
      <c r="H27" s="60"/>
    </row>
    <row r="28">
      <c r="C28" s="60"/>
      <c r="D28" s="60"/>
      <c r="E28" s="60"/>
      <c r="G28" s="60"/>
      <c r="H28" s="60"/>
    </row>
    <row r="29">
      <c r="C29" s="60"/>
      <c r="D29" s="60"/>
      <c r="E29" s="60"/>
      <c r="G29" s="60"/>
      <c r="H29" s="60"/>
    </row>
    <row r="30">
      <c r="C30" s="60"/>
      <c r="D30" s="60"/>
      <c r="E30" s="60"/>
      <c r="G30" s="60"/>
      <c r="H30" s="60"/>
    </row>
    <row r="31">
      <c r="C31" s="60"/>
      <c r="D31" s="60"/>
      <c r="E31" s="60"/>
      <c r="G31" s="60"/>
      <c r="H31" s="60"/>
    </row>
    <row r="32">
      <c r="C32" s="60"/>
      <c r="D32" s="60"/>
      <c r="E32" s="60"/>
      <c r="G32" s="60"/>
      <c r="H32" s="60"/>
    </row>
    <row r="33">
      <c r="C33" s="60"/>
      <c r="D33" s="60"/>
      <c r="E33" s="60"/>
      <c r="G33" s="60"/>
      <c r="H33" s="60"/>
    </row>
    <row r="34">
      <c r="C34" s="60"/>
      <c r="D34" s="60"/>
      <c r="E34" s="60"/>
      <c r="G34" s="60"/>
      <c r="H34" s="60"/>
    </row>
    <row r="35">
      <c r="C35" s="60"/>
      <c r="D35" s="60"/>
      <c r="E35" s="60"/>
      <c r="G35" s="60"/>
      <c r="H35" s="60"/>
    </row>
    <row r="36">
      <c r="C36" s="60"/>
      <c r="D36" s="60"/>
      <c r="E36" s="60"/>
      <c r="G36" s="60"/>
      <c r="H36" s="60"/>
    </row>
    <row r="37">
      <c r="C37" s="60"/>
      <c r="D37" s="60"/>
      <c r="E37" s="60"/>
      <c r="G37" s="60"/>
      <c r="H37" s="60"/>
    </row>
    <row r="38">
      <c r="C38" s="60"/>
      <c r="D38" s="60"/>
      <c r="E38" s="60"/>
      <c r="G38" s="60"/>
      <c r="H38" s="60"/>
    </row>
    <row r="39">
      <c r="C39" s="60"/>
      <c r="D39" s="60"/>
      <c r="E39" s="60"/>
      <c r="G39" s="60"/>
      <c r="H39" s="60"/>
    </row>
    <row r="40">
      <c r="C40" s="60"/>
      <c r="D40" s="60"/>
      <c r="E40" s="60"/>
      <c r="G40" s="60"/>
      <c r="H40" s="60"/>
    </row>
    <row r="41">
      <c r="C41" s="60"/>
      <c r="D41" s="60"/>
      <c r="E41" s="60"/>
      <c r="G41" s="60"/>
      <c r="H41" s="60"/>
    </row>
    <row r="42">
      <c r="C42" s="60"/>
      <c r="D42" s="60"/>
      <c r="E42" s="60"/>
      <c r="G42" s="60"/>
      <c r="H42" s="60"/>
    </row>
    <row r="43">
      <c r="C43" s="60"/>
      <c r="D43" s="60"/>
      <c r="E43" s="60"/>
      <c r="G43" s="60"/>
      <c r="H43" s="60"/>
    </row>
    <row r="44">
      <c r="C44" s="60"/>
      <c r="D44" s="60"/>
      <c r="E44" s="60"/>
      <c r="G44" s="60"/>
      <c r="H44" s="60"/>
    </row>
    <row r="45">
      <c r="C45" s="60"/>
      <c r="D45" s="60"/>
      <c r="E45" s="60"/>
      <c r="G45" s="60"/>
      <c r="H45" s="60"/>
    </row>
    <row r="46">
      <c r="C46" s="60"/>
      <c r="D46" s="60"/>
      <c r="E46" s="60"/>
      <c r="G46" s="60"/>
      <c r="H46" s="60"/>
    </row>
    <row r="47">
      <c r="C47" s="60"/>
      <c r="D47" s="60"/>
      <c r="E47" s="60"/>
      <c r="G47" s="60"/>
      <c r="H47" s="60"/>
    </row>
    <row r="48">
      <c r="C48" s="60"/>
      <c r="D48" s="60"/>
      <c r="E48" s="60"/>
      <c r="G48" s="60"/>
      <c r="H48" s="60"/>
    </row>
    <row r="49">
      <c r="C49" s="60"/>
      <c r="D49" s="60"/>
      <c r="E49" s="60"/>
      <c r="G49" s="60"/>
      <c r="H49" s="60"/>
    </row>
    <row r="50">
      <c r="C50" s="60"/>
      <c r="D50" s="60"/>
      <c r="E50" s="60"/>
      <c r="G50" s="60"/>
      <c r="H50" s="60"/>
    </row>
    <row r="51">
      <c r="C51" s="60"/>
      <c r="D51" s="60"/>
      <c r="E51" s="60"/>
      <c r="G51" s="60"/>
      <c r="H51" s="60"/>
    </row>
    <row r="52">
      <c r="C52" s="60"/>
      <c r="D52" s="60"/>
      <c r="E52" s="60"/>
      <c r="G52" s="60"/>
      <c r="H52" s="60"/>
    </row>
    <row r="53">
      <c r="C53" s="60"/>
      <c r="D53" s="60"/>
      <c r="E53" s="60"/>
      <c r="G53" s="60"/>
      <c r="H53" s="60"/>
    </row>
    <row r="54">
      <c r="C54" s="60"/>
      <c r="D54" s="60"/>
      <c r="E54" s="60"/>
      <c r="G54" s="60"/>
      <c r="H54" s="60"/>
    </row>
    <row r="55">
      <c r="C55" s="60"/>
      <c r="D55" s="60"/>
      <c r="E55" s="60"/>
      <c r="G55" s="60"/>
      <c r="H55" s="60"/>
    </row>
    <row r="56">
      <c r="C56" s="60"/>
      <c r="D56" s="60"/>
      <c r="E56" s="60"/>
      <c r="G56" s="60"/>
      <c r="H56" s="60"/>
    </row>
    <row r="57">
      <c r="C57" s="60"/>
      <c r="D57" s="60"/>
      <c r="E57" s="60"/>
      <c r="G57" s="60"/>
      <c r="H57" s="60"/>
    </row>
    <row r="58">
      <c r="C58" s="60"/>
      <c r="D58" s="60"/>
      <c r="E58" s="60"/>
      <c r="G58" s="60"/>
      <c r="H58" s="60"/>
    </row>
    <row r="59">
      <c r="C59" s="60"/>
      <c r="D59" s="60"/>
      <c r="E59" s="60"/>
      <c r="G59" s="60"/>
      <c r="H59" s="60"/>
    </row>
    <row r="60">
      <c r="C60" s="60"/>
      <c r="D60" s="60"/>
      <c r="E60" s="60"/>
      <c r="G60" s="60"/>
      <c r="H60" s="60"/>
    </row>
    <row r="61">
      <c r="C61" s="60"/>
      <c r="D61" s="60"/>
      <c r="E61" s="60"/>
      <c r="G61" s="60"/>
      <c r="H61" s="60"/>
    </row>
    <row r="62">
      <c r="C62" s="60"/>
      <c r="D62" s="60"/>
      <c r="E62" s="60"/>
      <c r="G62" s="60"/>
      <c r="H62" s="60"/>
    </row>
    <row r="63">
      <c r="C63" s="60"/>
      <c r="D63" s="60"/>
      <c r="E63" s="60"/>
      <c r="G63" s="60"/>
      <c r="H63" s="60"/>
    </row>
    <row r="64">
      <c r="C64" s="60"/>
      <c r="D64" s="60"/>
      <c r="E64" s="60"/>
      <c r="G64" s="60"/>
      <c r="H64" s="60"/>
    </row>
    <row r="65">
      <c r="C65" s="60"/>
      <c r="D65" s="60"/>
      <c r="E65" s="60"/>
      <c r="G65" s="60"/>
      <c r="H65" s="60"/>
    </row>
    <row r="66">
      <c r="C66" s="60"/>
      <c r="D66" s="60"/>
      <c r="E66" s="60"/>
      <c r="G66" s="60"/>
      <c r="H66" s="60"/>
    </row>
    <row r="67">
      <c r="C67" s="60"/>
      <c r="D67" s="60"/>
      <c r="E67" s="60"/>
      <c r="G67" s="60"/>
      <c r="H67" s="60"/>
    </row>
    <row r="68">
      <c r="C68" s="60"/>
      <c r="D68" s="60"/>
      <c r="E68" s="60"/>
      <c r="G68" s="60"/>
      <c r="H68" s="60"/>
    </row>
    <row r="69">
      <c r="C69" s="60"/>
      <c r="D69" s="60"/>
      <c r="E69" s="60"/>
      <c r="G69" s="60"/>
      <c r="H69" s="60"/>
    </row>
    <row r="70">
      <c r="C70" s="60"/>
      <c r="D70" s="60"/>
      <c r="E70" s="60"/>
      <c r="G70" s="60"/>
      <c r="H70" s="60"/>
    </row>
    <row r="71">
      <c r="C71" s="60"/>
      <c r="D71" s="60"/>
      <c r="E71" s="60"/>
      <c r="G71" s="60"/>
      <c r="H71" s="60"/>
    </row>
    <row r="72">
      <c r="C72" s="60"/>
      <c r="D72" s="60"/>
      <c r="E72" s="60"/>
      <c r="G72" s="60"/>
      <c r="H72" s="60"/>
    </row>
    <row r="73">
      <c r="C73" s="60"/>
      <c r="D73" s="60"/>
      <c r="E73" s="60"/>
      <c r="G73" s="60"/>
      <c r="H73" s="60"/>
    </row>
    <row r="74">
      <c r="C74" s="60"/>
      <c r="D74" s="60"/>
      <c r="E74" s="60"/>
      <c r="G74" s="60"/>
      <c r="H74" s="60"/>
    </row>
    <row r="75">
      <c r="C75" s="60"/>
      <c r="D75" s="60"/>
      <c r="E75" s="60"/>
      <c r="G75" s="60"/>
      <c r="H75" s="60"/>
    </row>
    <row r="76">
      <c r="C76" s="60"/>
      <c r="D76" s="60"/>
      <c r="E76" s="60"/>
      <c r="G76" s="60"/>
      <c r="H76" s="60"/>
    </row>
    <row r="77">
      <c r="C77" s="60"/>
      <c r="D77" s="60"/>
      <c r="E77" s="60"/>
      <c r="G77" s="60"/>
      <c r="H77" s="60"/>
    </row>
    <row r="78">
      <c r="C78" s="60"/>
      <c r="D78" s="60"/>
      <c r="E78" s="60"/>
      <c r="G78" s="60"/>
      <c r="H78" s="60"/>
    </row>
    <row r="79">
      <c r="C79" s="60"/>
      <c r="D79" s="60"/>
      <c r="E79" s="60"/>
      <c r="G79" s="60"/>
      <c r="H79" s="60"/>
    </row>
    <row r="80">
      <c r="C80" s="60"/>
      <c r="D80" s="60"/>
      <c r="E80" s="60"/>
      <c r="G80" s="60"/>
      <c r="H80" s="60"/>
    </row>
    <row r="81">
      <c r="C81" s="60"/>
      <c r="D81" s="60"/>
      <c r="E81" s="60"/>
      <c r="G81" s="60"/>
      <c r="H81" s="60"/>
    </row>
    <row r="82">
      <c r="C82" s="60"/>
      <c r="D82" s="60"/>
      <c r="E82" s="60"/>
      <c r="G82" s="60"/>
      <c r="H82" s="60"/>
    </row>
    <row r="83">
      <c r="C83" s="60"/>
      <c r="D83" s="60"/>
      <c r="E83" s="60"/>
      <c r="G83" s="60"/>
      <c r="H83" s="60"/>
    </row>
    <row r="84">
      <c r="C84" s="60"/>
      <c r="D84" s="60"/>
      <c r="E84" s="60"/>
      <c r="G84" s="60"/>
      <c r="H84" s="60"/>
    </row>
    <row r="85">
      <c r="C85" s="60"/>
      <c r="D85" s="60"/>
      <c r="E85" s="60"/>
      <c r="G85" s="60"/>
      <c r="H85" s="60"/>
    </row>
    <row r="86">
      <c r="C86" s="60"/>
      <c r="D86" s="60"/>
      <c r="E86" s="60"/>
      <c r="G86" s="60"/>
      <c r="H86" s="60"/>
    </row>
    <row r="87">
      <c r="C87" s="60"/>
      <c r="D87" s="60"/>
      <c r="E87" s="60"/>
      <c r="G87" s="60"/>
      <c r="H87" s="60"/>
    </row>
    <row r="88">
      <c r="C88" s="60"/>
      <c r="D88" s="60"/>
      <c r="E88" s="60"/>
      <c r="G88" s="60"/>
      <c r="H88" s="60"/>
    </row>
    <row r="89">
      <c r="C89" s="60"/>
      <c r="D89" s="60"/>
      <c r="E89" s="60"/>
      <c r="G89" s="60"/>
      <c r="H89" s="60"/>
    </row>
    <row r="90">
      <c r="C90" s="60"/>
      <c r="D90" s="60"/>
      <c r="E90" s="60"/>
      <c r="G90" s="60"/>
      <c r="H90" s="60"/>
    </row>
    <row r="91">
      <c r="C91" s="60"/>
      <c r="D91" s="60"/>
      <c r="E91" s="60"/>
      <c r="G91" s="60"/>
      <c r="H91" s="60"/>
    </row>
    <row r="92">
      <c r="C92" s="60"/>
      <c r="D92" s="60"/>
      <c r="E92" s="60"/>
      <c r="G92" s="60"/>
      <c r="H92" s="60"/>
    </row>
    <row r="93">
      <c r="C93" s="60"/>
      <c r="D93" s="60"/>
      <c r="E93" s="60"/>
      <c r="G93" s="60"/>
      <c r="H93" s="60"/>
    </row>
    <row r="94">
      <c r="C94" s="60"/>
      <c r="D94" s="60"/>
      <c r="E94" s="60"/>
      <c r="G94" s="60"/>
      <c r="H94" s="60"/>
    </row>
    <row r="95">
      <c r="C95" s="60"/>
      <c r="D95" s="60"/>
      <c r="E95" s="60"/>
      <c r="G95" s="60"/>
      <c r="H95" s="60"/>
    </row>
    <row r="96">
      <c r="C96" s="60"/>
      <c r="D96" s="60"/>
      <c r="E96" s="60"/>
      <c r="G96" s="60"/>
      <c r="H96" s="60"/>
    </row>
    <row r="97">
      <c r="C97" s="60"/>
      <c r="D97" s="60"/>
      <c r="E97" s="60"/>
      <c r="G97" s="60"/>
      <c r="H97" s="60"/>
    </row>
    <row r="98">
      <c r="C98" s="60"/>
      <c r="D98" s="60"/>
      <c r="E98" s="60"/>
      <c r="G98" s="60"/>
      <c r="H98" s="60"/>
    </row>
    <row r="99">
      <c r="C99" s="60"/>
      <c r="D99" s="60"/>
      <c r="E99" s="60"/>
      <c r="G99" s="60"/>
      <c r="H99" s="60"/>
    </row>
    <row r="100">
      <c r="C100" s="60"/>
      <c r="D100" s="60"/>
      <c r="E100" s="60"/>
      <c r="G100" s="60"/>
      <c r="H100" s="60"/>
    </row>
    <row r="101">
      <c r="C101" s="60"/>
      <c r="D101" s="60"/>
      <c r="E101" s="60"/>
      <c r="G101" s="60"/>
      <c r="H101" s="60"/>
    </row>
    <row r="102">
      <c r="C102" s="60"/>
      <c r="D102" s="60"/>
      <c r="E102" s="60"/>
      <c r="G102" s="60"/>
      <c r="H102" s="60"/>
    </row>
    <row r="103">
      <c r="C103" s="60"/>
      <c r="D103" s="60"/>
      <c r="E103" s="60"/>
      <c r="G103" s="60"/>
      <c r="H103" s="60"/>
    </row>
    <row r="104">
      <c r="C104" s="60"/>
      <c r="D104" s="60"/>
      <c r="E104" s="60"/>
      <c r="G104" s="60"/>
      <c r="H104" s="60"/>
    </row>
    <row r="105">
      <c r="C105" s="60"/>
      <c r="D105" s="60"/>
      <c r="E105" s="60"/>
      <c r="G105" s="60"/>
      <c r="H105" s="60"/>
    </row>
    <row r="106">
      <c r="C106" s="60"/>
      <c r="D106" s="60"/>
      <c r="E106" s="60"/>
      <c r="G106" s="60"/>
      <c r="H106" s="60"/>
    </row>
    <row r="107">
      <c r="C107" s="60"/>
      <c r="D107" s="60"/>
      <c r="E107" s="60"/>
      <c r="G107" s="60"/>
      <c r="H107" s="60"/>
    </row>
    <row r="108">
      <c r="C108" s="60"/>
      <c r="D108" s="60"/>
      <c r="E108" s="60"/>
      <c r="G108" s="60"/>
      <c r="H108" s="60"/>
    </row>
    <row r="109">
      <c r="C109" s="60"/>
      <c r="D109" s="60"/>
      <c r="E109" s="60"/>
      <c r="G109" s="60"/>
      <c r="H109" s="60"/>
    </row>
    <row r="110">
      <c r="C110" s="60"/>
      <c r="D110" s="60"/>
      <c r="E110" s="60"/>
      <c r="G110" s="60"/>
      <c r="H110" s="60"/>
    </row>
    <row r="111">
      <c r="C111" s="60"/>
      <c r="D111" s="60"/>
      <c r="E111" s="60"/>
      <c r="G111" s="60"/>
      <c r="H111" s="60"/>
    </row>
    <row r="112">
      <c r="C112" s="60"/>
      <c r="D112" s="60"/>
      <c r="E112" s="60"/>
      <c r="G112" s="60"/>
      <c r="H112" s="60"/>
    </row>
    <row r="113">
      <c r="C113" s="60"/>
      <c r="D113" s="60"/>
      <c r="E113" s="60"/>
      <c r="G113" s="60"/>
      <c r="H113" s="60"/>
    </row>
    <row r="114">
      <c r="C114" s="60"/>
      <c r="D114" s="60"/>
      <c r="E114" s="60"/>
      <c r="G114" s="60"/>
      <c r="H114" s="60"/>
    </row>
    <row r="115">
      <c r="C115" s="60"/>
      <c r="D115" s="60"/>
      <c r="E115" s="60"/>
      <c r="G115" s="60"/>
      <c r="H115" s="60"/>
    </row>
    <row r="116">
      <c r="C116" s="60"/>
      <c r="D116" s="60"/>
      <c r="E116" s="60"/>
      <c r="G116" s="60"/>
      <c r="H116" s="60"/>
    </row>
    <row r="117">
      <c r="C117" s="60"/>
      <c r="D117" s="60"/>
      <c r="E117" s="60"/>
      <c r="G117" s="60"/>
      <c r="H117" s="60"/>
    </row>
    <row r="118">
      <c r="C118" s="60"/>
      <c r="D118" s="60"/>
      <c r="E118" s="60"/>
      <c r="G118" s="60"/>
      <c r="H118" s="60"/>
    </row>
    <row r="119">
      <c r="C119" s="60"/>
      <c r="D119" s="60"/>
      <c r="E119" s="60"/>
      <c r="G119" s="60"/>
      <c r="H119" s="60"/>
    </row>
    <row r="120">
      <c r="C120" s="60"/>
      <c r="D120" s="60"/>
      <c r="E120" s="60"/>
      <c r="G120" s="60"/>
      <c r="H120" s="60"/>
    </row>
    <row r="121">
      <c r="C121" s="60"/>
      <c r="D121" s="60"/>
      <c r="E121" s="60"/>
      <c r="G121" s="60"/>
      <c r="H121" s="60"/>
    </row>
    <row r="122">
      <c r="C122" s="60"/>
      <c r="D122" s="60"/>
      <c r="E122" s="60"/>
      <c r="G122" s="60"/>
      <c r="H122" s="60"/>
    </row>
    <row r="123">
      <c r="C123" s="60"/>
      <c r="D123" s="60"/>
      <c r="E123" s="60"/>
      <c r="G123" s="60"/>
      <c r="H123" s="60"/>
    </row>
    <row r="124">
      <c r="C124" s="60"/>
      <c r="D124" s="60"/>
      <c r="E124" s="60"/>
      <c r="G124" s="60"/>
      <c r="H124" s="60"/>
    </row>
    <row r="125">
      <c r="C125" s="60"/>
      <c r="D125" s="60"/>
      <c r="E125" s="60"/>
      <c r="G125" s="60"/>
      <c r="H125" s="60"/>
    </row>
    <row r="126">
      <c r="C126" s="60"/>
      <c r="D126" s="60"/>
      <c r="E126" s="60"/>
      <c r="G126" s="60"/>
      <c r="H126" s="60"/>
    </row>
    <row r="127">
      <c r="C127" s="60"/>
      <c r="D127" s="60"/>
      <c r="E127" s="60"/>
      <c r="G127" s="60"/>
      <c r="H127" s="60"/>
    </row>
    <row r="128">
      <c r="C128" s="60"/>
      <c r="D128" s="60"/>
      <c r="E128" s="60"/>
      <c r="G128" s="60"/>
      <c r="H128" s="60"/>
    </row>
    <row r="129">
      <c r="C129" s="60"/>
      <c r="D129" s="60"/>
      <c r="E129" s="60"/>
      <c r="G129" s="60"/>
      <c r="H129" s="60"/>
    </row>
    <row r="130">
      <c r="C130" s="60"/>
      <c r="D130" s="60"/>
      <c r="E130" s="60"/>
      <c r="G130" s="60"/>
      <c r="H130" s="60"/>
    </row>
    <row r="131">
      <c r="C131" s="60"/>
      <c r="D131" s="60"/>
      <c r="E131" s="60"/>
      <c r="G131" s="60"/>
      <c r="H131" s="60"/>
    </row>
    <row r="132">
      <c r="C132" s="60"/>
      <c r="D132" s="60"/>
      <c r="E132" s="60"/>
      <c r="G132" s="60"/>
      <c r="H132" s="60"/>
    </row>
    <row r="133">
      <c r="C133" s="60"/>
      <c r="D133" s="60"/>
      <c r="E133" s="60"/>
      <c r="G133" s="60"/>
      <c r="H133" s="60"/>
    </row>
    <row r="134">
      <c r="C134" s="60"/>
      <c r="D134" s="60"/>
      <c r="E134" s="60"/>
      <c r="G134" s="60"/>
      <c r="H134" s="60"/>
    </row>
    <row r="135">
      <c r="C135" s="60"/>
      <c r="D135" s="60"/>
      <c r="E135" s="60"/>
      <c r="G135" s="60"/>
      <c r="H135" s="60"/>
    </row>
    <row r="136">
      <c r="C136" s="60"/>
      <c r="D136" s="60"/>
      <c r="E136" s="60"/>
      <c r="G136" s="60"/>
      <c r="H136" s="60"/>
    </row>
    <row r="137">
      <c r="C137" s="60"/>
      <c r="D137" s="60"/>
      <c r="E137" s="60"/>
      <c r="G137" s="60"/>
      <c r="H137" s="60"/>
    </row>
    <row r="138">
      <c r="C138" s="60"/>
      <c r="D138" s="60"/>
      <c r="E138" s="60"/>
      <c r="G138" s="60"/>
      <c r="H138" s="60"/>
    </row>
    <row r="139">
      <c r="C139" s="60"/>
      <c r="D139" s="60"/>
      <c r="E139" s="60"/>
      <c r="G139" s="60"/>
      <c r="H139" s="60"/>
    </row>
    <row r="140">
      <c r="C140" s="60"/>
      <c r="D140" s="60"/>
      <c r="E140" s="60"/>
      <c r="G140" s="60"/>
      <c r="H140" s="60"/>
    </row>
    <row r="141">
      <c r="C141" s="60"/>
      <c r="D141" s="60"/>
      <c r="E141" s="60"/>
      <c r="G141" s="60"/>
      <c r="H141" s="60"/>
    </row>
    <row r="142">
      <c r="C142" s="60"/>
      <c r="D142" s="60"/>
      <c r="E142" s="60"/>
      <c r="G142" s="60"/>
      <c r="H142" s="60"/>
    </row>
    <row r="143">
      <c r="C143" s="60"/>
      <c r="D143" s="60"/>
      <c r="E143" s="60"/>
      <c r="G143" s="60"/>
      <c r="H143" s="60"/>
    </row>
    <row r="144">
      <c r="C144" s="60"/>
      <c r="D144" s="60"/>
      <c r="E144" s="60"/>
      <c r="G144" s="60"/>
      <c r="H144" s="60"/>
    </row>
    <row r="145">
      <c r="C145" s="60"/>
      <c r="D145" s="60"/>
      <c r="E145" s="60"/>
      <c r="G145" s="60"/>
      <c r="H145" s="60"/>
    </row>
    <row r="146">
      <c r="C146" s="60"/>
      <c r="D146" s="60"/>
      <c r="E146" s="60"/>
      <c r="G146" s="60"/>
      <c r="H146" s="60"/>
    </row>
    <row r="147">
      <c r="C147" s="60"/>
      <c r="D147" s="60"/>
      <c r="E147" s="60"/>
      <c r="G147" s="60"/>
      <c r="H147" s="60"/>
    </row>
    <row r="148">
      <c r="C148" s="60"/>
      <c r="D148" s="60"/>
      <c r="E148" s="60"/>
      <c r="G148" s="60"/>
      <c r="H148" s="60"/>
    </row>
    <row r="149">
      <c r="C149" s="60"/>
      <c r="D149" s="60"/>
      <c r="E149" s="60"/>
      <c r="G149" s="60"/>
      <c r="H149" s="60"/>
    </row>
    <row r="150">
      <c r="C150" s="60"/>
      <c r="D150" s="60"/>
      <c r="E150" s="60"/>
      <c r="G150" s="60"/>
      <c r="H150" s="60"/>
    </row>
    <row r="151">
      <c r="C151" s="60"/>
      <c r="D151" s="60"/>
      <c r="E151" s="60"/>
      <c r="G151" s="60"/>
      <c r="H151" s="60"/>
    </row>
    <row r="152">
      <c r="C152" s="60"/>
      <c r="D152" s="60"/>
      <c r="E152" s="60"/>
      <c r="G152" s="60"/>
      <c r="H152" s="60"/>
    </row>
    <row r="153">
      <c r="C153" s="60"/>
      <c r="D153" s="60"/>
      <c r="E153" s="60"/>
      <c r="G153" s="60"/>
      <c r="H153" s="60"/>
    </row>
    <row r="154">
      <c r="C154" s="60"/>
      <c r="D154" s="60"/>
      <c r="E154" s="60"/>
      <c r="G154" s="60"/>
      <c r="H154" s="60"/>
    </row>
    <row r="155">
      <c r="C155" s="60"/>
      <c r="D155" s="60"/>
      <c r="E155" s="60"/>
      <c r="G155" s="60"/>
      <c r="H155" s="60"/>
    </row>
    <row r="156">
      <c r="C156" s="60"/>
      <c r="D156" s="60"/>
      <c r="E156" s="60"/>
      <c r="G156" s="60"/>
      <c r="H156" s="60"/>
    </row>
    <row r="157">
      <c r="C157" s="60"/>
      <c r="D157" s="60"/>
      <c r="E157" s="60"/>
      <c r="G157" s="60"/>
      <c r="H157" s="60"/>
    </row>
    <row r="158">
      <c r="C158" s="60"/>
      <c r="D158" s="60"/>
      <c r="E158" s="60"/>
      <c r="G158" s="60"/>
      <c r="H158" s="60"/>
    </row>
    <row r="159">
      <c r="C159" s="60"/>
      <c r="D159" s="60"/>
      <c r="E159" s="60"/>
      <c r="G159" s="60"/>
      <c r="H159" s="60"/>
    </row>
    <row r="160">
      <c r="C160" s="60"/>
      <c r="D160" s="60"/>
      <c r="E160" s="60"/>
      <c r="G160" s="60"/>
      <c r="H160" s="60"/>
    </row>
    <row r="161">
      <c r="C161" s="60"/>
      <c r="D161" s="60"/>
      <c r="E161" s="60"/>
      <c r="G161" s="60"/>
      <c r="H161" s="60"/>
    </row>
    <row r="162">
      <c r="C162" s="60"/>
      <c r="D162" s="60"/>
      <c r="E162" s="60"/>
      <c r="G162" s="60"/>
      <c r="H162" s="60"/>
    </row>
    <row r="163">
      <c r="C163" s="60"/>
      <c r="D163" s="60"/>
      <c r="E163" s="60"/>
      <c r="G163" s="60"/>
      <c r="H163" s="60"/>
    </row>
    <row r="164">
      <c r="C164" s="60"/>
      <c r="D164" s="60"/>
      <c r="E164" s="60"/>
      <c r="G164" s="60"/>
      <c r="H164" s="60"/>
    </row>
    <row r="165">
      <c r="C165" s="60"/>
      <c r="D165" s="60"/>
      <c r="E165" s="60"/>
      <c r="G165" s="60"/>
      <c r="H165" s="60"/>
    </row>
    <row r="166">
      <c r="C166" s="60"/>
      <c r="D166" s="60"/>
      <c r="E166" s="60"/>
      <c r="G166" s="60"/>
      <c r="H166" s="60"/>
    </row>
    <row r="167">
      <c r="C167" s="60"/>
      <c r="D167" s="60"/>
      <c r="E167" s="60"/>
      <c r="G167" s="60"/>
      <c r="H167" s="60"/>
    </row>
    <row r="168">
      <c r="C168" s="60"/>
      <c r="D168" s="60"/>
      <c r="E168" s="60"/>
      <c r="G168" s="60"/>
      <c r="H168" s="60"/>
    </row>
    <row r="169">
      <c r="C169" s="60"/>
      <c r="D169" s="60"/>
      <c r="E169" s="60"/>
      <c r="G169" s="60"/>
      <c r="H169" s="60"/>
    </row>
    <row r="170">
      <c r="C170" s="60"/>
      <c r="D170" s="60"/>
      <c r="E170" s="60"/>
      <c r="G170" s="60"/>
      <c r="H170" s="60"/>
    </row>
    <row r="171">
      <c r="C171" s="60"/>
      <c r="D171" s="60"/>
      <c r="E171" s="60"/>
      <c r="G171" s="60"/>
      <c r="H171" s="60"/>
    </row>
    <row r="172">
      <c r="C172" s="60"/>
      <c r="D172" s="60"/>
      <c r="E172" s="60"/>
      <c r="G172" s="60"/>
      <c r="H172" s="60"/>
    </row>
    <row r="173">
      <c r="C173" s="60"/>
      <c r="D173" s="60"/>
      <c r="E173" s="60"/>
      <c r="G173" s="60"/>
      <c r="H173" s="60"/>
    </row>
    <row r="174">
      <c r="C174" s="60"/>
      <c r="D174" s="60"/>
      <c r="E174" s="60"/>
      <c r="G174" s="60"/>
      <c r="H174" s="60"/>
    </row>
    <row r="175">
      <c r="C175" s="60"/>
      <c r="D175" s="60"/>
      <c r="E175" s="60"/>
      <c r="G175" s="60"/>
      <c r="H175" s="60"/>
    </row>
    <row r="176">
      <c r="C176" s="60"/>
      <c r="D176" s="60"/>
      <c r="E176" s="60"/>
      <c r="G176" s="60"/>
      <c r="H176" s="60"/>
    </row>
    <row r="177">
      <c r="C177" s="60"/>
      <c r="D177" s="60"/>
      <c r="E177" s="60"/>
      <c r="G177" s="60"/>
      <c r="H177" s="60"/>
    </row>
    <row r="178">
      <c r="C178" s="60"/>
      <c r="D178" s="60"/>
      <c r="E178" s="60"/>
      <c r="G178" s="60"/>
      <c r="H178" s="60"/>
    </row>
    <row r="179">
      <c r="C179" s="60"/>
      <c r="D179" s="60"/>
      <c r="E179" s="60"/>
      <c r="G179" s="60"/>
      <c r="H179" s="60"/>
    </row>
    <row r="180">
      <c r="C180" s="60"/>
      <c r="D180" s="60"/>
      <c r="E180" s="60"/>
      <c r="G180" s="60"/>
      <c r="H180" s="60"/>
    </row>
    <row r="181">
      <c r="C181" s="60"/>
      <c r="D181" s="60"/>
      <c r="E181" s="60"/>
      <c r="G181" s="60"/>
      <c r="H181" s="60"/>
    </row>
    <row r="182">
      <c r="C182" s="60"/>
      <c r="D182" s="60"/>
      <c r="E182" s="60"/>
      <c r="G182" s="60"/>
      <c r="H182" s="60"/>
    </row>
    <row r="183">
      <c r="C183" s="60"/>
      <c r="D183" s="60"/>
      <c r="E183" s="60"/>
      <c r="G183" s="60"/>
      <c r="H183" s="60"/>
    </row>
    <row r="184">
      <c r="C184" s="60"/>
      <c r="D184" s="60"/>
      <c r="E184" s="60"/>
      <c r="G184" s="60"/>
      <c r="H184" s="60"/>
    </row>
    <row r="185">
      <c r="C185" s="60"/>
      <c r="D185" s="60"/>
      <c r="E185" s="60"/>
      <c r="G185" s="60"/>
      <c r="H185" s="60"/>
    </row>
    <row r="186">
      <c r="C186" s="60"/>
      <c r="D186" s="60"/>
      <c r="E186" s="60"/>
      <c r="G186" s="60"/>
      <c r="H186" s="60"/>
    </row>
    <row r="187">
      <c r="C187" s="60"/>
      <c r="D187" s="60"/>
      <c r="E187" s="60"/>
      <c r="G187" s="60"/>
      <c r="H187" s="60"/>
    </row>
    <row r="188">
      <c r="C188" s="60"/>
      <c r="D188" s="60"/>
      <c r="E188" s="60"/>
      <c r="G188" s="60"/>
      <c r="H188" s="60"/>
    </row>
    <row r="189">
      <c r="C189" s="60"/>
      <c r="D189" s="60"/>
      <c r="E189" s="60"/>
      <c r="G189" s="60"/>
      <c r="H189" s="60"/>
    </row>
    <row r="190">
      <c r="C190" s="60"/>
      <c r="D190" s="60"/>
      <c r="E190" s="60"/>
      <c r="G190" s="60"/>
      <c r="H190" s="60"/>
    </row>
    <row r="191">
      <c r="C191" s="60"/>
      <c r="D191" s="60"/>
      <c r="E191" s="60"/>
      <c r="G191" s="60"/>
      <c r="H191" s="60"/>
    </row>
    <row r="192">
      <c r="C192" s="60"/>
      <c r="D192" s="60"/>
      <c r="E192" s="60"/>
      <c r="G192" s="60"/>
      <c r="H192" s="60"/>
    </row>
    <row r="193">
      <c r="C193" s="60"/>
      <c r="D193" s="60"/>
      <c r="E193" s="60"/>
      <c r="G193" s="60"/>
      <c r="H193" s="60"/>
    </row>
    <row r="194">
      <c r="C194" s="60"/>
      <c r="D194" s="60"/>
      <c r="E194" s="60"/>
      <c r="G194" s="60"/>
      <c r="H194" s="60"/>
    </row>
    <row r="195">
      <c r="C195" s="60"/>
      <c r="D195" s="60"/>
      <c r="E195" s="60"/>
      <c r="G195" s="60"/>
      <c r="H195" s="60"/>
    </row>
    <row r="196">
      <c r="C196" s="60"/>
      <c r="D196" s="60"/>
      <c r="E196" s="60"/>
      <c r="G196" s="60"/>
      <c r="H196" s="60"/>
    </row>
    <row r="197">
      <c r="C197" s="60"/>
      <c r="D197" s="60"/>
      <c r="E197" s="60"/>
      <c r="G197" s="60"/>
      <c r="H197" s="60"/>
    </row>
    <row r="198">
      <c r="C198" s="60"/>
      <c r="D198" s="60"/>
      <c r="E198" s="60"/>
      <c r="G198" s="60"/>
      <c r="H198" s="60"/>
    </row>
    <row r="199">
      <c r="C199" s="60"/>
      <c r="D199" s="60"/>
      <c r="E199" s="60"/>
      <c r="G199" s="60"/>
      <c r="H199" s="60"/>
    </row>
    <row r="200">
      <c r="C200" s="60"/>
      <c r="D200" s="60"/>
      <c r="E200" s="60"/>
      <c r="G200" s="60"/>
      <c r="H200" s="60"/>
    </row>
    <row r="201">
      <c r="C201" s="60"/>
      <c r="D201" s="60"/>
      <c r="E201" s="60"/>
      <c r="G201" s="60"/>
      <c r="H201" s="60"/>
    </row>
    <row r="202">
      <c r="C202" s="60"/>
      <c r="D202" s="60"/>
      <c r="E202" s="60"/>
      <c r="G202" s="60"/>
      <c r="H202" s="60"/>
    </row>
    <row r="203">
      <c r="C203" s="60"/>
      <c r="D203" s="60"/>
      <c r="E203" s="60"/>
      <c r="G203" s="60"/>
      <c r="H203" s="60"/>
    </row>
    <row r="204">
      <c r="C204" s="60"/>
      <c r="D204" s="60"/>
      <c r="E204" s="60"/>
      <c r="G204" s="60"/>
      <c r="H204" s="60"/>
    </row>
    <row r="205">
      <c r="C205" s="60"/>
      <c r="D205" s="60"/>
      <c r="E205" s="60"/>
      <c r="G205" s="60"/>
      <c r="H205" s="60"/>
    </row>
    <row r="206">
      <c r="C206" s="60"/>
      <c r="D206" s="60"/>
      <c r="E206" s="60"/>
      <c r="G206" s="60"/>
      <c r="H206" s="60"/>
    </row>
    <row r="207">
      <c r="C207" s="60"/>
      <c r="D207" s="60"/>
      <c r="E207" s="60"/>
      <c r="G207" s="60"/>
      <c r="H207" s="60"/>
    </row>
    <row r="208">
      <c r="C208" s="60"/>
      <c r="D208" s="60"/>
      <c r="E208" s="60"/>
      <c r="G208" s="60"/>
      <c r="H208" s="60"/>
    </row>
    <row r="209">
      <c r="C209" s="60"/>
      <c r="D209" s="60"/>
      <c r="E209" s="60"/>
      <c r="G209" s="60"/>
      <c r="H209" s="60"/>
    </row>
    <row r="210">
      <c r="C210" s="60"/>
      <c r="D210" s="60"/>
      <c r="E210" s="60"/>
      <c r="G210" s="60"/>
      <c r="H210" s="60"/>
    </row>
    <row r="211">
      <c r="C211" s="60"/>
      <c r="D211" s="60"/>
      <c r="E211" s="60"/>
      <c r="G211" s="60"/>
      <c r="H211" s="60"/>
    </row>
    <row r="212">
      <c r="C212" s="60"/>
      <c r="D212" s="60"/>
      <c r="E212" s="60"/>
      <c r="G212" s="60"/>
      <c r="H212" s="60"/>
    </row>
    <row r="213">
      <c r="C213" s="60"/>
      <c r="D213" s="60"/>
      <c r="E213" s="60"/>
      <c r="G213" s="60"/>
      <c r="H213" s="60"/>
    </row>
    <row r="214">
      <c r="C214" s="60"/>
      <c r="D214" s="60"/>
      <c r="E214" s="60"/>
      <c r="G214" s="60"/>
      <c r="H214" s="60"/>
    </row>
    <row r="215">
      <c r="C215" s="60"/>
      <c r="D215" s="60"/>
      <c r="E215" s="60"/>
      <c r="G215" s="60"/>
      <c r="H215" s="60"/>
    </row>
    <row r="216">
      <c r="C216" s="60"/>
      <c r="D216" s="60"/>
      <c r="E216" s="60"/>
      <c r="G216" s="60"/>
      <c r="H216" s="60"/>
    </row>
    <row r="217">
      <c r="C217" s="60"/>
      <c r="D217" s="60"/>
      <c r="E217" s="60"/>
      <c r="G217" s="60"/>
      <c r="H217" s="60"/>
    </row>
    <row r="218">
      <c r="C218" s="60"/>
      <c r="D218" s="60"/>
      <c r="E218" s="60"/>
      <c r="G218" s="60"/>
      <c r="H218" s="60"/>
    </row>
    <row r="219">
      <c r="C219" s="60"/>
      <c r="D219" s="60"/>
      <c r="E219" s="60"/>
      <c r="G219" s="60"/>
      <c r="H219" s="60"/>
    </row>
    <row r="220">
      <c r="C220" s="60"/>
      <c r="D220" s="60"/>
      <c r="E220" s="60"/>
      <c r="G220" s="60"/>
      <c r="H220" s="60"/>
    </row>
    <row r="221">
      <c r="C221" s="60"/>
      <c r="D221" s="60"/>
      <c r="E221" s="60"/>
      <c r="G221" s="60"/>
      <c r="H221" s="60"/>
    </row>
    <row r="222">
      <c r="C222" s="60"/>
      <c r="D222" s="60"/>
      <c r="E222" s="60"/>
      <c r="G222" s="60"/>
      <c r="H222" s="60"/>
    </row>
    <row r="223">
      <c r="C223" s="60"/>
      <c r="D223" s="60"/>
      <c r="E223" s="60"/>
      <c r="G223" s="60"/>
      <c r="H223" s="60"/>
    </row>
    <row r="224">
      <c r="C224" s="60"/>
      <c r="D224" s="60"/>
      <c r="E224" s="60"/>
      <c r="G224" s="60"/>
      <c r="H224" s="60"/>
    </row>
    <row r="225">
      <c r="C225" s="60"/>
      <c r="D225" s="60"/>
      <c r="E225" s="60"/>
      <c r="G225" s="60"/>
      <c r="H225" s="60"/>
    </row>
    <row r="226">
      <c r="C226" s="60"/>
      <c r="D226" s="60"/>
      <c r="E226" s="60"/>
      <c r="G226" s="60"/>
      <c r="H226" s="60"/>
    </row>
    <row r="227">
      <c r="C227" s="60"/>
      <c r="D227" s="60"/>
      <c r="E227" s="60"/>
      <c r="G227" s="60"/>
      <c r="H227" s="60"/>
    </row>
    <row r="228">
      <c r="C228" s="60"/>
      <c r="D228" s="60"/>
      <c r="E228" s="60"/>
      <c r="G228" s="60"/>
      <c r="H228" s="60"/>
    </row>
    <row r="229">
      <c r="C229" s="60"/>
      <c r="D229" s="60"/>
      <c r="E229" s="60"/>
      <c r="G229" s="60"/>
      <c r="H229" s="60"/>
    </row>
    <row r="230">
      <c r="C230" s="60"/>
      <c r="D230" s="60"/>
      <c r="E230" s="60"/>
      <c r="G230" s="60"/>
      <c r="H230" s="60"/>
    </row>
    <row r="231">
      <c r="C231" s="60"/>
      <c r="D231" s="60"/>
      <c r="E231" s="60"/>
      <c r="G231" s="60"/>
      <c r="H231" s="60"/>
    </row>
    <row r="232">
      <c r="C232" s="60"/>
      <c r="D232" s="60"/>
      <c r="E232" s="60"/>
      <c r="G232" s="60"/>
      <c r="H232" s="60"/>
    </row>
    <row r="233">
      <c r="C233" s="60"/>
      <c r="D233" s="60"/>
      <c r="E233" s="60"/>
      <c r="G233" s="60"/>
      <c r="H233" s="60"/>
    </row>
    <row r="234">
      <c r="C234" s="60"/>
      <c r="D234" s="60"/>
      <c r="E234" s="60"/>
      <c r="G234" s="60"/>
      <c r="H234" s="60"/>
    </row>
    <row r="235">
      <c r="C235" s="60"/>
      <c r="D235" s="60"/>
      <c r="E235" s="60"/>
      <c r="G235" s="60"/>
      <c r="H235" s="60"/>
    </row>
    <row r="236">
      <c r="C236" s="60"/>
      <c r="D236" s="60"/>
      <c r="E236" s="60"/>
      <c r="G236" s="60"/>
      <c r="H236" s="60"/>
    </row>
    <row r="237">
      <c r="C237" s="60"/>
      <c r="D237" s="60"/>
      <c r="E237" s="60"/>
      <c r="G237" s="60"/>
      <c r="H237" s="60"/>
    </row>
    <row r="238">
      <c r="C238" s="60"/>
      <c r="D238" s="60"/>
      <c r="E238" s="60"/>
      <c r="G238" s="60"/>
      <c r="H238" s="60"/>
    </row>
    <row r="239">
      <c r="C239" s="60"/>
      <c r="D239" s="60"/>
      <c r="E239" s="60"/>
      <c r="G239" s="60"/>
      <c r="H239" s="60"/>
    </row>
    <row r="240">
      <c r="C240" s="60"/>
      <c r="D240" s="60"/>
      <c r="E240" s="60"/>
      <c r="G240" s="60"/>
      <c r="H240" s="60"/>
    </row>
    <row r="241">
      <c r="C241" s="60"/>
      <c r="D241" s="60"/>
      <c r="E241" s="60"/>
      <c r="G241" s="60"/>
      <c r="H241" s="60"/>
    </row>
    <row r="242">
      <c r="C242" s="60"/>
      <c r="D242" s="60"/>
      <c r="E242" s="60"/>
      <c r="G242" s="60"/>
      <c r="H242" s="60"/>
    </row>
    <row r="243">
      <c r="C243" s="60"/>
      <c r="D243" s="60"/>
      <c r="E243" s="60"/>
      <c r="G243" s="60"/>
      <c r="H243" s="60"/>
    </row>
    <row r="244">
      <c r="C244" s="60"/>
      <c r="D244" s="60"/>
      <c r="E244" s="60"/>
      <c r="G244" s="60"/>
      <c r="H244" s="60"/>
    </row>
    <row r="245">
      <c r="C245" s="60"/>
      <c r="D245" s="60"/>
      <c r="E245" s="60"/>
      <c r="G245" s="60"/>
      <c r="H245" s="60"/>
    </row>
    <row r="246">
      <c r="C246" s="60"/>
      <c r="D246" s="60"/>
      <c r="E246" s="60"/>
      <c r="G246" s="60"/>
      <c r="H246" s="60"/>
    </row>
    <row r="247">
      <c r="C247" s="60"/>
      <c r="D247" s="60"/>
      <c r="E247" s="60"/>
      <c r="G247" s="60"/>
      <c r="H247" s="60"/>
    </row>
    <row r="248">
      <c r="C248" s="60"/>
      <c r="D248" s="60"/>
      <c r="E248" s="60"/>
      <c r="G248" s="60"/>
      <c r="H248" s="60"/>
    </row>
    <row r="249">
      <c r="C249" s="60"/>
      <c r="D249" s="60"/>
      <c r="E249" s="60"/>
      <c r="G249" s="60"/>
      <c r="H249" s="60"/>
    </row>
    <row r="250">
      <c r="C250" s="60"/>
      <c r="D250" s="60"/>
      <c r="E250" s="60"/>
      <c r="G250" s="60"/>
      <c r="H250" s="60"/>
    </row>
    <row r="251">
      <c r="C251" s="60"/>
      <c r="D251" s="60"/>
      <c r="E251" s="60"/>
      <c r="G251" s="60"/>
      <c r="H251" s="60"/>
    </row>
    <row r="252">
      <c r="C252" s="60"/>
      <c r="D252" s="60"/>
      <c r="E252" s="60"/>
      <c r="G252" s="60"/>
      <c r="H252" s="60"/>
    </row>
    <row r="253">
      <c r="C253" s="60"/>
      <c r="D253" s="60"/>
      <c r="E253" s="60"/>
      <c r="G253" s="60"/>
      <c r="H253" s="60"/>
    </row>
    <row r="254">
      <c r="C254" s="60"/>
      <c r="D254" s="60"/>
      <c r="E254" s="60"/>
      <c r="G254" s="60"/>
      <c r="H254" s="60"/>
    </row>
    <row r="255">
      <c r="C255" s="60"/>
      <c r="D255" s="60"/>
      <c r="E255" s="60"/>
      <c r="G255" s="60"/>
      <c r="H255" s="60"/>
    </row>
    <row r="256">
      <c r="C256" s="60"/>
      <c r="D256" s="60"/>
      <c r="E256" s="60"/>
      <c r="G256" s="60"/>
      <c r="H256" s="60"/>
    </row>
    <row r="257">
      <c r="C257" s="60"/>
      <c r="D257" s="60"/>
      <c r="E257" s="60"/>
      <c r="G257" s="60"/>
      <c r="H257" s="60"/>
    </row>
    <row r="258">
      <c r="C258" s="60"/>
      <c r="D258" s="60"/>
      <c r="E258" s="60"/>
      <c r="G258" s="60"/>
      <c r="H258" s="60"/>
    </row>
    <row r="259">
      <c r="C259" s="60"/>
      <c r="D259" s="60"/>
      <c r="E259" s="60"/>
      <c r="G259" s="60"/>
      <c r="H259" s="60"/>
    </row>
    <row r="260">
      <c r="C260" s="60"/>
      <c r="D260" s="60"/>
      <c r="E260" s="60"/>
      <c r="G260" s="60"/>
      <c r="H260" s="60"/>
    </row>
    <row r="261">
      <c r="C261" s="60"/>
      <c r="D261" s="60"/>
      <c r="E261" s="60"/>
      <c r="G261" s="60"/>
      <c r="H261" s="60"/>
    </row>
    <row r="262">
      <c r="C262" s="60"/>
      <c r="D262" s="60"/>
      <c r="E262" s="60"/>
      <c r="G262" s="60"/>
      <c r="H262" s="60"/>
    </row>
    <row r="263">
      <c r="C263" s="60"/>
      <c r="D263" s="60"/>
      <c r="E263" s="60"/>
      <c r="G263" s="60"/>
      <c r="H263" s="60"/>
    </row>
    <row r="264">
      <c r="C264" s="60"/>
      <c r="D264" s="60"/>
      <c r="E264" s="60"/>
      <c r="G264" s="60"/>
      <c r="H264" s="60"/>
    </row>
    <row r="265">
      <c r="C265" s="60"/>
      <c r="D265" s="60"/>
      <c r="E265" s="60"/>
      <c r="G265" s="60"/>
      <c r="H265" s="60"/>
    </row>
    <row r="266">
      <c r="C266" s="60"/>
      <c r="D266" s="60"/>
      <c r="E266" s="60"/>
      <c r="G266" s="60"/>
      <c r="H266" s="60"/>
    </row>
    <row r="267">
      <c r="C267" s="60"/>
      <c r="D267" s="60"/>
      <c r="E267" s="60"/>
      <c r="G267" s="60"/>
      <c r="H267" s="60"/>
    </row>
    <row r="268">
      <c r="C268" s="60"/>
      <c r="D268" s="60"/>
      <c r="E268" s="60"/>
      <c r="G268" s="60"/>
      <c r="H268" s="60"/>
    </row>
    <row r="269">
      <c r="C269" s="60"/>
      <c r="D269" s="60"/>
      <c r="E269" s="60"/>
      <c r="G269" s="60"/>
      <c r="H269" s="60"/>
    </row>
    <row r="270">
      <c r="C270" s="60"/>
      <c r="D270" s="60"/>
      <c r="E270" s="60"/>
      <c r="G270" s="60"/>
      <c r="H270" s="60"/>
    </row>
    <row r="271">
      <c r="C271" s="60"/>
      <c r="D271" s="60"/>
      <c r="E271" s="60"/>
      <c r="G271" s="60"/>
      <c r="H271" s="60"/>
    </row>
    <row r="272">
      <c r="C272" s="60"/>
      <c r="D272" s="60"/>
      <c r="E272" s="60"/>
      <c r="G272" s="60"/>
      <c r="H272" s="60"/>
    </row>
    <row r="273">
      <c r="C273" s="60"/>
      <c r="D273" s="60"/>
      <c r="E273" s="60"/>
      <c r="G273" s="60"/>
      <c r="H273" s="60"/>
    </row>
    <row r="274">
      <c r="C274" s="60"/>
      <c r="D274" s="60"/>
      <c r="E274" s="60"/>
      <c r="G274" s="60"/>
      <c r="H274" s="60"/>
    </row>
    <row r="275">
      <c r="C275" s="60"/>
      <c r="D275" s="60"/>
      <c r="E275" s="60"/>
      <c r="G275" s="60"/>
      <c r="H275" s="60"/>
    </row>
    <row r="276">
      <c r="C276" s="60"/>
      <c r="D276" s="60"/>
      <c r="E276" s="60"/>
      <c r="G276" s="60"/>
      <c r="H276" s="60"/>
    </row>
    <row r="277">
      <c r="C277" s="60"/>
      <c r="D277" s="60"/>
      <c r="E277" s="60"/>
      <c r="G277" s="60"/>
      <c r="H277" s="60"/>
    </row>
    <row r="278">
      <c r="C278" s="60"/>
      <c r="D278" s="60"/>
      <c r="E278" s="60"/>
      <c r="G278" s="60"/>
      <c r="H278" s="60"/>
    </row>
    <row r="279">
      <c r="C279" s="60"/>
      <c r="D279" s="60"/>
      <c r="E279" s="60"/>
      <c r="G279" s="60"/>
      <c r="H279" s="60"/>
    </row>
    <row r="280">
      <c r="C280" s="60"/>
      <c r="D280" s="60"/>
      <c r="E280" s="60"/>
      <c r="G280" s="60"/>
      <c r="H280" s="60"/>
    </row>
    <row r="281">
      <c r="C281" s="60"/>
      <c r="D281" s="60"/>
      <c r="E281" s="60"/>
      <c r="G281" s="60"/>
      <c r="H281" s="60"/>
    </row>
    <row r="282">
      <c r="C282" s="60"/>
      <c r="D282" s="60"/>
      <c r="E282" s="60"/>
      <c r="G282" s="60"/>
      <c r="H282" s="60"/>
    </row>
    <row r="283">
      <c r="C283" s="60"/>
      <c r="D283" s="60"/>
      <c r="E283" s="60"/>
      <c r="G283" s="60"/>
      <c r="H283" s="60"/>
    </row>
    <row r="284">
      <c r="C284" s="60"/>
      <c r="D284" s="60"/>
      <c r="E284" s="60"/>
      <c r="G284" s="60"/>
      <c r="H284" s="60"/>
    </row>
    <row r="285">
      <c r="C285" s="60"/>
      <c r="D285" s="60"/>
      <c r="E285" s="60"/>
      <c r="G285" s="60"/>
      <c r="H285" s="60"/>
    </row>
    <row r="286">
      <c r="C286" s="60"/>
      <c r="D286" s="60"/>
      <c r="E286" s="60"/>
      <c r="G286" s="60"/>
      <c r="H286" s="60"/>
    </row>
    <row r="287">
      <c r="C287" s="60"/>
      <c r="D287" s="60"/>
      <c r="E287" s="60"/>
      <c r="G287" s="60"/>
      <c r="H287" s="60"/>
    </row>
    <row r="288">
      <c r="C288" s="60"/>
      <c r="D288" s="60"/>
      <c r="E288" s="60"/>
      <c r="G288" s="60"/>
      <c r="H288" s="60"/>
    </row>
    <row r="289">
      <c r="C289" s="60"/>
      <c r="D289" s="60"/>
      <c r="E289" s="60"/>
      <c r="G289" s="60"/>
      <c r="H289" s="60"/>
    </row>
    <row r="290">
      <c r="C290" s="60"/>
      <c r="D290" s="60"/>
      <c r="E290" s="60"/>
      <c r="G290" s="60"/>
      <c r="H290" s="60"/>
    </row>
    <row r="291">
      <c r="C291" s="60"/>
      <c r="D291" s="60"/>
      <c r="E291" s="60"/>
      <c r="G291" s="60"/>
      <c r="H291" s="60"/>
    </row>
    <row r="292">
      <c r="C292" s="60"/>
      <c r="D292" s="60"/>
      <c r="E292" s="60"/>
      <c r="G292" s="60"/>
      <c r="H292" s="60"/>
    </row>
    <row r="293">
      <c r="C293" s="60"/>
      <c r="D293" s="60"/>
      <c r="E293" s="60"/>
      <c r="G293" s="60"/>
      <c r="H293" s="60"/>
    </row>
    <row r="294">
      <c r="C294" s="60"/>
      <c r="D294" s="60"/>
      <c r="E294" s="60"/>
      <c r="G294" s="60"/>
      <c r="H294" s="60"/>
    </row>
    <row r="295">
      <c r="C295" s="60"/>
      <c r="D295" s="60"/>
      <c r="E295" s="60"/>
      <c r="G295" s="60"/>
      <c r="H295" s="60"/>
    </row>
    <row r="296">
      <c r="C296" s="60"/>
      <c r="D296" s="60"/>
      <c r="E296" s="60"/>
      <c r="G296" s="60"/>
      <c r="H296" s="60"/>
    </row>
    <row r="297">
      <c r="C297" s="60"/>
      <c r="D297" s="60"/>
      <c r="E297" s="60"/>
      <c r="G297" s="60"/>
      <c r="H297" s="60"/>
    </row>
    <row r="298">
      <c r="C298" s="60"/>
      <c r="D298" s="60"/>
      <c r="E298" s="60"/>
      <c r="G298" s="60"/>
      <c r="H298" s="60"/>
    </row>
    <row r="299">
      <c r="C299" s="60"/>
      <c r="D299" s="60"/>
      <c r="E299" s="60"/>
      <c r="G299" s="60"/>
      <c r="H299" s="60"/>
    </row>
    <row r="300">
      <c r="C300" s="60"/>
      <c r="D300" s="60"/>
      <c r="E300" s="60"/>
      <c r="G300" s="60"/>
      <c r="H300" s="60"/>
    </row>
    <row r="301">
      <c r="C301" s="60"/>
      <c r="D301" s="60"/>
      <c r="E301" s="60"/>
      <c r="G301" s="60"/>
      <c r="H301" s="60"/>
    </row>
    <row r="302">
      <c r="C302" s="60"/>
      <c r="D302" s="60"/>
      <c r="E302" s="60"/>
      <c r="G302" s="60"/>
      <c r="H302" s="60"/>
    </row>
    <row r="303">
      <c r="C303" s="60"/>
      <c r="D303" s="60"/>
      <c r="E303" s="60"/>
      <c r="G303" s="60"/>
      <c r="H303" s="60"/>
    </row>
    <row r="304">
      <c r="C304" s="60"/>
      <c r="D304" s="60"/>
      <c r="E304" s="60"/>
      <c r="G304" s="60"/>
      <c r="H304" s="60"/>
    </row>
    <row r="305">
      <c r="C305" s="60"/>
      <c r="D305" s="60"/>
      <c r="E305" s="60"/>
      <c r="G305" s="60"/>
      <c r="H305" s="60"/>
    </row>
    <row r="306">
      <c r="C306" s="60"/>
      <c r="D306" s="60"/>
      <c r="E306" s="60"/>
      <c r="G306" s="60"/>
      <c r="H306" s="60"/>
    </row>
    <row r="307">
      <c r="C307" s="60"/>
      <c r="D307" s="60"/>
      <c r="E307" s="60"/>
      <c r="G307" s="60"/>
      <c r="H307" s="60"/>
    </row>
    <row r="308">
      <c r="C308" s="60"/>
      <c r="D308" s="60"/>
      <c r="E308" s="60"/>
      <c r="G308" s="60"/>
      <c r="H308" s="60"/>
    </row>
    <row r="309">
      <c r="C309" s="60"/>
      <c r="D309" s="60"/>
      <c r="E309" s="60"/>
      <c r="G309" s="60"/>
      <c r="H309" s="60"/>
    </row>
    <row r="310">
      <c r="C310" s="60"/>
      <c r="D310" s="60"/>
      <c r="E310" s="60"/>
      <c r="G310" s="60"/>
      <c r="H310" s="60"/>
    </row>
    <row r="311">
      <c r="C311" s="60"/>
      <c r="D311" s="60"/>
      <c r="E311" s="60"/>
      <c r="G311" s="60"/>
      <c r="H311" s="60"/>
    </row>
    <row r="312">
      <c r="C312" s="60"/>
      <c r="D312" s="60"/>
      <c r="E312" s="60"/>
      <c r="G312" s="60"/>
      <c r="H312" s="60"/>
    </row>
    <row r="313">
      <c r="C313" s="60"/>
      <c r="D313" s="60"/>
      <c r="E313" s="60"/>
      <c r="G313" s="60"/>
      <c r="H313" s="60"/>
    </row>
    <row r="314">
      <c r="C314" s="60"/>
      <c r="D314" s="60"/>
      <c r="E314" s="60"/>
      <c r="G314" s="60"/>
      <c r="H314" s="60"/>
    </row>
    <row r="315">
      <c r="C315" s="60"/>
      <c r="D315" s="60"/>
      <c r="E315" s="60"/>
      <c r="G315" s="60"/>
      <c r="H315" s="60"/>
    </row>
    <row r="316">
      <c r="C316" s="60"/>
      <c r="D316" s="60"/>
      <c r="E316" s="60"/>
      <c r="G316" s="60"/>
      <c r="H316" s="60"/>
    </row>
    <row r="317">
      <c r="C317" s="60"/>
      <c r="D317" s="60"/>
      <c r="E317" s="60"/>
      <c r="G317" s="60"/>
      <c r="H317" s="60"/>
    </row>
    <row r="318">
      <c r="C318" s="60"/>
      <c r="D318" s="60"/>
      <c r="E318" s="60"/>
      <c r="G318" s="60"/>
      <c r="H318" s="60"/>
    </row>
    <row r="319">
      <c r="C319" s="60"/>
      <c r="D319" s="60"/>
      <c r="E319" s="60"/>
      <c r="G319" s="60"/>
      <c r="H319" s="60"/>
    </row>
    <row r="320">
      <c r="C320" s="60"/>
      <c r="D320" s="60"/>
      <c r="E320" s="60"/>
      <c r="G320" s="60"/>
      <c r="H320" s="60"/>
    </row>
    <row r="321">
      <c r="C321" s="60"/>
      <c r="D321" s="60"/>
      <c r="E321" s="60"/>
      <c r="G321" s="60"/>
      <c r="H321" s="60"/>
    </row>
    <row r="322">
      <c r="C322" s="60"/>
      <c r="D322" s="60"/>
      <c r="E322" s="60"/>
      <c r="G322" s="60"/>
      <c r="H322" s="60"/>
    </row>
    <row r="323">
      <c r="C323" s="60"/>
      <c r="D323" s="60"/>
      <c r="E323" s="60"/>
      <c r="G323" s="60"/>
      <c r="H323" s="60"/>
    </row>
    <row r="324">
      <c r="C324" s="60"/>
      <c r="D324" s="60"/>
      <c r="E324" s="60"/>
      <c r="G324" s="60"/>
      <c r="H324" s="60"/>
    </row>
    <row r="325">
      <c r="C325" s="60"/>
      <c r="D325" s="60"/>
      <c r="E325" s="60"/>
      <c r="G325" s="60"/>
      <c r="H325" s="60"/>
    </row>
    <row r="326">
      <c r="C326" s="60"/>
      <c r="D326" s="60"/>
      <c r="E326" s="60"/>
      <c r="G326" s="60"/>
      <c r="H326" s="60"/>
    </row>
    <row r="327">
      <c r="C327" s="60"/>
      <c r="D327" s="60"/>
      <c r="E327" s="60"/>
      <c r="G327" s="60"/>
      <c r="H327" s="60"/>
    </row>
    <row r="328">
      <c r="C328" s="60"/>
      <c r="D328" s="60"/>
      <c r="E328" s="60"/>
      <c r="G328" s="60"/>
      <c r="H328" s="60"/>
    </row>
    <row r="329">
      <c r="C329" s="60"/>
      <c r="D329" s="60"/>
      <c r="E329" s="60"/>
      <c r="G329" s="60"/>
      <c r="H329" s="60"/>
    </row>
    <row r="330">
      <c r="C330" s="60"/>
      <c r="D330" s="60"/>
      <c r="E330" s="60"/>
      <c r="G330" s="60"/>
      <c r="H330" s="60"/>
    </row>
    <row r="331">
      <c r="C331" s="60"/>
      <c r="D331" s="60"/>
      <c r="E331" s="60"/>
      <c r="G331" s="60"/>
      <c r="H331" s="60"/>
    </row>
    <row r="332">
      <c r="C332" s="60"/>
      <c r="D332" s="60"/>
      <c r="E332" s="60"/>
      <c r="G332" s="60"/>
      <c r="H332" s="60"/>
    </row>
    <row r="333">
      <c r="C333" s="60"/>
      <c r="D333" s="60"/>
      <c r="E333" s="60"/>
      <c r="G333" s="60"/>
      <c r="H333" s="60"/>
    </row>
    <row r="334">
      <c r="C334" s="60"/>
      <c r="D334" s="60"/>
      <c r="E334" s="60"/>
      <c r="G334" s="60"/>
      <c r="H334" s="60"/>
    </row>
    <row r="335">
      <c r="C335" s="60"/>
      <c r="D335" s="60"/>
      <c r="E335" s="60"/>
      <c r="G335" s="60"/>
      <c r="H335" s="60"/>
    </row>
    <row r="336">
      <c r="C336" s="60"/>
      <c r="D336" s="60"/>
      <c r="E336" s="60"/>
      <c r="G336" s="60"/>
      <c r="H336" s="60"/>
    </row>
    <row r="337">
      <c r="C337" s="60"/>
      <c r="D337" s="60"/>
      <c r="E337" s="60"/>
      <c r="G337" s="60"/>
      <c r="H337" s="60"/>
    </row>
    <row r="338">
      <c r="C338" s="60"/>
      <c r="D338" s="60"/>
      <c r="E338" s="60"/>
      <c r="G338" s="60"/>
      <c r="H338" s="60"/>
    </row>
    <row r="339">
      <c r="C339" s="60"/>
      <c r="D339" s="60"/>
      <c r="E339" s="60"/>
      <c r="G339" s="60"/>
      <c r="H339" s="60"/>
    </row>
    <row r="340">
      <c r="C340" s="60"/>
      <c r="D340" s="60"/>
      <c r="E340" s="60"/>
      <c r="G340" s="60"/>
      <c r="H340" s="60"/>
    </row>
    <row r="341">
      <c r="C341" s="60"/>
      <c r="D341" s="60"/>
      <c r="E341" s="60"/>
      <c r="G341" s="60"/>
      <c r="H341" s="60"/>
    </row>
    <row r="342">
      <c r="C342" s="60"/>
      <c r="D342" s="60"/>
      <c r="E342" s="60"/>
      <c r="G342" s="60"/>
      <c r="H342" s="60"/>
    </row>
    <row r="343">
      <c r="C343" s="60"/>
      <c r="D343" s="60"/>
      <c r="E343" s="60"/>
      <c r="G343" s="60"/>
      <c r="H343" s="60"/>
    </row>
    <row r="344">
      <c r="C344" s="60"/>
      <c r="D344" s="60"/>
      <c r="E344" s="60"/>
      <c r="G344" s="60"/>
      <c r="H344" s="60"/>
    </row>
    <row r="345">
      <c r="C345" s="60"/>
      <c r="D345" s="60"/>
      <c r="E345" s="60"/>
      <c r="G345" s="60"/>
      <c r="H345" s="60"/>
    </row>
    <row r="346">
      <c r="C346" s="60"/>
      <c r="D346" s="60"/>
      <c r="E346" s="60"/>
      <c r="G346" s="60"/>
      <c r="H346" s="60"/>
    </row>
    <row r="347">
      <c r="C347" s="60"/>
      <c r="D347" s="60"/>
      <c r="E347" s="60"/>
      <c r="G347" s="60"/>
      <c r="H347" s="60"/>
    </row>
    <row r="348">
      <c r="C348" s="60"/>
      <c r="D348" s="60"/>
      <c r="E348" s="60"/>
      <c r="G348" s="60"/>
      <c r="H348" s="60"/>
    </row>
    <row r="349">
      <c r="C349" s="60"/>
      <c r="D349" s="60"/>
      <c r="E349" s="60"/>
      <c r="G349" s="60"/>
      <c r="H349" s="60"/>
    </row>
    <row r="350">
      <c r="C350" s="60"/>
      <c r="D350" s="60"/>
      <c r="E350" s="60"/>
      <c r="G350" s="60"/>
      <c r="H350" s="60"/>
    </row>
    <row r="351">
      <c r="C351" s="60"/>
      <c r="D351" s="60"/>
      <c r="E351" s="60"/>
      <c r="G351" s="60"/>
      <c r="H351" s="60"/>
    </row>
    <row r="352">
      <c r="C352" s="60"/>
      <c r="D352" s="60"/>
      <c r="E352" s="60"/>
      <c r="G352" s="60"/>
      <c r="H352" s="60"/>
    </row>
    <row r="353">
      <c r="C353" s="60"/>
      <c r="D353" s="60"/>
      <c r="E353" s="60"/>
      <c r="G353" s="60"/>
      <c r="H353" s="60"/>
    </row>
    <row r="354">
      <c r="C354" s="60"/>
      <c r="D354" s="60"/>
      <c r="E354" s="60"/>
      <c r="G354" s="60"/>
      <c r="H354" s="60"/>
    </row>
    <row r="355">
      <c r="C355" s="60"/>
      <c r="D355" s="60"/>
      <c r="E355" s="60"/>
      <c r="G355" s="60"/>
      <c r="H355" s="60"/>
    </row>
    <row r="356">
      <c r="C356" s="60"/>
      <c r="D356" s="60"/>
      <c r="E356" s="60"/>
      <c r="G356" s="60"/>
      <c r="H356" s="60"/>
    </row>
    <row r="357">
      <c r="C357" s="60"/>
      <c r="D357" s="60"/>
      <c r="E357" s="60"/>
      <c r="G357" s="60"/>
      <c r="H357" s="60"/>
    </row>
    <row r="358">
      <c r="C358" s="60"/>
      <c r="D358" s="60"/>
      <c r="E358" s="60"/>
      <c r="G358" s="60"/>
      <c r="H358" s="60"/>
    </row>
    <row r="359">
      <c r="C359" s="60"/>
      <c r="D359" s="60"/>
      <c r="E359" s="60"/>
      <c r="G359" s="60"/>
      <c r="H359" s="60"/>
    </row>
    <row r="360">
      <c r="C360" s="60"/>
      <c r="D360" s="60"/>
      <c r="E360" s="60"/>
      <c r="G360" s="60"/>
      <c r="H360" s="60"/>
    </row>
    <row r="361">
      <c r="C361" s="60"/>
      <c r="D361" s="60"/>
      <c r="E361" s="60"/>
      <c r="G361" s="60"/>
      <c r="H361" s="60"/>
    </row>
    <row r="362">
      <c r="C362" s="60"/>
      <c r="D362" s="60"/>
      <c r="E362" s="60"/>
      <c r="G362" s="60"/>
      <c r="H362" s="60"/>
    </row>
    <row r="363">
      <c r="C363" s="60"/>
      <c r="D363" s="60"/>
      <c r="E363" s="60"/>
      <c r="G363" s="60"/>
      <c r="H363" s="60"/>
    </row>
    <row r="364">
      <c r="C364" s="60"/>
      <c r="D364" s="60"/>
      <c r="E364" s="60"/>
      <c r="G364" s="60"/>
      <c r="H364" s="60"/>
    </row>
    <row r="365">
      <c r="C365" s="60"/>
      <c r="D365" s="60"/>
      <c r="E365" s="60"/>
      <c r="G365" s="60"/>
      <c r="H365" s="60"/>
    </row>
    <row r="366">
      <c r="C366" s="60"/>
      <c r="D366" s="60"/>
      <c r="E366" s="60"/>
      <c r="G366" s="60"/>
      <c r="H366" s="60"/>
    </row>
    <row r="367">
      <c r="C367" s="60"/>
      <c r="D367" s="60"/>
      <c r="E367" s="60"/>
      <c r="G367" s="60"/>
      <c r="H367" s="60"/>
    </row>
    <row r="368">
      <c r="C368" s="60"/>
      <c r="D368" s="60"/>
      <c r="E368" s="60"/>
      <c r="G368" s="60"/>
      <c r="H368" s="60"/>
    </row>
    <row r="369">
      <c r="C369" s="60"/>
      <c r="D369" s="60"/>
      <c r="E369" s="60"/>
      <c r="G369" s="60"/>
      <c r="H369" s="60"/>
    </row>
    <row r="370">
      <c r="C370" s="60"/>
      <c r="D370" s="60"/>
      <c r="E370" s="60"/>
      <c r="G370" s="60"/>
      <c r="H370" s="60"/>
    </row>
    <row r="371">
      <c r="C371" s="60"/>
      <c r="D371" s="60"/>
      <c r="E371" s="60"/>
      <c r="G371" s="60"/>
      <c r="H371" s="60"/>
    </row>
    <row r="372">
      <c r="C372" s="60"/>
      <c r="D372" s="60"/>
      <c r="E372" s="60"/>
      <c r="G372" s="60"/>
      <c r="H372" s="60"/>
    </row>
    <row r="373">
      <c r="C373" s="60"/>
      <c r="D373" s="60"/>
      <c r="E373" s="60"/>
      <c r="G373" s="60"/>
      <c r="H373" s="60"/>
    </row>
    <row r="374">
      <c r="C374" s="60"/>
      <c r="D374" s="60"/>
      <c r="E374" s="60"/>
      <c r="G374" s="60"/>
      <c r="H374" s="60"/>
    </row>
    <row r="375">
      <c r="C375" s="60"/>
      <c r="D375" s="60"/>
      <c r="E375" s="60"/>
      <c r="G375" s="60"/>
      <c r="H375" s="60"/>
    </row>
    <row r="376">
      <c r="C376" s="60"/>
      <c r="D376" s="60"/>
      <c r="E376" s="60"/>
      <c r="G376" s="60"/>
      <c r="H376" s="60"/>
    </row>
    <row r="377">
      <c r="C377" s="60"/>
      <c r="D377" s="60"/>
      <c r="E377" s="60"/>
      <c r="G377" s="60"/>
      <c r="H377" s="60"/>
    </row>
    <row r="378">
      <c r="C378" s="60"/>
      <c r="D378" s="60"/>
      <c r="E378" s="60"/>
      <c r="G378" s="60"/>
      <c r="H378" s="60"/>
    </row>
    <row r="379">
      <c r="C379" s="60"/>
      <c r="D379" s="60"/>
      <c r="E379" s="60"/>
      <c r="G379" s="60"/>
      <c r="H379" s="60"/>
    </row>
    <row r="380">
      <c r="C380" s="60"/>
      <c r="D380" s="60"/>
      <c r="E380" s="60"/>
      <c r="G380" s="60"/>
      <c r="H380" s="60"/>
    </row>
    <row r="381">
      <c r="C381" s="60"/>
      <c r="D381" s="60"/>
      <c r="E381" s="60"/>
      <c r="G381" s="60"/>
      <c r="H381" s="60"/>
    </row>
    <row r="382">
      <c r="C382" s="60"/>
      <c r="D382" s="60"/>
      <c r="E382" s="60"/>
      <c r="G382" s="60"/>
      <c r="H382" s="60"/>
    </row>
    <row r="383">
      <c r="C383" s="60"/>
      <c r="D383" s="60"/>
      <c r="E383" s="60"/>
      <c r="G383" s="60"/>
      <c r="H383" s="60"/>
    </row>
    <row r="384">
      <c r="C384" s="60"/>
      <c r="D384" s="60"/>
      <c r="E384" s="60"/>
      <c r="G384" s="60"/>
      <c r="H384" s="60"/>
    </row>
    <row r="385">
      <c r="C385" s="60"/>
      <c r="D385" s="60"/>
      <c r="E385" s="60"/>
      <c r="G385" s="60"/>
      <c r="H385" s="60"/>
    </row>
    <row r="386">
      <c r="C386" s="60"/>
      <c r="D386" s="60"/>
      <c r="E386" s="60"/>
      <c r="G386" s="60"/>
      <c r="H386" s="60"/>
    </row>
    <row r="387">
      <c r="C387" s="60"/>
      <c r="D387" s="60"/>
      <c r="E387" s="60"/>
      <c r="G387" s="60"/>
      <c r="H387" s="60"/>
    </row>
    <row r="388">
      <c r="C388" s="60"/>
      <c r="D388" s="60"/>
      <c r="E388" s="60"/>
      <c r="G388" s="60"/>
      <c r="H388" s="60"/>
    </row>
    <row r="389">
      <c r="C389" s="60"/>
      <c r="D389" s="60"/>
      <c r="E389" s="60"/>
      <c r="G389" s="60"/>
      <c r="H389" s="60"/>
    </row>
    <row r="390">
      <c r="C390" s="60"/>
      <c r="D390" s="60"/>
      <c r="E390" s="60"/>
      <c r="G390" s="60"/>
      <c r="H390" s="60"/>
    </row>
    <row r="391">
      <c r="C391" s="60"/>
      <c r="D391" s="60"/>
      <c r="E391" s="60"/>
      <c r="G391" s="60"/>
      <c r="H391" s="60"/>
    </row>
    <row r="392">
      <c r="C392" s="60"/>
      <c r="D392" s="60"/>
      <c r="E392" s="60"/>
      <c r="G392" s="60"/>
      <c r="H392" s="60"/>
    </row>
    <row r="393">
      <c r="C393" s="60"/>
      <c r="D393" s="60"/>
      <c r="E393" s="60"/>
      <c r="G393" s="60"/>
      <c r="H393" s="60"/>
    </row>
    <row r="394">
      <c r="C394" s="60"/>
      <c r="D394" s="60"/>
      <c r="E394" s="60"/>
      <c r="G394" s="60"/>
      <c r="H394" s="60"/>
    </row>
    <row r="395">
      <c r="C395" s="60"/>
      <c r="D395" s="60"/>
      <c r="E395" s="60"/>
      <c r="G395" s="60"/>
      <c r="H395" s="60"/>
    </row>
    <row r="396">
      <c r="C396" s="60"/>
      <c r="D396" s="60"/>
      <c r="E396" s="60"/>
      <c r="G396" s="60"/>
      <c r="H396" s="60"/>
    </row>
    <row r="397">
      <c r="C397" s="60"/>
      <c r="D397" s="60"/>
      <c r="E397" s="60"/>
      <c r="G397" s="60"/>
      <c r="H397" s="60"/>
    </row>
    <row r="398">
      <c r="C398" s="60"/>
      <c r="D398" s="60"/>
      <c r="E398" s="60"/>
      <c r="G398" s="60"/>
      <c r="H398" s="60"/>
    </row>
    <row r="399">
      <c r="C399" s="60"/>
      <c r="D399" s="60"/>
      <c r="E399" s="60"/>
      <c r="G399" s="60"/>
      <c r="H399" s="60"/>
    </row>
    <row r="400">
      <c r="C400" s="60"/>
      <c r="D400" s="60"/>
      <c r="E400" s="60"/>
      <c r="G400" s="60"/>
      <c r="H400" s="60"/>
    </row>
    <row r="401">
      <c r="C401" s="60"/>
      <c r="D401" s="60"/>
      <c r="E401" s="60"/>
      <c r="G401" s="60"/>
      <c r="H401" s="60"/>
    </row>
    <row r="402">
      <c r="C402" s="60"/>
      <c r="D402" s="60"/>
      <c r="E402" s="60"/>
      <c r="G402" s="60"/>
      <c r="H402" s="60"/>
    </row>
    <row r="403">
      <c r="C403" s="60"/>
      <c r="D403" s="60"/>
      <c r="E403" s="60"/>
      <c r="G403" s="60"/>
      <c r="H403" s="60"/>
    </row>
    <row r="404">
      <c r="C404" s="60"/>
      <c r="D404" s="60"/>
      <c r="E404" s="60"/>
      <c r="G404" s="60"/>
      <c r="H404" s="60"/>
    </row>
    <row r="405">
      <c r="C405" s="60"/>
      <c r="D405" s="60"/>
      <c r="E405" s="60"/>
      <c r="G405" s="60"/>
      <c r="H405" s="60"/>
    </row>
    <row r="406">
      <c r="C406" s="60"/>
      <c r="D406" s="60"/>
      <c r="E406" s="60"/>
      <c r="G406" s="60"/>
      <c r="H406" s="60"/>
    </row>
    <row r="407">
      <c r="C407" s="60"/>
      <c r="D407" s="60"/>
      <c r="E407" s="60"/>
      <c r="G407" s="60"/>
      <c r="H407" s="60"/>
    </row>
    <row r="408">
      <c r="C408" s="60"/>
      <c r="D408" s="60"/>
      <c r="E408" s="60"/>
      <c r="G408" s="60"/>
      <c r="H408" s="60"/>
    </row>
    <row r="409">
      <c r="C409" s="60"/>
      <c r="D409" s="60"/>
      <c r="E409" s="60"/>
      <c r="G409" s="60"/>
      <c r="H409" s="60"/>
    </row>
    <row r="410">
      <c r="C410" s="60"/>
      <c r="D410" s="60"/>
      <c r="E410" s="60"/>
      <c r="G410" s="60"/>
      <c r="H410" s="60"/>
    </row>
    <row r="411">
      <c r="C411" s="60"/>
      <c r="D411" s="60"/>
      <c r="E411" s="60"/>
      <c r="G411" s="60"/>
      <c r="H411" s="60"/>
    </row>
    <row r="412">
      <c r="C412" s="60"/>
      <c r="D412" s="60"/>
      <c r="E412" s="60"/>
      <c r="G412" s="60"/>
      <c r="H412" s="60"/>
    </row>
    <row r="413">
      <c r="C413" s="60"/>
      <c r="D413" s="60"/>
      <c r="E413" s="60"/>
      <c r="G413" s="60"/>
      <c r="H413" s="60"/>
    </row>
    <row r="414">
      <c r="C414" s="60"/>
      <c r="D414" s="60"/>
      <c r="E414" s="60"/>
      <c r="G414" s="60"/>
      <c r="H414" s="60"/>
    </row>
    <row r="415">
      <c r="C415" s="60"/>
      <c r="D415" s="60"/>
      <c r="E415" s="60"/>
      <c r="G415" s="60"/>
      <c r="H415" s="60"/>
    </row>
    <row r="416">
      <c r="C416" s="60"/>
      <c r="D416" s="60"/>
      <c r="E416" s="60"/>
      <c r="G416" s="60"/>
      <c r="H416" s="60"/>
    </row>
    <row r="417">
      <c r="C417" s="60"/>
      <c r="D417" s="60"/>
      <c r="E417" s="60"/>
      <c r="G417" s="60"/>
      <c r="H417" s="60"/>
    </row>
    <row r="418">
      <c r="C418" s="60"/>
      <c r="D418" s="60"/>
      <c r="E418" s="60"/>
      <c r="G418" s="60"/>
      <c r="H418" s="60"/>
    </row>
    <row r="419">
      <c r="C419" s="60"/>
      <c r="D419" s="60"/>
      <c r="E419" s="60"/>
      <c r="G419" s="60"/>
      <c r="H419" s="60"/>
    </row>
    <row r="420">
      <c r="C420" s="60"/>
      <c r="D420" s="60"/>
      <c r="E420" s="60"/>
      <c r="G420" s="60"/>
      <c r="H420" s="60"/>
    </row>
    <row r="421">
      <c r="C421" s="60"/>
      <c r="D421" s="60"/>
      <c r="E421" s="60"/>
      <c r="G421" s="60"/>
      <c r="H421" s="60"/>
    </row>
    <row r="422">
      <c r="C422" s="60"/>
      <c r="D422" s="60"/>
      <c r="E422" s="60"/>
      <c r="G422" s="60"/>
      <c r="H422" s="60"/>
    </row>
    <row r="423">
      <c r="C423" s="60"/>
      <c r="D423" s="60"/>
      <c r="E423" s="60"/>
      <c r="G423" s="60"/>
      <c r="H423" s="60"/>
    </row>
    <row r="424">
      <c r="C424" s="60"/>
      <c r="D424" s="60"/>
      <c r="E424" s="60"/>
      <c r="G424" s="60"/>
      <c r="H424" s="60"/>
    </row>
    <row r="425">
      <c r="C425" s="60"/>
      <c r="D425" s="60"/>
      <c r="E425" s="60"/>
      <c r="G425" s="60"/>
      <c r="H425" s="60"/>
    </row>
    <row r="426">
      <c r="C426" s="60"/>
      <c r="D426" s="60"/>
      <c r="E426" s="60"/>
      <c r="G426" s="60"/>
      <c r="H426" s="60"/>
    </row>
    <row r="427">
      <c r="C427" s="60"/>
      <c r="D427" s="60"/>
      <c r="E427" s="60"/>
      <c r="G427" s="60"/>
      <c r="H427" s="60"/>
    </row>
    <row r="428">
      <c r="C428" s="60"/>
      <c r="D428" s="60"/>
      <c r="E428" s="60"/>
      <c r="G428" s="60"/>
      <c r="H428" s="60"/>
    </row>
    <row r="429">
      <c r="C429" s="60"/>
      <c r="D429" s="60"/>
      <c r="E429" s="60"/>
      <c r="G429" s="60"/>
      <c r="H429" s="60"/>
    </row>
    <row r="430">
      <c r="C430" s="60"/>
      <c r="D430" s="60"/>
      <c r="E430" s="60"/>
      <c r="G430" s="60"/>
      <c r="H430" s="60"/>
    </row>
    <row r="431">
      <c r="C431" s="60"/>
      <c r="D431" s="60"/>
      <c r="E431" s="60"/>
      <c r="G431" s="60"/>
      <c r="H431" s="60"/>
    </row>
    <row r="432">
      <c r="C432" s="60"/>
      <c r="D432" s="60"/>
      <c r="E432" s="60"/>
      <c r="G432" s="60"/>
      <c r="H432" s="60"/>
    </row>
    <row r="433">
      <c r="C433" s="60"/>
      <c r="D433" s="60"/>
      <c r="E433" s="60"/>
      <c r="G433" s="60"/>
      <c r="H433" s="60"/>
    </row>
    <row r="434">
      <c r="C434" s="60"/>
      <c r="D434" s="60"/>
      <c r="E434" s="60"/>
      <c r="G434" s="60"/>
      <c r="H434" s="60"/>
    </row>
    <row r="435">
      <c r="C435" s="60"/>
      <c r="D435" s="60"/>
      <c r="E435" s="60"/>
      <c r="G435" s="60"/>
      <c r="H435" s="60"/>
    </row>
    <row r="436">
      <c r="C436" s="60"/>
      <c r="D436" s="60"/>
      <c r="E436" s="60"/>
      <c r="G436" s="60"/>
      <c r="H436" s="60"/>
    </row>
    <row r="437">
      <c r="C437" s="60"/>
      <c r="D437" s="60"/>
      <c r="E437" s="60"/>
      <c r="G437" s="60"/>
      <c r="H437" s="60"/>
    </row>
    <row r="438">
      <c r="C438" s="60"/>
      <c r="D438" s="60"/>
      <c r="E438" s="60"/>
      <c r="G438" s="60"/>
      <c r="H438" s="60"/>
    </row>
    <row r="439">
      <c r="C439" s="60"/>
      <c r="D439" s="60"/>
      <c r="E439" s="60"/>
      <c r="G439" s="60"/>
      <c r="H439" s="60"/>
    </row>
    <row r="440">
      <c r="C440" s="60"/>
      <c r="D440" s="60"/>
      <c r="E440" s="60"/>
      <c r="G440" s="60"/>
      <c r="H440" s="60"/>
    </row>
    <row r="441">
      <c r="C441" s="60"/>
      <c r="D441" s="60"/>
      <c r="E441" s="60"/>
      <c r="G441" s="60"/>
      <c r="H441" s="60"/>
    </row>
    <row r="442">
      <c r="C442" s="60"/>
      <c r="D442" s="60"/>
      <c r="E442" s="60"/>
      <c r="G442" s="60"/>
      <c r="H442" s="60"/>
    </row>
    <row r="443">
      <c r="C443" s="60"/>
      <c r="D443" s="60"/>
      <c r="E443" s="60"/>
      <c r="G443" s="60"/>
      <c r="H443" s="60"/>
    </row>
    <row r="444">
      <c r="C444" s="60"/>
      <c r="D444" s="60"/>
      <c r="E444" s="60"/>
      <c r="G444" s="60"/>
      <c r="H444" s="60"/>
    </row>
    <row r="445">
      <c r="C445" s="60"/>
      <c r="D445" s="60"/>
      <c r="E445" s="60"/>
      <c r="G445" s="60"/>
      <c r="H445" s="60"/>
    </row>
    <row r="446">
      <c r="C446" s="60"/>
      <c r="D446" s="60"/>
      <c r="E446" s="60"/>
      <c r="G446" s="60"/>
      <c r="H446" s="60"/>
    </row>
    <row r="447">
      <c r="C447" s="60"/>
      <c r="D447" s="60"/>
      <c r="E447" s="60"/>
      <c r="G447" s="60"/>
      <c r="H447" s="60"/>
    </row>
    <row r="448">
      <c r="C448" s="60"/>
      <c r="D448" s="60"/>
      <c r="E448" s="60"/>
      <c r="G448" s="60"/>
      <c r="H448" s="60"/>
    </row>
    <row r="449">
      <c r="C449" s="60"/>
      <c r="D449" s="60"/>
      <c r="E449" s="60"/>
      <c r="G449" s="60"/>
      <c r="H449" s="60"/>
    </row>
    <row r="450">
      <c r="C450" s="60"/>
      <c r="D450" s="60"/>
      <c r="E450" s="60"/>
      <c r="G450" s="60"/>
      <c r="H450" s="60"/>
    </row>
    <row r="451">
      <c r="C451" s="60"/>
      <c r="D451" s="60"/>
      <c r="E451" s="60"/>
      <c r="G451" s="60"/>
      <c r="H451" s="60"/>
    </row>
    <row r="452">
      <c r="C452" s="60"/>
      <c r="D452" s="60"/>
      <c r="E452" s="60"/>
      <c r="G452" s="60"/>
      <c r="H452" s="60"/>
    </row>
    <row r="453">
      <c r="C453" s="60"/>
      <c r="D453" s="60"/>
      <c r="E453" s="60"/>
      <c r="G453" s="60"/>
      <c r="H453" s="60"/>
    </row>
    <row r="454">
      <c r="C454" s="60"/>
      <c r="D454" s="60"/>
      <c r="E454" s="60"/>
      <c r="G454" s="60"/>
      <c r="H454" s="60"/>
    </row>
    <row r="455">
      <c r="C455" s="60"/>
      <c r="D455" s="60"/>
      <c r="E455" s="60"/>
      <c r="G455" s="60"/>
      <c r="H455" s="60"/>
    </row>
    <row r="456">
      <c r="C456" s="60"/>
      <c r="D456" s="60"/>
      <c r="E456" s="60"/>
      <c r="G456" s="60"/>
      <c r="H456" s="60"/>
    </row>
    <row r="457">
      <c r="C457" s="60"/>
      <c r="D457" s="60"/>
      <c r="E457" s="60"/>
      <c r="G457" s="60"/>
      <c r="H457" s="60"/>
    </row>
    <row r="458">
      <c r="C458" s="60"/>
      <c r="D458" s="60"/>
      <c r="E458" s="60"/>
      <c r="G458" s="60"/>
      <c r="H458" s="60"/>
    </row>
    <row r="459">
      <c r="C459" s="60"/>
      <c r="D459" s="60"/>
      <c r="E459" s="60"/>
      <c r="G459" s="60"/>
      <c r="H459" s="60"/>
    </row>
    <row r="460">
      <c r="C460" s="60"/>
      <c r="D460" s="60"/>
      <c r="E460" s="60"/>
      <c r="G460" s="60"/>
      <c r="H460" s="60"/>
    </row>
    <row r="461">
      <c r="C461" s="60"/>
      <c r="D461" s="60"/>
      <c r="E461" s="60"/>
      <c r="G461" s="60"/>
      <c r="H461" s="60"/>
    </row>
    <row r="462">
      <c r="C462" s="60"/>
      <c r="D462" s="60"/>
      <c r="E462" s="60"/>
      <c r="G462" s="60"/>
      <c r="H462" s="60"/>
    </row>
    <row r="463">
      <c r="C463" s="60"/>
      <c r="D463" s="60"/>
      <c r="E463" s="60"/>
      <c r="G463" s="60"/>
      <c r="H463" s="60"/>
    </row>
    <row r="464">
      <c r="C464" s="60"/>
      <c r="D464" s="60"/>
      <c r="E464" s="60"/>
      <c r="G464" s="60"/>
      <c r="H464" s="60"/>
    </row>
    <row r="465">
      <c r="C465" s="60"/>
      <c r="D465" s="60"/>
      <c r="E465" s="60"/>
      <c r="G465" s="60"/>
      <c r="H465" s="60"/>
    </row>
    <row r="466">
      <c r="C466" s="60"/>
      <c r="D466" s="60"/>
      <c r="E466" s="60"/>
      <c r="G466" s="60"/>
      <c r="H466" s="60"/>
    </row>
    <row r="467">
      <c r="C467" s="60"/>
      <c r="D467" s="60"/>
      <c r="E467" s="60"/>
      <c r="G467" s="60"/>
      <c r="H467" s="60"/>
    </row>
    <row r="468">
      <c r="C468" s="60"/>
      <c r="D468" s="60"/>
      <c r="E468" s="60"/>
      <c r="G468" s="60"/>
      <c r="H468" s="60"/>
    </row>
    <row r="469">
      <c r="C469" s="60"/>
      <c r="D469" s="60"/>
      <c r="E469" s="60"/>
      <c r="G469" s="60"/>
      <c r="H469" s="60"/>
    </row>
    <row r="470">
      <c r="C470" s="60"/>
      <c r="D470" s="60"/>
      <c r="E470" s="60"/>
      <c r="G470" s="60"/>
      <c r="H470" s="60"/>
    </row>
    <row r="471">
      <c r="C471" s="60"/>
      <c r="D471" s="60"/>
      <c r="E471" s="60"/>
      <c r="G471" s="60"/>
      <c r="H471" s="60"/>
    </row>
    <row r="472">
      <c r="C472" s="60"/>
      <c r="D472" s="60"/>
      <c r="E472" s="60"/>
      <c r="G472" s="60"/>
      <c r="H472" s="60"/>
    </row>
    <row r="473">
      <c r="C473" s="60"/>
      <c r="D473" s="60"/>
      <c r="E473" s="60"/>
      <c r="G473" s="60"/>
      <c r="H473" s="60"/>
    </row>
    <row r="474">
      <c r="C474" s="60"/>
      <c r="D474" s="60"/>
      <c r="E474" s="60"/>
      <c r="G474" s="60"/>
      <c r="H474" s="60"/>
    </row>
    <row r="475">
      <c r="C475" s="60"/>
      <c r="D475" s="60"/>
      <c r="E475" s="60"/>
      <c r="G475" s="60"/>
      <c r="H475" s="60"/>
    </row>
    <row r="476">
      <c r="C476" s="60"/>
      <c r="D476" s="60"/>
      <c r="E476" s="60"/>
      <c r="G476" s="60"/>
      <c r="H476" s="60"/>
    </row>
    <row r="477">
      <c r="C477" s="60"/>
      <c r="D477" s="60"/>
      <c r="E477" s="60"/>
      <c r="G477" s="60"/>
      <c r="H477" s="60"/>
    </row>
    <row r="478">
      <c r="C478" s="60"/>
      <c r="D478" s="60"/>
      <c r="E478" s="60"/>
      <c r="G478" s="60"/>
      <c r="H478" s="60"/>
    </row>
    <row r="479">
      <c r="C479" s="60"/>
      <c r="D479" s="60"/>
      <c r="E479" s="60"/>
      <c r="G479" s="60"/>
      <c r="H479" s="60"/>
    </row>
    <row r="480">
      <c r="C480" s="60"/>
      <c r="D480" s="60"/>
      <c r="E480" s="60"/>
      <c r="G480" s="60"/>
      <c r="H480" s="60"/>
    </row>
    <row r="481">
      <c r="C481" s="60"/>
      <c r="D481" s="60"/>
      <c r="E481" s="60"/>
      <c r="G481" s="60"/>
      <c r="H481" s="60"/>
    </row>
    <row r="482">
      <c r="C482" s="60"/>
      <c r="D482" s="60"/>
      <c r="E482" s="60"/>
      <c r="G482" s="60"/>
      <c r="H482" s="60"/>
    </row>
    <row r="483">
      <c r="C483" s="60"/>
      <c r="D483" s="60"/>
      <c r="E483" s="60"/>
      <c r="G483" s="60"/>
      <c r="H483" s="60"/>
    </row>
    <row r="484">
      <c r="C484" s="60"/>
      <c r="D484" s="60"/>
      <c r="E484" s="60"/>
      <c r="G484" s="60"/>
      <c r="H484" s="60"/>
    </row>
    <row r="485">
      <c r="C485" s="60"/>
      <c r="D485" s="60"/>
      <c r="E485" s="60"/>
      <c r="G485" s="60"/>
      <c r="H485" s="60"/>
    </row>
    <row r="486">
      <c r="C486" s="60"/>
      <c r="D486" s="60"/>
      <c r="E486" s="60"/>
      <c r="G486" s="60"/>
      <c r="H486" s="60"/>
    </row>
    <row r="487">
      <c r="C487" s="60"/>
      <c r="D487" s="60"/>
      <c r="E487" s="60"/>
      <c r="G487" s="60"/>
      <c r="H487" s="60"/>
    </row>
    <row r="488">
      <c r="C488" s="60"/>
      <c r="D488" s="60"/>
      <c r="E488" s="60"/>
      <c r="G488" s="60"/>
      <c r="H488" s="60"/>
    </row>
    <row r="489">
      <c r="C489" s="60"/>
      <c r="D489" s="60"/>
      <c r="E489" s="60"/>
      <c r="G489" s="60"/>
      <c r="H489" s="60"/>
    </row>
    <row r="490">
      <c r="C490" s="60"/>
      <c r="D490" s="60"/>
      <c r="E490" s="60"/>
      <c r="G490" s="60"/>
      <c r="H490" s="60"/>
    </row>
    <row r="491">
      <c r="C491" s="60"/>
      <c r="D491" s="60"/>
      <c r="E491" s="60"/>
      <c r="G491" s="60"/>
      <c r="H491" s="60"/>
    </row>
    <row r="492">
      <c r="C492" s="60"/>
      <c r="D492" s="60"/>
      <c r="E492" s="60"/>
      <c r="G492" s="60"/>
      <c r="H492" s="60"/>
    </row>
    <row r="493">
      <c r="C493" s="60"/>
      <c r="D493" s="60"/>
      <c r="E493" s="60"/>
      <c r="G493" s="60"/>
      <c r="H493" s="60"/>
    </row>
    <row r="494">
      <c r="C494" s="60"/>
      <c r="D494" s="60"/>
      <c r="E494" s="60"/>
      <c r="G494" s="60"/>
      <c r="H494" s="60"/>
    </row>
    <row r="495">
      <c r="C495" s="60"/>
      <c r="D495" s="60"/>
      <c r="E495" s="60"/>
      <c r="G495" s="60"/>
      <c r="H495" s="60"/>
    </row>
    <row r="496">
      <c r="C496" s="60"/>
      <c r="D496" s="60"/>
      <c r="E496" s="60"/>
      <c r="G496" s="60"/>
      <c r="H496" s="60"/>
    </row>
    <row r="497">
      <c r="C497" s="60"/>
      <c r="D497" s="60"/>
      <c r="E497" s="60"/>
      <c r="G497" s="60"/>
      <c r="H497" s="60"/>
    </row>
    <row r="498">
      <c r="C498" s="60"/>
      <c r="D498" s="60"/>
      <c r="E498" s="60"/>
      <c r="G498" s="60"/>
      <c r="H498" s="60"/>
    </row>
    <row r="499">
      <c r="C499" s="60"/>
      <c r="D499" s="60"/>
      <c r="E499" s="60"/>
      <c r="G499" s="60"/>
      <c r="H499" s="60"/>
    </row>
    <row r="500">
      <c r="C500" s="60"/>
      <c r="D500" s="60"/>
      <c r="E500" s="60"/>
      <c r="G500" s="60"/>
      <c r="H500" s="60"/>
    </row>
    <row r="501">
      <c r="C501" s="60"/>
      <c r="D501" s="60"/>
      <c r="E501" s="60"/>
      <c r="G501" s="60"/>
      <c r="H501" s="60"/>
    </row>
    <row r="502">
      <c r="C502" s="60"/>
      <c r="D502" s="60"/>
      <c r="E502" s="60"/>
      <c r="G502" s="60"/>
      <c r="H502" s="60"/>
    </row>
    <row r="503">
      <c r="C503" s="60"/>
      <c r="D503" s="60"/>
      <c r="E503" s="60"/>
      <c r="G503" s="60"/>
      <c r="H503" s="60"/>
    </row>
    <row r="504">
      <c r="C504" s="60"/>
      <c r="D504" s="60"/>
      <c r="E504" s="60"/>
      <c r="G504" s="60"/>
      <c r="H504" s="60"/>
    </row>
    <row r="505">
      <c r="C505" s="60"/>
      <c r="D505" s="60"/>
      <c r="E505" s="60"/>
      <c r="G505" s="60"/>
      <c r="H505" s="60"/>
    </row>
    <row r="506">
      <c r="C506" s="60"/>
      <c r="D506" s="60"/>
      <c r="E506" s="60"/>
      <c r="G506" s="60"/>
      <c r="H506" s="60"/>
    </row>
    <row r="507">
      <c r="C507" s="60"/>
      <c r="D507" s="60"/>
      <c r="E507" s="60"/>
      <c r="G507" s="60"/>
      <c r="H507" s="60"/>
    </row>
    <row r="508">
      <c r="C508" s="60"/>
      <c r="D508" s="60"/>
      <c r="E508" s="60"/>
      <c r="G508" s="60"/>
      <c r="H508" s="60"/>
    </row>
    <row r="509">
      <c r="C509" s="60"/>
      <c r="D509" s="60"/>
      <c r="E509" s="60"/>
      <c r="G509" s="60"/>
      <c r="H509" s="60"/>
    </row>
    <row r="510">
      <c r="C510" s="60"/>
      <c r="D510" s="60"/>
      <c r="E510" s="60"/>
      <c r="G510" s="60"/>
      <c r="H510" s="60"/>
    </row>
    <row r="511">
      <c r="C511" s="60"/>
      <c r="D511" s="60"/>
      <c r="E511" s="60"/>
      <c r="G511" s="60"/>
      <c r="H511" s="60"/>
    </row>
    <row r="512">
      <c r="C512" s="60"/>
      <c r="D512" s="60"/>
      <c r="E512" s="60"/>
      <c r="G512" s="60"/>
      <c r="H512" s="60"/>
    </row>
    <row r="513">
      <c r="C513" s="60"/>
      <c r="D513" s="60"/>
      <c r="E513" s="60"/>
      <c r="G513" s="60"/>
      <c r="H513" s="60"/>
    </row>
    <row r="514">
      <c r="C514" s="60"/>
      <c r="D514" s="60"/>
      <c r="E514" s="60"/>
      <c r="G514" s="60"/>
      <c r="H514" s="60"/>
    </row>
    <row r="515">
      <c r="C515" s="60"/>
      <c r="D515" s="60"/>
      <c r="E515" s="60"/>
      <c r="G515" s="60"/>
      <c r="H515" s="60"/>
    </row>
    <row r="516">
      <c r="C516" s="60"/>
      <c r="D516" s="60"/>
      <c r="E516" s="60"/>
      <c r="G516" s="60"/>
      <c r="H516" s="60"/>
    </row>
    <row r="517">
      <c r="C517" s="60"/>
      <c r="D517" s="60"/>
      <c r="E517" s="60"/>
      <c r="G517" s="60"/>
      <c r="H517" s="60"/>
    </row>
    <row r="518">
      <c r="C518" s="60"/>
      <c r="D518" s="60"/>
      <c r="E518" s="60"/>
      <c r="G518" s="60"/>
      <c r="H518" s="60"/>
    </row>
    <row r="519">
      <c r="C519" s="60"/>
      <c r="D519" s="60"/>
      <c r="E519" s="60"/>
      <c r="G519" s="60"/>
      <c r="H519" s="60"/>
    </row>
    <row r="520">
      <c r="C520" s="60"/>
      <c r="D520" s="60"/>
      <c r="E520" s="60"/>
      <c r="G520" s="60"/>
      <c r="H520" s="60"/>
    </row>
    <row r="521">
      <c r="C521" s="60"/>
      <c r="D521" s="60"/>
      <c r="E521" s="60"/>
      <c r="G521" s="60"/>
      <c r="H521" s="60"/>
    </row>
    <row r="522">
      <c r="C522" s="60"/>
      <c r="D522" s="60"/>
      <c r="E522" s="60"/>
      <c r="G522" s="60"/>
      <c r="H522" s="60"/>
    </row>
    <row r="523">
      <c r="C523" s="60"/>
      <c r="D523" s="60"/>
      <c r="E523" s="60"/>
      <c r="G523" s="60"/>
      <c r="H523" s="60"/>
    </row>
    <row r="524">
      <c r="C524" s="60"/>
      <c r="D524" s="60"/>
      <c r="E524" s="60"/>
      <c r="G524" s="60"/>
      <c r="H524" s="60"/>
    </row>
    <row r="525">
      <c r="C525" s="60"/>
      <c r="D525" s="60"/>
      <c r="E525" s="60"/>
      <c r="G525" s="60"/>
      <c r="H525" s="60"/>
    </row>
    <row r="526">
      <c r="C526" s="60"/>
      <c r="D526" s="60"/>
      <c r="E526" s="60"/>
      <c r="G526" s="60"/>
      <c r="H526" s="60"/>
    </row>
    <row r="527">
      <c r="C527" s="60"/>
      <c r="D527" s="60"/>
      <c r="E527" s="60"/>
      <c r="G527" s="60"/>
      <c r="H527" s="60"/>
    </row>
    <row r="528">
      <c r="C528" s="60"/>
      <c r="D528" s="60"/>
      <c r="E528" s="60"/>
      <c r="G528" s="60"/>
      <c r="H528" s="60"/>
    </row>
    <row r="529">
      <c r="C529" s="60"/>
      <c r="D529" s="60"/>
      <c r="E529" s="60"/>
      <c r="G529" s="60"/>
      <c r="H529" s="60"/>
    </row>
    <row r="530">
      <c r="C530" s="60"/>
      <c r="D530" s="60"/>
      <c r="E530" s="60"/>
      <c r="G530" s="60"/>
      <c r="H530" s="60"/>
    </row>
    <row r="531">
      <c r="C531" s="60"/>
      <c r="D531" s="60"/>
      <c r="E531" s="60"/>
      <c r="G531" s="60"/>
      <c r="H531" s="60"/>
    </row>
    <row r="532">
      <c r="C532" s="60"/>
      <c r="D532" s="60"/>
      <c r="E532" s="60"/>
      <c r="G532" s="60"/>
      <c r="H532" s="60"/>
    </row>
    <row r="533">
      <c r="C533" s="60"/>
      <c r="D533" s="60"/>
      <c r="E533" s="60"/>
      <c r="G533" s="60"/>
      <c r="H533" s="60"/>
    </row>
    <row r="534">
      <c r="C534" s="60"/>
      <c r="D534" s="60"/>
      <c r="E534" s="60"/>
      <c r="G534" s="60"/>
      <c r="H534" s="60"/>
    </row>
    <row r="535">
      <c r="C535" s="60"/>
      <c r="D535" s="60"/>
      <c r="E535" s="60"/>
      <c r="G535" s="60"/>
      <c r="H535" s="60"/>
    </row>
    <row r="536">
      <c r="C536" s="60"/>
      <c r="D536" s="60"/>
      <c r="E536" s="60"/>
      <c r="G536" s="60"/>
      <c r="H536" s="60"/>
    </row>
    <row r="537">
      <c r="C537" s="60"/>
      <c r="D537" s="60"/>
      <c r="E537" s="60"/>
      <c r="G537" s="60"/>
      <c r="H537" s="60"/>
    </row>
    <row r="538">
      <c r="C538" s="60"/>
      <c r="D538" s="60"/>
      <c r="E538" s="60"/>
      <c r="G538" s="60"/>
      <c r="H538" s="60"/>
    </row>
    <row r="539">
      <c r="C539" s="60"/>
      <c r="D539" s="60"/>
      <c r="E539" s="60"/>
      <c r="G539" s="60"/>
      <c r="H539" s="60"/>
    </row>
    <row r="540">
      <c r="C540" s="60"/>
      <c r="D540" s="60"/>
      <c r="E540" s="60"/>
      <c r="G540" s="60"/>
      <c r="H540" s="60"/>
    </row>
    <row r="541">
      <c r="C541" s="60"/>
      <c r="D541" s="60"/>
      <c r="E541" s="60"/>
      <c r="G541" s="60"/>
      <c r="H541" s="60"/>
    </row>
    <row r="542">
      <c r="C542" s="60"/>
      <c r="D542" s="60"/>
      <c r="E542" s="60"/>
      <c r="G542" s="60"/>
      <c r="H542" s="60"/>
    </row>
    <row r="543">
      <c r="C543" s="60"/>
      <c r="D543" s="60"/>
      <c r="E543" s="60"/>
      <c r="G543" s="60"/>
      <c r="H543" s="60"/>
    </row>
    <row r="544">
      <c r="C544" s="60"/>
      <c r="D544" s="60"/>
      <c r="E544" s="60"/>
      <c r="G544" s="60"/>
      <c r="H544" s="60"/>
    </row>
    <row r="545">
      <c r="C545" s="60"/>
      <c r="D545" s="60"/>
      <c r="E545" s="60"/>
      <c r="G545" s="60"/>
      <c r="H545" s="60"/>
    </row>
    <row r="546">
      <c r="C546" s="60"/>
      <c r="D546" s="60"/>
      <c r="E546" s="60"/>
      <c r="G546" s="60"/>
      <c r="H546" s="60"/>
    </row>
    <row r="547">
      <c r="C547" s="60"/>
      <c r="D547" s="60"/>
      <c r="E547" s="60"/>
      <c r="G547" s="60"/>
      <c r="H547" s="60"/>
    </row>
    <row r="548">
      <c r="C548" s="60"/>
      <c r="D548" s="60"/>
      <c r="E548" s="60"/>
      <c r="G548" s="60"/>
      <c r="H548" s="60"/>
    </row>
    <row r="549">
      <c r="C549" s="60"/>
      <c r="D549" s="60"/>
      <c r="E549" s="60"/>
      <c r="G549" s="60"/>
      <c r="H549" s="60"/>
    </row>
    <row r="550">
      <c r="C550" s="60"/>
      <c r="D550" s="60"/>
      <c r="E550" s="60"/>
      <c r="G550" s="60"/>
      <c r="H550" s="60"/>
    </row>
    <row r="551">
      <c r="C551" s="60"/>
      <c r="D551" s="60"/>
      <c r="E551" s="60"/>
      <c r="G551" s="60"/>
      <c r="H551" s="60"/>
    </row>
    <row r="552">
      <c r="C552" s="60"/>
      <c r="D552" s="60"/>
      <c r="E552" s="60"/>
      <c r="G552" s="60"/>
      <c r="H552" s="60"/>
    </row>
    <row r="553">
      <c r="C553" s="60"/>
      <c r="D553" s="60"/>
      <c r="E553" s="60"/>
      <c r="G553" s="60"/>
      <c r="H553" s="60"/>
    </row>
    <row r="554">
      <c r="C554" s="60"/>
      <c r="D554" s="60"/>
      <c r="E554" s="60"/>
      <c r="G554" s="60"/>
      <c r="H554" s="60"/>
    </row>
    <row r="555">
      <c r="C555" s="60"/>
      <c r="D555" s="60"/>
      <c r="E555" s="60"/>
      <c r="G555" s="60"/>
      <c r="H555" s="60"/>
    </row>
    <row r="556">
      <c r="C556" s="60"/>
      <c r="D556" s="60"/>
      <c r="E556" s="60"/>
      <c r="G556" s="60"/>
      <c r="H556" s="60"/>
    </row>
    <row r="557">
      <c r="C557" s="60"/>
      <c r="D557" s="60"/>
      <c r="E557" s="60"/>
      <c r="G557" s="60"/>
      <c r="H557" s="60"/>
    </row>
    <row r="558">
      <c r="C558" s="60"/>
      <c r="D558" s="60"/>
      <c r="E558" s="60"/>
      <c r="G558" s="60"/>
      <c r="H558" s="60"/>
    </row>
    <row r="559">
      <c r="C559" s="60"/>
      <c r="D559" s="60"/>
      <c r="E559" s="60"/>
      <c r="G559" s="60"/>
      <c r="H559" s="60"/>
    </row>
    <row r="560">
      <c r="C560" s="60"/>
      <c r="D560" s="60"/>
      <c r="E560" s="60"/>
      <c r="G560" s="60"/>
      <c r="H560" s="60"/>
    </row>
    <row r="561">
      <c r="C561" s="60"/>
      <c r="D561" s="60"/>
      <c r="E561" s="60"/>
      <c r="G561" s="60"/>
      <c r="H561" s="60"/>
    </row>
    <row r="562">
      <c r="C562" s="60"/>
      <c r="D562" s="60"/>
      <c r="E562" s="60"/>
      <c r="G562" s="60"/>
      <c r="H562" s="60"/>
    </row>
    <row r="563">
      <c r="C563" s="60"/>
      <c r="D563" s="60"/>
      <c r="E563" s="60"/>
      <c r="G563" s="60"/>
      <c r="H563" s="60"/>
    </row>
    <row r="564">
      <c r="C564" s="60"/>
      <c r="D564" s="60"/>
      <c r="E564" s="60"/>
      <c r="G564" s="60"/>
      <c r="H564" s="60"/>
    </row>
    <row r="565">
      <c r="C565" s="60"/>
      <c r="D565" s="60"/>
      <c r="E565" s="60"/>
      <c r="G565" s="60"/>
      <c r="H565" s="60"/>
    </row>
    <row r="566">
      <c r="C566" s="60"/>
      <c r="D566" s="60"/>
      <c r="E566" s="60"/>
      <c r="G566" s="60"/>
      <c r="H566" s="60"/>
    </row>
    <row r="567">
      <c r="C567" s="60"/>
      <c r="D567" s="60"/>
      <c r="E567" s="60"/>
      <c r="G567" s="60"/>
      <c r="H567" s="60"/>
    </row>
    <row r="568">
      <c r="C568" s="60"/>
      <c r="D568" s="60"/>
      <c r="E568" s="60"/>
      <c r="G568" s="60"/>
      <c r="H568" s="60"/>
    </row>
    <row r="569">
      <c r="C569" s="60"/>
      <c r="D569" s="60"/>
      <c r="E569" s="60"/>
      <c r="G569" s="60"/>
      <c r="H569" s="60"/>
    </row>
    <row r="570">
      <c r="C570" s="60"/>
      <c r="D570" s="60"/>
      <c r="E570" s="60"/>
      <c r="G570" s="60"/>
      <c r="H570" s="60"/>
    </row>
    <row r="571">
      <c r="C571" s="60"/>
      <c r="D571" s="60"/>
      <c r="E571" s="60"/>
      <c r="G571" s="60"/>
      <c r="H571" s="60"/>
    </row>
    <row r="572">
      <c r="C572" s="60"/>
      <c r="D572" s="60"/>
      <c r="E572" s="60"/>
      <c r="G572" s="60"/>
      <c r="H572" s="60"/>
    </row>
    <row r="573">
      <c r="C573" s="60"/>
      <c r="D573" s="60"/>
      <c r="E573" s="60"/>
      <c r="G573" s="60"/>
      <c r="H573" s="60"/>
    </row>
    <row r="574">
      <c r="C574" s="60"/>
      <c r="D574" s="60"/>
      <c r="E574" s="60"/>
      <c r="G574" s="60"/>
      <c r="H574" s="60"/>
    </row>
    <row r="575">
      <c r="C575" s="60"/>
      <c r="D575" s="60"/>
      <c r="E575" s="60"/>
      <c r="G575" s="60"/>
      <c r="H575" s="60"/>
    </row>
    <row r="576">
      <c r="C576" s="60"/>
      <c r="D576" s="60"/>
      <c r="E576" s="60"/>
      <c r="G576" s="60"/>
      <c r="H576" s="60"/>
    </row>
    <row r="577">
      <c r="C577" s="60"/>
      <c r="D577" s="60"/>
      <c r="E577" s="60"/>
      <c r="G577" s="60"/>
      <c r="H577" s="60"/>
    </row>
    <row r="578">
      <c r="C578" s="60"/>
      <c r="D578" s="60"/>
      <c r="E578" s="60"/>
      <c r="G578" s="60"/>
      <c r="H578" s="60"/>
    </row>
    <row r="579">
      <c r="C579" s="60"/>
      <c r="D579" s="60"/>
      <c r="E579" s="60"/>
      <c r="G579" s="60"/>
      <c r="H579" s="60"/>
    </row>
    <row r="580">
      <c r="C580" s="60"/>
      <c r="D580" s="60"/>
      <c r="E580" s="60"/>
      <c r="G580" s="60"/>
      <c r="H580" s="60"/>
    </row>
    <row r="581">
      <c r="C581" s="60"/>
      <c r="D581" s="60"/>
      <c r="E581" s="60"/>
      <c r="G581" s="60"/>
      <c r="H581" s="60"/>
    </row>
    <row r="582">
      <c r="C582" s="60"/>
      <c r="D582" s="60"/>
      <c r="E582" s="60"/>
      <c r="G582" s="60"/>
      <c r="H582" s="60"/>
    </row>
    <row r="583">
      <c r="C583" s="60"/>
      <c r="D583" s="60"/>
      <c r="E583" s="60"/>
      <c r="G583" s="60"/>
      <c r="H583" s="60"/>
    </row>
    <row r="584">
      <c r="C584" s="60"/>
      <c r="D584" s="60"/>
      <c r="E584" s="60"/>
      <c r="G584" s="60"/>
      <c r="H584" s="60"/>
    </row>
    <row r="585">
      <c r="C585" s="60"/>
      <c r="D585" s="60"/>
      <c r="E585" s="60"/>
      <c r="G585" s="60"/>
      <c r="H585" s="60"/>
    </row>
    <row r="586">
      <c r="C586" s="60"/>
      <c r="D586" s="60"/>
      <c r="E586" s="60"/>
      <c r="G586" s="60"/>
      <c r="H586" s="60"/>
    </row>
    <row r="587">
      <c r="C587" s="60"/>
      <c r="D587" s="60"/>
      <c r="E587" s="60"/>
      <c r="G587" s="60"/>
      <c r="H587" s="60"/>
    </row>
    <row r="588">
      <c r="C588" s="60"/>
      <c r="D588" s="60"/>
      <c r="E588" s="60"/>
      <c r="G588" s="60"/>
      <c r="H588" s="60"/>
    </row>
    <row r="589">
      <c r="C589" s="60"/>
      <c r="D589" s="60"/>
      <c r="E589" s="60"/>
      <c r="G589" s="60"/>
      <c r="H589" s="60"/>
    </row>
    <row r="590">
      <c r="C590" s="60"/>
      <c r="D590" s="60"/>
      <c r="E590" s="60"/>
      <c r="G590" s="60"/>
      <c r="H590" s="60"/>
    </row>
    <row r="591">
      <c r="C591" s="60"/>
      <c r="D591" s="60"/>
      <c r="E591" s="60"/>
      <c r="G591" s="60"/>
      <c r="H591" s="60"/>
    </row>
    <row r="592">
      <c r="C592" s="60"/>
      <c r="D592" s="60"/>
      <c r="E592" s="60"/>
      <c r="G592" s="60"/>
      <c r="H592" s="60"/>
    </row>
    <row r="593">
      <c r="C593" s="60"/>
      <c r="D593" s="60"/>
      <c r="E593" s="60"/>
      <c r="G593" s="60"/>
      <c r="H593" s="60"/>
    </row>
    <row r="594">
      <c r="C594" s="60"/>
      <c r="D594" s="60"/>
      <c r="E594" s="60"/>
      <c r="G594" s="60"/>
      <c r="H594" s="60"/>
    </row>
    <row r="595">
      <c r="C595" s="60"/>
      <c r="D595" s="60"/>
      <c r="E595" s="60"/>
      <c r="G595" s="60"/>
      <c r="H595" s="60"/>
    </row>
    <row r="596">
      <c r="C596" s="60"/>
      <c r="D596" s="60"/>
      <c r="E596" s="60"/>
      <c r="G596" s="60"/>
      <c r="H596" s="60"/>
    </row>
    <row r="597">
      <c r="C597" s="60"/>
      <c r="D597" s="60"/>
      <c r="E597" s="60"/>
      <c r="G597" s="60"/>
      <c r="H597" s="60"/>
    </row>
    <row r="598">
      <c r="C598" s="60"/>
      <c r="D598" s="60"/>
      <c r="E598" s="60"/>
      <c r="G598" s="60"/>
      <c r="H598" s="60"/>
    </row>
    <row r="599">
      <c r="C599" s="60"/>
      <c r="D599" s="60"/>
      <c r="E599" s="60"/>
      <c r="G599" s="60"/>
      <c r="H599" s="60"/>
    </row>
    <row r="600">
      <c r="C600" s="60"/>
      <c r="D600" s="60"/>
      <c r="E600" s="60"/>
      <c r="G600" s="60"/>
      <c r="H600" s="60"/>
    </row>
    <row r="601">
      <c r="C601" s="60"/>
      <c r="D601" s="60"/>
      <c r="E601" s="60"/>
      <c r="G601" s="60"/>
      <c r="H601" s="60"/>
    </row>
    <row r="602">
      <c r="C602" s="60"/>
      <c r="D602" s="60"/>
      <c r="E602" s="60"/>
      <c r="G602" s="60"/>
      <c r="H602" s="60"/>
    </row>
    <row r="603">
      <c r="C603" s="60"/>
      <c r="D603" s="60"/>
      <c r="E603" s="60"/>
      <c r="G603" s="60"/>
      <c r="H603" s="60"/>
    </row>
    <row r="604">
      <c r="C604" s="60"/>
      <c r="D604" s="60"/>
      <c r="E604" s="60"/>
      <c r="G604" s="60"/>
      <c r="H604" s="60"/>
    </row>
    <row r="605">
      <c r="C605" s="60"/>
      <c r="D605" s="60"/>
      <c r="E605" s="60"/>
      <c r="G605" s="60"/>
      <c r="H605" s="60"/>
    </row>
    <row r="606">
      <c r="C606" s="60"/>
      <c r="D606" s="60"/>
      <c r="E606" s="60"/>
      <c r="G606" s="60"/>
      <c r="H606" s="60"/>
    </row>
    <row r="607">
      <c r="C607" s="60"/>
      <c r="D607" s="60"/>
      <c r="E607" s="60"/>
      <c r="G607" s="60"/>
      <c r="H607" s="60"/>
    </row>
    <row r="608">
      <c r="C608" s="60"/>
      <c r="D608" s="60"/>
      <c r="E608" s="60"/>
      <c r="G608" s="60"/>
      <c r="H608" s="60"/>
    </row>
    <row r="609">
      <c r="C609" s="60"/>
      <c r="D609" s="60"/>
      <c r="E609" s="60"/>
      <c r="G609" s="60"/>
      <c r="H609" s="60"/>
    </row>
    <row r="610">
      <c r="C610" s="60"/>
      <c r="D610" s="60"/>
      <c r="E610" s="60"/>
      <c r="G610" s="60"/>
      <c r="H610" s="60"/>
    </row>
    <row r="611">
      <c r="C611" s="60"/>
      <c r="D611" s="60"/>
      <c r="E611" s="60"/>
      <c r="G611" s="60"/>
      <c r="H611" s="60"/>
    </row>
    <row r="612">
      <c r="C612" s="60"/>
      <c r="D612" s="60"/>
      <c r="E612" s="60"/>
      <c r="G612" s="60"/>
      <c r="H612" s="60"/>
    </row>
    <row r="613">
      <c r="C613" s="60"/>
      <c r="D613" s="60"/>
      <c r="E613" s="60"/>
      <c r="G613" s="60"/>
      <c r="H613" s="60"/>
    </row>
    <row r="614">
      <c r="C614" s="60"/>
      <c r="D614" s="60"/>
      <c r="E614" s="60"/>
      <c r="G614" s="60"/>
      <c r="H614" s="60"/>
    </row>
    <row r="615">
      <c r="C615" s="60"/>
      <c r="D615" s="60"/>
      <c r="E615" s="60"/>
      <c r="G615" s="60"/>
      <c r="H615" s="60"/>
    </row>
    <row r="616">
      <c r="C616" s="60"/>
      <c r="D616" s="60"/>
      <c r="E616" s="60"/>
      <c r="G616" s="60"/>
      <c r="H616" s="60"/>
    </row>
    <row r="617">
      <c r="C617" s="60"/>
      <c r="D617" s="60"/>
      <c r="E617" s="60"/>
      <c r="G617" s="60"/>
      <c r="H617" s="60"/>
    </row>
    <row r="618">
      <c r="C618" s="60"/>
      <c r="D618" s="60"/>
      <c r="E618" s="60"/>
      <c r="G618" s="60"/>
      <c r="H618" s="60"/>
    </row>
    <row r="619">
      <c r="C619" s="60"/>
      <c r="D619" s="60"/>
      <c r="E619" s="60"/>
      <c r="G619" s="60"/>
      <c r="H619" s="60"/>
    </row>
    <row r="620">
      <c r="C620" s="60"/>
      <c r="D620" s="60"/>
      <c r="E620" s="60"/>
      <c r="G620" s="60"/>
      <c r="H620" s="60"/>
    </row>
    <row r="621">
      <c r="C621" s="60"/>
      <c r="D621" s="60"/>
      <c r="E621" s="60"/>
      <c r="G621" s="60"/>
      <c r="H621" s="60"/>
    </row>
    <row r="622">
      <c r="C622" s="60"/>
      <c r="D622" s="60"/>
      <c r="E622" s="60"/>
      <c r="G622" s="60"/>
      <c r="H622" s="60"/>
    </row>
    <row r="623">
      <c r="C623" s="60"/>
      <c r="D623" s="60"/>
      <c r="E623" s="60"/>
      <c r="G623" s="60"/>
      <c r="H623" s="60"/>
    </row>
    <row r="624">
      <c r="C624" s="60"/>
      <c r="D624" s="60"/>
      <c r="E624" s="60"/>
      <c r="G624" s="60"/>
      <c r="H624" s="60"/>
    </row>
    <row r="625">
      <c r="C625" s="60"/>
      <c r="D625" s="60"/>
      <c r="E625" s="60"/>
      <c r="G625" s="60"/>
      <c r="H625" s="60"/>
    </row>
    <row r="626">
      <c r="C626" s="60"/>
      <c r="D626" s="60"/>
      <c r="E626" s="60"/>
      <c r="G626" s="60"/>
      <c r="H626" s="60"/>
    </row>
    <row r="627">
      <c r="C627" s="60"/>
      <c r="D627" s="60"/>
      <c r="E627" s="60"/>
      <c r="G627" s="60"/>
      <c r="H627" s="60"/>
    </row>
    <row r="628">
      <c r="C628" s="60"/>
      <c r="D628" s="60"/>
      <c r="E628" s="60"/>
      <c r="G628" s="60"/>
      <c r="H628" s="60"/>
    </row>
    <row r="629">
      <c r="C629" s="60"/>
      <c r="D629" s="60"/>
      <c r="E629" s="60"/>
      <c r="G629" s="60"/>
      <c r="H629" s="60"/>
    </row>
    <row r="630">
      <c r="C630" s="60"/>
      <c r="D630" s="60"/>
      <c r="E630" s="60"/>
      <c r="G630" s="60"/>
      <c r="H630" s="60"/>
    </row>
    <row r="631">
      <c r="C631" s="60"/>
      <c r="D631" s="60"/>
      <c r="E631" s="60"/>
      <c r="G631" s="60"/>
      <c r="H631" s="60"/>
    </row>
    <row r="632">
      <c r="C632" s="60"/>
      <c r="D632" s="60"/>
      <c r="E632" s="60"/>
      <c r="G632" s="60"/>
      <c r="H632" s="60"/>
    </row>
    <row r="633">
      <c r="C633" s="60"/>
      <c r="D633" s="60"/>
      <c r="E633" s="60"/>
      <c r="G633" s="60"/>
      <c r="H633" s="60"/>
    </row>
    <row r="634">
      <c r="C634" s="60"/>
      <c r="D634" s="60"/>
      <c r="E634" s="60"/>
      <c r="G634" s="60"/>
      <c r="H634" s="60"/>
    </row>
    <row r="635">
      <c r="C635" s="60"/>
      <c r="D635" s="60"/>
      <c r="E635" s="60"/>
      <c r="G635" s="60"/>
      <c r="H635" s="60"/>
    </row>
    <row r="636">
      <c r="C636" s="60"/>
      <c r="D636" s="60"/>
      <c r="E636" s="60"/>
      <c r="G636" s="60"/>
      <c r="H636" s="60"/>
    </row>
    <row r="637">
      <c r="C637" s="60"/>
      <c r="D637" s="60"/>
      <c r="E637" s="60"/>
      <c r="G637" s="60"/>
      <c r="H637" s="60"/>
    </row>
    <row r="638">
      <c r="C638" s="60"/>
      <c r="D638" s="60"/>
      <c r="E638" s="60"/>
      <c r="G638" s="60"/>
      <c r="H638" s="60"/>
    </row>
    <row r="639">
      <c r="C639" s="60"/>
      <c r="D639" s="60"/>
      <c r="E639" s="60"/>
      <c r="G639" s="60"/>
      <c r="H639" s="60"/>
    </row>
    <row r="640">
      <c r="C640" s="60"/>
      <c r="D640" s="60"/>
      <c r="E640" s="60"/>
      <c r="G640" s="60"/>
      <c r="H640" s="60"/>
    </row>
    <row r="641">
      <c r="C641" s="60"/>
      <c r="D641" s="60"/>
      <c r="E641" s="60"/>
      <c r="G641" s="60"/>
      <c r="H641" s="60"/>
    </row>
    <row r="642">
      <c r="C642" s="60"/>
      <c r="D642" s="60"/>
      <c r="E642" s="60"/>
      <c r="G642" s="60"/>
      <c r="H642" s="60"/>
    </row>
    <row r="643">
      <c r="C643" s="60"/>
      <c r="D643" s="60"/>
      <c r="E643" s="60"/>
      <c r="G643" s="60"/>
      <c r="H643" s="60"/>
    </row>
    <row r="644">
      <c r="C644" s="60"/>
      <c r="D644" s="60"/>
      <c r="E644" s="60"/>
      <c r="G644" s="60"/>
      <c r="H644" s="60"/>
    </row>
    <row r="645">
      <c r="C645" s="60"/>
      <c r="D645" s="60"/>
      <c r="E645" s="60"/>
      <c r="G645" s="60"/>
      <c r="H645" s="60"/>
    </row>
    <row r="646">
      <c r="C646" s="60"/>
      <c r="D646" s="60"/>
      <c r="E646" s="60"/>
      <c r="G646" s="60"/>
      <c r="H646" s="60"/>
    </row>
    <row r="647">
      <c r="C647" s="60"/>
      <c r="D647" s="60"/>
      <c r="E647" s="60"/>
      <c r="G647" s="60"/>
      <c r="H647" s="60"/>
    </row>
    <row r="648">
      <c r="C648" s="60"/>
      <c r="D648" s="60"/>
      <c r="E648" s="60"/>
      <c r="G648" s="60"/>
      <c r="H648" s="60"/>
    </row>
    <row r="649">
      <c r="C649" s="60"/>
      <c r="D649" s="60"/>
      <c r="E649" s="60"/>
      <c r="G649" s="60"/>
      <c r="H649" s="60"/>
    </row>
    <row r="650">
      <c r="C650" s="60"/>
      <c r="D650" s="60"/>
      <c r="E650" s="60"/>
      <c r="G650" s="60"/>
      <c r="H650" s="60"/>
    </row>
    <row r="651">
      <c r="C651" s="60"/>
      <c r="D651" s="60"/>
      <c r="E651" s="60"/>
      <c r="G651" s="60"/>
      <c r="H651" s="60"/>
    </row>
    <row r="652">
      <c r="C652" s="60"/>
      <c r="D652" s="60"/>
      <c r="E652" s="60"/>
      <c r="G652" s="60"/>
      <c r="H652" s="60"/>
    </row>
    <row r="653">
      <c r="C653" s="60"/>
      <c r="D653" s="60"/>
      <c r="E653" s="60"/>
      <c r="G653" s="60"/>
      <c r="H653" s="60"/>
    </row>
    <row r="654">
      <c r="C654" s="60"/>
      <c r="D654" s="60"/>
      <c r="E654" s="60"/>
      <c r="G654" s="60"/>
      <c r="H654" s="60"/>
    </row>
    <row r="655">
      <c r="C655" s="60"/>
      <c r="D655" s="60"/>
      <c r="E655" s="60"/>
      <c r="G655" s="60"/>
      <c r="H655" s="60"/>
    </row>
    <row r="656">
      <c r="C656" s="60"/>
      <c r="D656" s="60"/>
      <c r="E656" s="60"/>
      <c r="G656" s="60"/>
      <c r="H656" s="60"/>
    </row>
    <row r="657">
      <c r="C657" s="60"/>
      <c r="D657" s="60"/>
      <c r="E657" s="60"/>
      <c r="G657" s="60"/>
      <c r="H657" s="60"/>
    </row>
    <row r="658">
      <c r="C658" s="60"/>
      <c r="D658" s="60"/>
      <c r="E658" s="60"/>
      <c r="G658" s="60"/>
      <c r="H658" s="60"/>
    </row>
    <row r="659">
      <c r="C659" s="60"/>
      <c r="D659" s="60"/>
      <c r="E659" s="60"/>
      <c r="G659" s="60"/>
      <c r="H659" s="60"/>
    </row>
    <row r="660">
      <c r="C660" s="60"/>
      <c r="D660" s="60"/>
      <c r="E660" s="60"/>
      <c r="G660" s="60"/>
      <c r="H660" s="60"/>
    </row>
    <row r="661">
      <c r="C661" s="60"/>
      <c r="D661" s="60"/>
      <c r="E661" s="60"/>
      <c r="G661" s="60"/>
      <c r="H661" s="60"/>
    </row>
    <row r="662">
      <c r="C662" s="60"/>
      <c r="D662" s="60"/>
      <c r="E662" s="60"/>
      <c r="G662" s="60"/>
      <c r="H662" s="60"/>
    </row>
    <row r="663">
      <c r="C663" s="60"/>
      <c r="D663" s="60"/>
      <c r="E663" s="60"/>
      <c r="G663" s="60"/>
      <c r="H663" s="60"/>
    </row>
    <row r="664">
      <c r="C664" s="60"/>
      <c r="D664" s="60"/>
      <c r="E664" s="60"/>
      <c r="G664" s="60"/>
      <c r="H664" s="60"/>
    </row>
    <row r="665">
      <c r="C665" s="60"/>
      <c r="D665" s="60"/>
      <c r="E665" s="60"/>
      <c r="G665" s="60"/>
      <c r="H665" s="60"/>
    </row>
    <row r="666">
      <c r="C666" s="60"/>
      <c r="D666" s="60"/>
      <c r="E666" s="60"/>
      <c r="G666" s="60"/>
      <c r="H666" s="60"/>
    </row>
    <row r="667">
      <c r="C667" s="60"/>
      <c r="D667" s="60"/>
      <c r="E667" s="60"/>
      <c r="G667" s="60"/>
      <c r="H667" s="60"/>
    </row>
    <row r="668">
      <c r="C668" s="60"/>
      <c r="D668" s="60"/>
      <c r="E668" s="60"/>
      <c r="G668" s="60"/>
      <c r="H668" s="60"/>
    </row>
    <row r="669">
      <c r="C669" s="60"/>
      <c r="D669" s="60"/>
      <c r="E669" s="60"/>
      <c r="G669" s="60"/>
      <c r="H669" s="60"/>
    </row>
    <row r="670">
      <c r="C670" s="60"/>
      <c r="D670" s="60"/>
      <c r="E670" s="60"/>
      <c r="G670" s="60"/>
      <c r="H670" s="60"/>
    </row>
    <row r="671">
      <c r="C671" s="60"/>
      <c r="D671" s="60"/>
      <c r="E671" s="60"/>
      <c r="G671" s="60"/>
      <c r="H671" s="60"/>
    </row>
    <row r="672">
      <c r="C672" s="60"/>
      <c r="D672" s="60"/>
      <c r="E672" s="60"/>
      <c r="G672" s="60"/>
      <c r="H672" s="60"/>
    </row>
    <row r="673">
      <c r="C673" s="60"/>
      <c r="D673" s="60"/>
      <c r="E673" s="60"/>
      <c r="G673" s="60"/>
      <c r="H673" s="60"/>
    </row>
    <row r="674">
      <c r="C674" s="60"/>
      <c r="D674" s="60"/>
      <c r="E674" s="60"/>
      <c r="G674" s="60"/>
      <c r="H674" s="60"/>
    </row>
    <row r="675">
      <c r="C675" s="60"/>
      <c r="D675" s="60"/>
      <c r="E675" s="60"/>
      <c r="G675" s="60"/>
      <c r="H675" s="60"/>
    </row>
    <row r="676">
      <c r="C676" s="60"/>
      <c r="D676" s="60"/>
      <c r="E676" s="60"/>
      <c r="G676" s="60"/>
      <c r="H676" s="60"/>
    </row>
    <row r="677">
      <c r="C677" s="60"/>
      <c r="D677" s="60"/>
      <c r="E677" s="60"/>
      <c r="G677" s="60"/>
      <c r="H677" s="60"/>
    </row>
    <row r="678">
      <c r="C678" s="60"/>
      <c r="D678" s="60"/>
      <c r="E678" s="60"/>
      <c r="G678" s="60"/>
      <c r="H678" s="60"/>
    </row>
    <row r="679">
      <c r="C679" s="60"/>
      <c r="D679" s="60"/>
      <c r="E679" s="60"/>
      <c r="G679" s="60"/>
      <c r="H679" s="60"/>
    </row>
    <row r="680">
      <c r="C680" s="60"/>
      <c r="D680" s="60"/>
      <c r="E680" s="60"/>
      <c r="G680" s="60"/>
      <c r="H680" s="60"/>
    </row>
    <row r="681">
      <c r="C681" s="60"/>
      <c r="D681" s="60"/>
      <c r="E681" s="60"/>
      <c r="G681" s="60"/>
      <c r="H681" s="60"/>
    </row>
    <row r="682">
      <c r="C682" s="60"/>
      <c r="D682" s="60"/>
      <c r="E682" s="60"/>
      <c r="G682" s="60"/>
      <c r="H682" s="60"/>
    </row>
    <row r="683">
      <c r="C683" s="60"/>
      <c r="D683" s="60"/>
      <c r="E683" s="60"/>
      <c r="G683" s="60"/>
      <c r="H683" s="60"/>
    </row>
    <row r="684">
      <c r="C684" s="60"/>
      <c r="D684" s="60"/>
      <c r="E684" s="60"/>
      <c r="G684" s="60"/>
      <c r="H684" s="60"/>
    </row>
    <row r="685">
      <c r="C685" s="60"/>
      <c r="D685" s="60"/>
      <c r="E685" s="60"/>
      <c r="G685" s="60"/>
      <c r="H685" s="60"/>
    </row>
    <row r="686">
      <c r="C686" s="60"/>
      <c r="D686" s="60"/>
      <c r="E686" s="60"/>
      <c r="G686" s="60"/>
      <c r="H686" s="60"/>
    </row>
    <row r="687">
      <c r="C687" s="60"/>
      <c r="D687" s="60"/>
      <c r="E687" s="60"/>
      <c r="G687" s="60"/>
      <c r="H687" s="60"/>
    </row>
    <row r="688">
      <c r="C688" s="60"/>
      <c r="D688" s="60"/>
      <c r="E688" s="60"/>
      <c r="G688" s="60"/>
      <c r="H688" s="60"/>
    </row>
    <row r="689">
      <c r="C689" s="60"/>
      <c r="D689" s="60"/>
      <c r="E689" s="60"/>
      <c r="G689" s="60"/>
      <c r="H689" s="60"/>
    </row>
    <row r="690">
      <c r="C690" s="60"/>
      <c r="D690" s="60"/>
      <c r="E690" s="60"/>
      <c r="G690" s="60"/>
      <c r="H690" s="60"/>
    </row>
    <row r="691">
      <c r="C691" s="60"/>
      <c r="D691" s="60"/>
      <c r="E691" s="60"/>
      <c r="G691" s="60"/>
      <c r="H691" s="60"/>
    </row>
    <row r="692">
      <c r="C692" s="60"/>
      <c r="D692" s="60"/>
      <c r="E692" s="60"/>
      <c r="G692" s="60"/>
      <c r="H692" s="60"/>
    </row>
    <row r="693">
      <c r="C693" s="60"/>
      <c r="D693" s="60"/>
      <c r="E693" s="60"/>
      <c r="G693" s="60"/>
      <c r="H693" s="60"/>
    </row>
    <row r="694">
      <c r="C694" s="60"/>
      <c r="D694" s="60"/>
      <c r="E694" s="60"/>
      <c r="G694" s="60"/>
      <c r="H694" s="60"/>
    </row>
    <row r="695">
      <c r="C695" s="60"/>
      <c r="D695" s="60"/>
      <c r="E695" s="60"/>
      <c r="G695" s="60"/>
      <c r="H695" s="60"/>
    </row>
    <row r="696">
      <c r="C696" s="60"/>
      <c r="D696" s="60"/>
      <c r="E696" s="60"/>
      <c r="G696" s="60"/>
      <c r="H696" s="60"/>
    </row>
    <row r="697">
      <c r="C697" s="60"/>
      <c r="D697" s="60"/>
      <c r="E697" s="60"/>
      <c r="G697" s="60"/>
      <c r="H697" s="60"/>
    </row>
    <row r="698">
      <c r="C698" s="60"/>
      <c r="D698" s="60"/>
      <c r="E698" s="60"/>
      <c r="G698" s="60"/>
      <c r="H698" s="60"/>
    </row>
    <row r="699">
      <c r="C699" s="60"/>
      <c r="D699" s="60"/>
      <c r="E699" s="60"/>
      <c r="G699" s="60"/>
      <c r="H699" s="60"/>
    </row>
    <row r="700">
      <c r="C700" s="60"/>
      <c r="D700" s="60"/>
      <c r="E700" s="60"/>
      <c r="G700" s="60"/>
      <c r="H700" s="60"/>
    </row>
    <row r="701">
      <c r="C701" s="60"/>
      <c r="D701" s="60"/>
      <c r="E701" s="60"/>
      <c r="G701" s="60"/>
      <c r="H701" s="60"/>
    </row>
    <row r="702">
      <c r="C702" s="60"/>
      <c r="D702" s="60"/>
      <c r="E702" s="60"/>
      <c r="G702" s="60"/>
      <c r="H702" s="60"/>
    </row>
    <row r="703">
      <c r="C703" s="60"/>
      <c r="D703" s="60"/>
      <c r="E703" s="60"/>
      <c r="G703" s="60"/>
      <c r="H703" s="60"/>
    </row>
    <row r="704">
      <c r="C704" s="60"/>
      <c r="D704" s="60"/>
      <c r="E704" s="60"/>
      <c r="G704" s="60"/>
      <c r="H704" s="60"/>
    </row>
    <row r="705">
      <c r="C705" s="60"/>
      <c r="D705" s="60"/>
      <c r="E705" s="60"/>
      <c r="G705" s="60"/>
      <c r="H705" s="60"/>
    </row>
    <row r="706">
      <c r="C706" s="60"/>
      <c r="D706" s="60"/>
      <c r="E706" s="60"/>
      <c r="G706" s="60"/>
      <c r="H706" s="60"/>
    </row>
    <row r="707">
      <c r="C707" s="60"/>
      <c r="D707" s="60"/>
      <c r="E707" s="60"/>
      <c r="G707" s="60"/>
      <c r="H707" s="60"/>
    </row>
    <row r="708">
      <c r="C708" s="60"/>
      <c r="D708" s="60"/>
      <c r="E708" s="60"/>
      <c r="G708" s="60"/>
      <c r="H708" s="60"/>
    </row>
    <row r="709">
      <c r="C709" s="60"/>
      <c r="D709" s="60"/>
      <c r="E709" s="60"/>
      <c r="G709" s="60"/>
      <c r="H709" s="60"/>
    </row>
    <row r="710">
      <c r="C710" s="60"/>
      <c r="D710" s="60"/>
      <c r="E710" s="60"/>
      <c r="G710" s="60"/>
      <c r="H710" s="60"/>
    </row>
    <row r="711">
      <c r="C711" s="60"/>
      <c r="D711" s="60"/>
      <c r="E711" s="60"/>
      <c r="G711" s="60"/>
      <c r="H711" s="60"/>
    </row>
    <row r="712">
      <c r="C712" s="60"/>
      <c r="D712" s="60"/>
      <c r="E712" s="60"/>
      <c r="G712" s="60"/>
      <c r="H712" s="60"/>
    </row>
    <row r="713">
      <c r="C713" s="60"/>
      <c r="D713" s="60"/>
      <c r="E713" s="60"/>
      <c r="G713" s="60"/>
      <c r="H713" s="60"/>
    </row>
    <row r="714">
      <c r="C714" s="60"/>
      <c r="D714" s="60"/>
      <c r="E714" s="60"/>
      <c r="G714" s="60"/>
      <c r="H714" s="60"/>
    </row>
    <row r="715">
      <c r="C715" s="60"/>
      <c r="D715" s="60"/>
      <c r="E715" s="60"/>
      <c r="G715" s="60"/>
      <c r="H715" s="60"/>
    </row>
    <row r="716">
      <c r="C716" s="60"/>
      <c r="D716" s="60"/>
      <c r="E716" s="60"/>
      <c r="G716" s="60"/>
      <c r="H716" s="60"/>
    </row>
    <row r="717">
      <c r="C717" s="60"/>
      <c r="D717" s="60"/>
      <c r="E717" s="60"/>
      <c r="G717" s="60"/>
      <c r="H717" s="60"/>
    </row>
    <row r="718">
      <c r="C718" s="60"/>
      <c r="D718" s="60"/>
      <c r="E718" s="60"/>
      <c r="G718" s="60"/>
      <c r="H718" s="60"/>
    </row>
    <row r="719">
      <c r="C719" s="60"/>
      <c r="D719" s="60"/>
      <c r="E719" s="60"/>
      <c r="G719" s="60"/>
      <c r="H719" s="60"/>
    </row>
    <row r="720">
      <c r="C720" s="60"/>
      <c r="D720" s="60"/>
      <c r="E720" s="60"/>
      <c r="G720" s="60"/>
      <c r="H720" s="60"/>
    </row>
    <row r="721">
      <c r="C721" s="60"/>
      <c r="D721" s="60"/>
      <c r="E721" s="60"/>
      <c r="G721" s="60"/>
      <c r="H721" s="60"/>
    </row>
    <row r="722">
      <c r="C722" s="60"/>
      <c r="D722" s="60"/>
      <c r="E722" s="60"/>
      <c r="G722" s="60"/>
      <c r="H722" s="60"/>
    </row>
    <row r="723">
      <c r="C723" s="60"/>
      <c r="D723" s="60"/>
      <c r="E723" s="60"/>
      <c r="G723" s="60"/>
      <c r="H723" s="60"/>
    </row>
    <row r="724">
      <c r="C724" s="60"/>
      <c r="D724" s="60"/>
      <c r="E724" s="60"/>
      <c r="G724" s="60"/>
      <c r="H724" s="60"/>
    </row>
    <row r="725">
      <c r="C725" s="60"/>
      <c r="D725" s="60"/>
      <c r="E725" s="60"/>
      <c r="G725" s="60"/>
      <c r="H725" s="60"/>
    </row>
    <row r="726">
      <c r="C726" s="60"/>
      <c r="D726" s="60"/>
      <c r="E726" s="60"/>
      <c r="G726" s="60"/>
      <c r="H726" s="60"/>
    </row>
    <row r="727">
      <c r="C727" s="60"/>
      <c r="D727" s="60"/>
      <c r="E727" s="60"/>
      <c r="G727" s="60"/>
      <c r="H727" s="60"/>
    </row>
    <row r="728">
      <c r="C728" s="60"/>
      <c r="D728" s="60"/>
      <c r="E728" s="60"/>
      <c r="G728" s="60"/>
      <c r="H728" s="60"/>
    </row>
    <row r="729">
      <c r="C729" s="60"/>
      <c r="D729" s="60"/>
      <c r="E729" s="60"/>
      <c r="G729" s="60"/>
      <c r="H729" s="60"/>
    </row>
    <row r="730">
      <c r="C730" s="60"/>
      <c r="D730" s="60"/>
      <c r="E730" s="60"/>
      <c r="G730" s="60"/>
      <c r="H730" s="60"/>
    </row>
    <row r="731">
      <c r="C731" s="60"/>
      <c r="D731" s="60"/>
      <c r="E731" s="60"/>
      <c r="G731" s="60"/>
      <c r="H731" s="60"/>
    </row>
    <row r="732">
      <c r="C732" s="60"/>
      <c r="D732" s="60"/>
      <c r="E732" s="60"/>
      <c r="G732" s="60"/>
      <c r="H732" s="60"/>
    </row>
    <row r="733">
      <c r="C733" s="60"/>
      <c r="D733" s="60"/>
      <c r="E733" s="60"/>
      <c r="G733" s="60"/>
      <c r="H733" s="60"/>
    </row>
    <row r="734">
      <c r="C734" s="60"/>
      <c r="D734" s="60"/>
      <c r="E734" s="60"/>
      <c r="G734" s="60"/>
      <c r="H734" s="60"/>
    </row>
    <row r="735">
      <c r="C735" s="60"/>
      <c r="D735" s="60"/>
      <c r="E735" s="60"/>
      <c r="G735" s="60"/>
      <c r="H735" s="60"/>
    </row>
    <row r="736">
      <c r="C736" s="60"/>
      <c r="D736" s="60"/>
      <c r="E736" s="60"/>
      <c r="G736" s="60"/>
      <c r="H736" s="60"/>
    </row>
    <row r="737">
      <c r="C737" s="60"/>
      <c r="D737" s="60"/>
      <c r="E737" s="60"/>
      <c r="G737" s="60"/>
      <c r="H737" s="60"/>
    </row>
    <row r="738">
      <c r="C738" s="60"/>
      <c r="D738" s="60"/>
      <c r="E738" s="60"/>
      <c r="G738" s="60"/>
      <c r="H738" s="60"/>
    </row>
    <row r="739">
      <c r="C739" s="60"/>
      <c r="D739" s="60"/>
      <c r="E739" s="60"/>
      <c r="G739" s="60"/>
      <c r="H739" s="60"/>
    </row>
    <row r="740">
      <c r="C740" s="60"/>
      <c r="D740" s="60"/>
      <c r="E740" s="60"/>
      <c r="G740" s="60"/>
      <c r="H740" s="60"/>
    </row>
    <row r="741">
      <c r="C741" s="60"/>
      <c r="D741" s="60"/>
      <c r="E741" s="60"/>
      <c r="G741" s="60"/>
      <c r="H741" s="60"/>
    </row>
    <row r="742">
      <c r="C742" s="60"/>
      <c r="D742" s="60"/>
      <c r="E742" s="60"/>
      <c r="G742" s="60"/>
      <c r="H742" s="60"/>
    </row>
    <row r="743">
      <c r="C743" s="60"/>
      <c r="D743" s="60"/>
      <c r="E743" s="60"/>
      <c r="G743" s="60"/>
      <c r="H743" s="60"/>
    </row>
    <row r="744">
      <c r="C744" s="60"/>
      <c r="D744" s="60"/>
      <c r="E744" s="60"/>
      <c r="G744" s="60"/>
      <c r="H744" s="60"/>
    </row>
    <row r="745">
      <c r="C745" s="60"/>
      <c r="D745" s="60"/>
      <c r="E745" s="60"/>
      <c r="G745" s="60"/>
      <c r="H745" s="60"/>
    </row>
    <row r="746">
      <c r="C746" s="60"/>
      <c r="D746" s="60"/>
      <c r="E746" s="60"/>
      <c r="G746" s="60"/>
      <c r="H746" s="60"/>
    </row>
    <row r="747">
      <c r="C747" s="60"/>
      <c r="D747" s="60"/>
      <c r="E747" s="60"/>
      <c r="G747" s="60"/>
      <c r="H747" s="60"/>
    </row>
    <row r="748">
      <c r="C748" s="60"/>
      <c r="D748" s="60"/>
      <c r="E748" s="60"/>
      <c r="G748" s="60"/>
      <c r="H748" s="60"/>
    </row>
    <row r="749">
      <c r="C749" s="60"/>
      <c r="D749" s="60"/>
      <c r="E749" s="60"/>
      <c r="G749" s="60"/>
      <c r="H749" s="60"/>
    </row>
    <row r="750">
      <c r="C750" s="60"/>
      <c r="D750" s="60"/>
      <c r="E750" s="60"/>
      <c r="G750" s="60"/>
      <c r="H750" s="60"/>
    </row>
    <row r="751">
      <c r="C751" s="60"/>
      <c r="D751" s="60"/>
      <c r="E751" s="60"/>
      <c r="G751" s="60"/>
      <c r="H751" s="60"/>
    </row>
    <row r="752">
      <c r="C752" s="60"/>
      <c r="D752" s="60"/>
      <c r="E752" s="60"/>
      <c r="G752" s="60"/>
      <c r="H752" s="60"/>
    </row>
    <row r="753">
      <c r="C753" s="60"/>
      <c r="D753" s="60"/>
      <c r="E753" s="60"/>
      <c r="G753" s="60"/>
      <c r="H753" s="60"/>
    </row>
    <row r="754">
      <c r="C754" s="60"/>
      <c r="D754" s="60"/>
      <c r="E754" s="60"/>
      <c r="G754" s="60"/>
      <c r="H754" s="60"/>
    </row>
    <row r="755">
      <c r="C755" s="60"/>
      <c r="D755" s="60"/>
      <c r="E755" s="60"/>
      <c r="G755" s="60"/>
      <c r="H755" s="60"/>
    </row>
    <row r="756">
      <c r="C756" s="60"/>
      <c r="D756" s="60"/>
      <c r="E756" s="60"/>
      <c r="G756" s="60"/>
      <c r="H756" s="60"/>
    </row>
    <row r="757">
      <c r="C757" s="60"/>
      <c r="D757" s="60"/>
      <c r="E757" s="60"/>
      <c r="G757" s="60"/>
      <c r="H757" s="60"/>
    </row>
    <row r="758">
      <c r="C758" s="60"/>
      <c r="D758" s="60"/>
      <c r="E758" s="60"/>
      <c r="G758" s="60"/>
      <c r="H758" s="60"/>
    </row>
    <row r="759">
      <c r="C759" s="60"/>
      <c r="D759" s="60"/>
      <c r="E759" s="60"/>
      <c r="G759" s="60"/>
      <c r="H759" s="60"/>
    </row>
    <row r="760">
      <c r="C760" s="60"/>
      <c r="D760" s="60"/>
      <c r="E760" s="60"/>
      <c r="G760" s="60"/>
      <c r="H760" s="60"/>
    </row>
    <row r="761">
      <c r="C761" s="60"/>
      <c r="D761" s="60"/>
      <c r="E761" s="60"/>
      <c r="G761" s="60"/>
      <c r="H761" s="60"/>
    </row>
    <row r="762">
      <c r="C762" s="60"/>
      <c r="D762" s="60"/>
      <c r="E762" s="60"/>
      <c r="G762" s="60"/>
      <c r="H762" s="60"/>
    </row>
    <row r="763">
      <c r="C763" s="60"/>
      <c r="D763" s="60"/>
      <c r="E763" s="60"/>
      <c r="G763" s="60"/>
      <c r="H763" s="60"/>
    </row>
    <row r="764">
      <c r="C764" s="60"/>
      <c r="D764" s="60"/>
      <c r="E764" s="60"/>
      <c r="G764" s="60"/>
      <c r="H764" s="60"/>
    </row>
    <row r="765">
      <c r="C765" s="60"/>
      <c r="D765" s="60"/>
      <c r="E765" s="60"/>
      <c r="G765" s="60"/>
      <c r="H765" s="60"/>
    </row>
    <row r="766">
      <c r="C766" s="60"/>
      <c r="D766" s="60"/>
      <c r="E766" s="60"/>
      <c r="G766" s="60"/>
      <c r="H766" s="60"/>
    </row>
    <row r="767">
      <c r="C767" s="60"/>
      <c r="D767" s="60"/>
      <c r="E767" s="60"/>
      <c r="G767" s="60"/>
      <c r="H767" s="60"/>
    </row>
    <row r="768">
      <c r="C768" s="60"/>
      <c r="D768" s="60"/>
      <c r="E768" s="60"/>
      <c r="G768" s="60"/>
      <c r="H768" s="60"/>
    </row>
    <row r="769">
      <c r="C769" s="60"/>
      <c r="D769" s="60"/>
      <c r="E769" s="60"/>
      <c r="G769" s="60"/>
      <c r="H769" s="60"/>
    </row>
    <row r="770">
      <c r="C770" s="60"/>
      <c r="D770" s="60"/>
      <c r="E770" s="60"/>
      <c r="G770" s="60"/>
      <c r="H770" s="60"/>
    </row>
    <row r="771">
      <c r="C771" s="60"/>
      <c r="D771" s="60"/>
      <c r="E771" s="60"/>
      <c r="G771" s="60"/>
      <c r="H771" s="60"/>
    </row>
    <row r="772">
      <c r="C772" s="60"/>
      <c r="D772" s="60"/>
      <c r="E772" s="60"/>
      <c r="G772" s="60"/>
      <c r="H772" s="60"/>
    </row>
    <row r="773">
      <c r="C773" s="60"/>
      <c r="D773" s="60"/>
      <c r="E773" s="60"/>
      <c r="G773" s="60"/>
      <c r="H773" s="60"/>
    </row>
    <row r="774">
      <c r="C774" s="60"/>
      <c r="D774" s="60"/>
      <c r="E774" s="60"/>
      <c r="G774" s="60"/>
      <c r="H774" s="60"/>
    </row>
    <row r="775">
      <c r="C775" s="60"/>
      <c r="D775" s="60"/>
      <c r="E775" s="60"/>
      <c r="G775" s="60"/>
      <c r="H775" s="60"/>
    </row>
    <row r="776">
      <c r="C776" s="60"/>
      <c r="D776" s="60"/>
      <c r="E776" s="60"/>
      <c r="G776" s="60"/>
      <c r="H776" s="60"/>
    </row>
    <row r="777">
      <c r="C777" s="60"/>
      <c r="D777" s="60"/>
      <c r="E777" s="60"/>
      <c r="G777" s="60"/>
      <c r="H777" s="60"/>
    </row>
    <row r="778">
      <c r="C778" s="60"/>
      <c r="D778" s="60"/>
      <c r="E778" s="60"/>
      <c r="G778" s="60"/>
      <c r="H778" s="60"/>
    </row>
    <row r="779">
      <c r="C779" s="60"/>
      <c r="D779" s="60"/>
      <c r="E779" s="60"/>
      <c r="G779" s="60"/>
      <c r="H779" s="60"/>
    </row>
    <row r="780">
      <c r="C780" s="60"/>
      <c r="D780" s="60"/>
      <c r="E780" s="60"/>
      <c r="G780" s="60"/>
      <c r="H780" s="60"/>
    </row>
    <row r="781">
      <c r="C781" s="60"/>
      <c r="D781" s="60"/>
      <c r="E781" s="60"/>
      <c r="G781" s="60"/>
      <c r="H781" s="60"/>
    </row>
    <row r="782">
      <c r="C782" s="60"/>
      <c r="D782" s="60"/>
      <c r="E782" s="60"/>
      <c r="G782" s="60"/>
      <c r="H782" s="60"/>
    </row>
    <row r="783">
      <c r="C783" s="60"/>
      <c r="D783" s="60"/>
      <c r="E783" s="60"/>
      <c r="G783" s="60"/>
      <c r="H783" s="60"/>
    </row>
    <row r="784">
      <c r="C784" s="60"/>
      <c r="D784" s="60"/>
      <c r="E784" s="60"/>
      <c r="G784" s="60"/>
      <c r="H784" s="60"/>
    </row>
    <row r="785">
      <c r="C785" s="60"/>
      <c r="D785" s="60"/>
      <c r="E785" s="60"/>
      <c r="G785" s="60"/>
      <c r="H785" s="60"/>
    </row>
    <row r="786">
      <c r="C786" s="60"/>
      <c r="D786" s="60"/>
      <c r="E786" s="60"/>
      <c r="G786" s="60"/>
      <c r="H786" s="60"/>
    </row>
    <row r="787">
      <c r="C787" s="60"/>
      <c r="D787" s="60"/>
      <c r="E787" s="60"/>
      <c r="G787" s="60"/>
      <c r="H787" s="60"/>
    </row>
    <row r="788">
      <c r="C788" s="60"/>
      <c r="D788" s="60"/>
      <c r="E788" s="60"/>
      <c r="G788" s="60"/>
      <c r="H788" s="60"/>
    </row>
    <row r="789">
      <c r="C789" s="60"/>
      <c r="D789" s="60"/>
      <c r="E789" s="60"/>
      <c r="G789" s="60"/>
      <c r="H789" s="60"/>
    </row>
    <row r="790">
      <c r="C790" s="60"/>
      <c r="D790" s="60"/>
      <c r="E790" s="60"/>
      <c r="G790" s="60"/>
      <c r="H790" s="60"/>
    </row>
    <row r="791">
      <c r="C791" s="60"/>
      <c r="D791" s="60"/>
      <c r="E791" s="60"/>
      <c r="G791" s="60"/>
      <c r="H791" s="60"/>
    </row>
    <row r="792">
      <c r="C792" s="60"/>
      <c r="D792" s="60"/>
      <c r="E792" s="60"/>
      <c r="G792" s="60"/>
      <c r="H792" s="60"/>
    </row>
    <row r="793">
      <c r="C793" s="60"/>
      <c r="D793" s="60"/>
      <c r="E793" s="60"/>
      <c r="G793" s="60"/>
      <c r="H793" s="60"/>
    </row>
    <row r="794">
      <c r="C794" s="60"/>
      <c r="D794" s="60"/>
      <c r="E794" s="60"/>
      <c r="G794" s="60"/>
      <c r="H794" s="60"/>
    </row>
    <row r="795">
      <c r="C795" s="60"/>
      <c r="D795" s="60"/>
      <c r="E795" s="60"/>
      <c r="G795" s="60"/>
      <c r="H795" s="60"/>
    </row>
    <row r="796">
      <c r="C796" s="60"/>
      <c r="D796" s="60"/>
      <c r="E796" s="60"/>
      <c r="G796" s="60"/>
      <c r="H796" s="60"/>
    </row>
    <row r="797">
      <c r="C797" s="60"/>
      <c r="D797" s="60"/>
      <c r="E797" s="60"/>
      <c r="G797" s="60"/>
      <c r="H797" s="60"/>
    </row>
    <row r="798">
      <c r="C798" s="60"/>
      <c r="D798" s="60"/>
      <c r="E798" s="60"/>
      <c r="G798" s="60"/>
      <c r="H798" s="60"/>
    </row>
    <row r="799">
      <c r="C799" s="60"/>
      <c r="D799" s="60"/>
      <c r="E799" s="60"/>
      <c r="G799" s="60"/>
      <c r="H799" s="60"/>
    </row>
    <row r="800">
      <c r="C800" s="60"/>
      <c r="D800" s="60"/>
      <c r="E800" s="60"/>
      <c r="G800" s="60"/>
      <c r="H800" s="60"/>
    </row>
    <row r="801">
      <c r="C801" s="60"/>
      <c r="D801" s="60"/>
      <c r="E801" s="60"/>
      <c r="G801" s="60"/>
      <c r="H801" s="60"/>
    </row>
    <row r="802">
      <c r="C802" s="60"/>
      <c r="D802" s="60"/>
      <c r="E802" s="60"/>
      <c r="G802" s="60"/>
      <c r="H802" s="60"/>
    </row>
    <row r="803">
      <c r="C803" s="60"/>
      <c r="D803" s="60"/>
      <c r="E803" s="60"/>
      <c r="G803" s="60"/>
      <c r="H803" s="60"/>
    </row>
    <row r="804">
      <c r="C804" s="60"/>
      <c r="D804" s="60"/>
      <c r="E804" s="60"/>
      <c r="G804" s="60"/>
      <c r="H804" s="60"/>
    </row>
    <row r="805">
      <c r="C805" s="60"/>
      <c r="D805" s="60"/>
      <c r="E805" s="60"/>
      <c r="G805" s="60"/>
      <c r="H805" s="60"/>
    </row>
    <row r="806">
      <c r="C806" s="60"/>
      <c r="D806" s="60"/>
      <c r="E806" s="60"/>
      <c r="G806" s="60"/>
      <c r="H806" s="60"/>
    </row>
    <row r="807">
      <c r="C807" s="60"/>
      <c r="D807" s="60"/>
      <c r="E807" s="60"/>
      <c r="G807" s="60"/>
      <c r="H807" s="60"/>
    </row>
    <row r="808">
      <c r="C808" s="60"/>
      <c r="D808" s="60"/>
      <c r="E808" s="60"/>
      <c r="G808" s="60"/>
      <c r="H808" s="60"/>
    </row>
    <row r="809">
      <c r="C809" s="60"/>
      <c r="D809" s="60"/>
      <c r="E809" s="60"/>
      <c r="G809" s="60"/>
      <c r="H809" s="60"/>
    </row>
    <row r="810">
      <c r="C810" s="60"/>
      <c r="D810" s="60"/>
      <c r="E810" s="60"/>
      <c r="G810" s="60"/>
      <c r="H810" s="60"/>
    </row>
    <row r="811">
      <c r="C811" s="60"/>
      <c r="D811" s="60"/>
      <c r="E811" s="60"/>
      <c r="G811" s="60"/>
      <c r="H811" s="60"/>
    </row>
    <row r="812">
      <c r="C812" s="60"/>
      <c r="D812" s="60"/>
      <c r="E812" s="60"/>
      <c r="G812" s="60"/>
      <c r="H812" s="60"/>
    </row>
    <row r="813">
      <c r="C813" s="60"/>
      <c r="D813" s="60"/>
      <c r="E813" s="60"/>
      <c r="G813" s="60"/>
      <c r="H813" s="60"/>
    </row>
    <row r="814">
      <c r="C814" s="60"/>
      <c r="D814" s="60"/>
      <c r="E814" s="60"/>
      <c r="G814" s="60"/>
      <c r="H814" s="60"/>
    </row>
    <row r="815">
      <c r="C815" s="60"/>
      <c r="D815" s="60"/>
      <c r="E815" s="60"/>
      <c r="G815" s="60"/>
      <c r="H815" s="60"/>
    </row>
    <row r="816">
      <c r="C816" s="60"/>
      <c r="D816" s="60"/>
      <c r="E816" s="60"/>
      <c r="G816" s="60"/>
      <c r="H816" s="60"/>
    </row>
    <row r="817">
      <c r="C817" s="60"/>
      <c r="D817" s="60"/>
      <c r="E817" s="60"/>
      <c r="G817" s="60"/>
      <c r="H817" s="60"/>
    </row>
    <row r="818">
      <c r="C818" s="60"/>
      <c r="D818" s="60"/>
      <c r="E818" s="60"/>
      <c r="G818" s="60"/>
      <c r="H818" s="60"/>
    </row>
    <row r="819">
      <c r="C819" s="60"/>
      <c r="D819" s="60"/>
      <c r="E819" s="60"/>
      <c r="G819" s="60"/>
      <c r="H819" s="60"/>
    </row>
    <row r="820">
      <c r="C820" s="60"/>
      <c r="D820" s="60"/>
      <c r="E820" s="60"/>
      <c r="G820" s="60"/>
      <c r="H820" s="60"/>
    </row>
    <row r="821">
      <c r="C821" s="60"/>
      <c r="D821" s="60"/>
      <c r="E821" s="60"/>
      <c r="G821" s="60"/>
      <c r="H821" s="60"/>
    </row>
    <row r="822">
      <c r="C822" s="60"/>
      <c r="D822" s="60"/>
      <c r="E822" s="60"/>
      <c r="G822" s="60"/>
      <c r="H822" s="60"/>
    </row>
    <row r="823">
      <c r="C823" s="60"/>
      <c r="D823" s="60"/>
      <c r="E823" s="60"/>
      <c r="G823" s="60"/>
      <c r="H823" s="60"/>
    </row>
    <row r="824">
      <c r="C824" s="60"/>
      <c r="D824" s="60"/>
      <c r="E824" s="60"/>
      <c r="G824" s="60"/>
      <c r="H824" s="60"/>
    </row>
    <row r="825">
      <c r="C825" s="60"/>
      <c r="D825" s="60"/>
      <c r="E825" s="60"/>
      <c r="G825" s="60"/>
      <c r="H825" s="60"/>
    </row>
    <row r="826">
      <c r="C826" s="60"/>
      <c r="D826" s="60"/>
      <c r="E826" s="60"/>
      <c r="G826" s="60"/>
      <c r="H826" s="60"/>
    </row>
    <row r="827">
      <c r="C827" s="60"/>
      <c r="D827" s="60"/>
      <c r="E827" s="60"/>
      <c r="G827" s="60"/>
      <c r="H827" s="60"/>
    </row>
    <row r="828">
      <c r="C828" s="60"/>
      <c r="D828" s="60"/>
      <c r="E828" s="60"/>
      <c r="G828" s="60"/>
      <c r="H828" s="60"/>
    </row>
    <row r="829">
      <c r="C829" s="60"/>
      <c r="D829" s="60"/>
      <c r="E829" s="60"/>
      <c r="G829" s="60"/>
      <c r="H829" s="60"/>
    </row>
    <row r="830">
      <c r="C830" s="60"/>
      <c r="D830" s="60"/>
      <c r="E830" s="60"/>
      <c r="G830" s="60"/>
      <c r="H830" s="60"/>
    </row>
    <row r="831">
      <c r="C831" s="60"/>
      <c r="D831" s="60"/>
      <c r="E831" s="60"/>
      <c r="G831" s="60"/>
      <c r="H831" s="60"/>
    </row>
    <row r="832">
      <c r="C832" s="60"/>
      <c r="D832" s="60"/>
      <c r="E832" s="60"/>
      <c r="G832" s="60"/>
      <c r="H832" s="60"/>
    </row>
    <row r="833">
      <c r="C833" s="60"/>
      <c r="D833" s="60"/>
      <c r="E833" s="60"/>
      <c r="G833" s="60"/>
      <c r="H833" s="60"/>
    </row>
    <row r="834">
      <c r="C834" s="60"/>
      <c r="D834" s="60"/>
      <c r="E834" s="60"/>
      <c r="G834" s="60"/>
      <c r="H834" s="60"/>
    </row>
    <row r="835">
      <c r="C835" s="60"/>
      <c r="D835" s="60"/>
      <c r="E835" s="60"/>
      <c r="G835" s="60"/>
      <c r="H835" s="60"/>
    </row>
    <row r="836">
      <c r="C836" s="60"/>
      <c r="D836" s="60"/>
      <c r="E836" s="60"/>
      <c r="G836" s="60"/>
      <c r="H836" s="60"/>
    </row>
    <row r="837">
      <c r="C837" s="60"/>
      <c r="D837" s="60"/>
      <c r="E837" s="60"/>
      <c r="G837" s="60"/>
      <c r="H837" s="60"/>
    </row>
    <row r="838">
      <c r="C838" s="60"/>
      <c r="D838" s="60"/>
      <c r="E838" s="60"/>
      <c r="G838" s="60"/>
      <c r="H838" s="60"/>
    </row>
    <row r="839">
      <c r="C839" s="60"/>
      <c r="D839" s="60"/>
      <c r="E839" s="60"/>
      <c r="G839" s="60"/>
      <c r="H839" s="60"/>
    </row>
    <row r="840">
      <c r="C840" s="60"/>
      <c r="D840" s="60"/>
      <c r="E840" s="60"/>
      <c r="G840" s="60"/>
      <c r="H840" s="60"/>
    </row>
    <row r="841">
      <c r="C841" s="60"/>
      <c r="D841" s="60"/>
      <c r="E841" s="60"/>
      <c r="G841" s="60"/>
      <c r="H841" s="60"/>
    </row>
    <row r="842">
      <c r="C842" s="60"/>
      <c r="D842" s="60"/>
      <c r="E842" s="60"/>
      <c r="G842" s="60"/>
      <c r="H842" s="60"/>
    </row>
    <row r="843">
      <c r="C843" s="60"/>
      <c r="D843" s="60"/>
      <c r="E843" s="60"/>
      <c r="G843" s="60"/>
      <c r="H843" s="60"/>
    </row>
    <row r="844">
      <c r="C844" s="60"/>
      <c r="D844" s="60"/>
      <c r="E844" s="60"/>
      <c r="G844" s="60"/>
      <c r="H844" s="60"/>
    </row>
    <row r="845">
      <c r="C845" s="60"/>
      <c r="D845" s="60"/>
      <c r="E845" s="60"/>
      <c r="G845" s="60"/>
      <c r="H845" s="60"/>
    </row>
    <row r="846">
      <c r="C846" s="60"/>
      <c r="D846" s="60"/>
      <c r="E846" s="60"/>
      <c r="G846" s="60"/>
      <c r="H846" s="60"/>
    </row>
    <row r="847">
      <c r="C847" s="60"/>
      <c r="D847" s="60"/>
      <c r="E847" s="60"/>
      <c r="G847" s="60"/>
      <c r="H847" s="60"/>
    </row>
    <row r="848">
      <c r="C848" s="60"/>
      <c r="D848" s="60"/>
      <c r="E848" s="60"/>
      <c r="G848" s="60"/>
      <c r="H848" s="60"/>
    </row>
    <row r="849">
      <c r="C849" s="60"/>
      <c r="D849" s="60"/>
      <c r="E849" s="60"/>
      <c r="G849" s="60"/>
      <c r="H849" s="60"/>
    </row>
    <row r="850">
      <c r="C850" s="60"/>
      <c r="D850" s="60"/>
      <c r="E850" s="60"/>
      <c r="G850" s="60"/>
      <c r="H850" s="60"/>
    </row>
    <row r="851">
      <c r="C851" s="60"/>
      <c r="D851" s="60"/>
      <c r="E851" s="60"/>
      <c r="G851" s="60"/>
      <c r="H851" s="60"/>
    </row>
    <row r="852">
      <c r="C852" s="60"/>
      <c r="D852" s="60"/>
      <c r="E852" s="60"/>
      <c r="G852" s="60"/>
      <c r="H852" s="60"/>
    </row>
    <row r="853">
      <c r="C853" s="60"/>
      <c r="D853" s="60"/>
      <c r="E853" s="60"/>
      <c r="G853" s="60"/>
      <c r="H853" s="60"/>
    </row>
    <row r="854">
      <c r="C854" s="60"/>
      <c r="D854" s="60"/>
      <c r="E854" s="60"/>
      <c r="G854" s="60"/>
      <c r="H854" s="60"/>
    </row>
    <row r="855">
      <c r="C855" s="60"/>
      <c r="D855" s="60"/>
      <c r="E855" s="60"/>
      <c r="G855" s="60"/>
      <c r="H855" s="60"/>
    </row>
    <row r="856">
      <c r="C856" s="60"/>
      <c r="D856" s="60"/>
      <c r="E856" s="60"/>
      <c r="G856" s="60"/>
      <c r="H856" s="60"/>
    </row>
    <row r="857">
      <c r="C857" s="60"/>
      <c r="D857" s="60"/>
      <c r="E857" s="60"/>
      <c r="G857" s="60"/>
      <c r="H857" s="60"/>
    </row>
    <row r="858">
      <c r="C858" s="60"/>
      <c r="D858" s="60"/>
      <c r="E858" s="60"/>
      <c r="G858" s="60"/>
      <c r="H858" s="60"/>
    </row>
    <row r="859">
      <c r="C859" s="60"/>
      <c r="D859" s="60"/>
      <c r="E859" s="60"/>
      <c r="G859" s="60"/>
      <c r="H859" s="60"/>
    </row>
    <row r="860">
      <c r="C860" s="60"/>
      <c r="D860" s="60"/>
      <c r="E860" s="60"/>
      <c r="G860" s="60"/>
      <c r="H860" s="60"/>
    </row>
    <row r="861">
      <c r="C861" s="60"/>
      <c r="D861" s="60"/>
      <c r="E861" s="60"/>
      <c r="G861" s="60"/>
      <c r="H861" s="60"/>
    </row>
    <row r="862">
      <c r="C862" s="60"/>
      <c r="D862" s="60"/>
      <c r="E862" s="60"/>
      <c r="G862" s="60"/>
      <c r="H862" s="60"/>
    </row>
    <row r="863">
      <c r="C863" s="60"/>
      <c r="D863" s="60"/>
      <c r="E863" s="60"/>
      <c r="G863" s="60"/>
      <c r="H863" s="60"/>
    </row>
    <row r="864">
      <c r="C864" s="60"/>
      <c r="D864" s="60"/>
      <c r="E864" s="60"/>
      <c r="G864" s="60"/>
      <c r="H864" s="60"/>
    </row>
    <row r="865">
      <c r="C865" s="60"/>
      <c r="D865" s="60"/>
      <c r="E865" s="60"/>
      <c r="G865" s="60"/>
      <c r="H865" s="60"/>
    </row>
    <row r="866">
      <c r="C866" s="60"/>
      <c r="D866" s="60"/>
      <c r="E866" s="60"/>
      <c r="G866" s="60"/>
      <c r="H866" s="60"/>
    </row>
    <row r="867">
      <c r="C867" s="60"/>
      <c r="D867" s="60"/>
      <c r="E867" s="60"/>
      <c r="G867" s="60"/>
      <c r="H867" s="60"/>
    </row>
    <row r="868">
      <c r="C868" s="60"/>
      <c r="D868" s="60"/>
      <c r="E868" s="60"/>
      <c r="G868" s="60"/>
      <c r="H868" s="60"/>
    </row>
    <row r="869">
      <c r="C869" s="60"/>
      <c r="D869" s="60"/>
      <c r="E869" s="60"/>
      <c r="G869" s="60"/>
      <c r="H869" s="60"/>
    </row>
    <row r="870">
      <c r="C870" s="60"/>
      <c r="D870" s="60"/>
      <c r="E870" s="60"/>
      <c r="G870" s="60"/>
      <c r="H870" s="60"/>
    </row>
    <row r="871">
      <c r="C871" s="60"/>
      <c r="D871" s="60"/>
      <c r="E871" s="60"/>
      <c r="G871" s="60"/>
      <c r="H871" s="60"/>
    </row>
    <row r="872">
      <c r="C872" s="60"/>
      <c r="D872" s="60"/>
      <c r="E872" s="60"/>
      <c r="G872" s="60"/>
      <c r="H872" s="60"/>
    </row>
    <row r="873">
      <c r="C873" s="60"/>
      <c r="D873" s="60"/>
      <c r="E873" s="60"/>
      <c r="G873" s="60"/>
      <c r="H873" s="60"/>
    </row>
    <row r="874">
      <c r="C874" s="60"/>
      <c r="D874" s="60"/>
      <c r="E874" s="60"/>
      <c r="G874" s="60"/>
      <c r="H874" s="60"/>
    </row>
    <row r="875">
      <c r="C875" s="60"/>
      <c r="D875" s="60"/>
      <c r="E875" s="60"/>
      <c r="G875" s="60"/>
      <c r="H875" s="60"/>
    </row>
    <row r="876">
      <c r="C876" s="60"/>
      <c r="D876" s="60"/>
      <c r="E876" s="60"/>
      <c r="G876" s="60"/>
      <c r="H876" s="60"/>
    </row>
    <row r="877">
      <c r="C877" s="60"/>
      <c r="D877" s="60"/>
      <c r="E877" s="60"/>
      <c r="G877" s="60"/>
      <c r="H877" s="60"/>
    </row>
    <row r="878">
      <c r="C878" s="60"/>
      <c r="D878" s="60"/>
      <c r="E878" s="60"/>
      <c r="G878" s="60"/>
      <c r="H878" s="60"/>
    </row>
    <row r="879">
      <c r="C879" s="60"/>
      <c r="D879" s="60"/>
      <c r="E879" s="60"/>
      <c r="G879" s="60"/>
      <c r="H879" s="60"/>
    </row>
    <row r="880">
      <c r="C880" s="60"/>
      <c r="D880" s="60"/>
      <c r="E880" s="60"/>
      <c r="G880" s="60"/>
      <c r="H880" s="60"/>
    </row>
    <row r="881">
      <c r="C881" s="60"/>
      <c r="D881" s="60"/>
      <c r="E881" s="60"/>
      <c r="G881" s="60"/>
      <c r="H881" s="60"/>
    </row>
    <row r="882">
      <c r="C882" s="60"/>
      <c r="D882" s="60"/>
      <c r="E882" s="60"/>
      <c r="G882" s="60"/>
      <c r="H882" s="60"/>
    </row>
    <row r="883">
      <c r="C883" s="60"/>
      <c r="D883" s="60"/>
      <c r="E883" s="60"/>
      <c r="G883" s="60"/>
      <c r="H883" s="60"/>
    </row>
    <row r="884">
      <c r="C884" s="60"/>
      <c r="D884" s="60"/>
      <c r="E884" s="60"/>
      <c r="G884" s="60"/>
      <c r="H884" s="60"/>
    </row>
    <row r="885">
      <c r="C885" s="60"/>
      <c r="D885" s="60"/>
      <c r="E885" s="60"/>
      <c r="G885" s="60"/>
      <c r="H885" s="60"/>
    </row>
    <row r="886">
      <c r="C886" s="60"/>
      <c r="D886" s="60"/>
      <c r="E886" s="60"/>
      <c r="G886" s="60"/>
      <c r="H886" s="60"/>
    </row>
    <row r="887">
      <c r="C887" s="60"/>
      <c r="D887" s="60"/>
      <c r="E887" s="60"/>
      <c r="G887" s="60"/>
      <c r="H887" s="60"/>
    </row>
    <row r="888">
      <c r="C888" s="60"/>
      <c r="D888" s="60"/>
      <c r="E888" s="60"/>
      <c r="G888" s="60"/>
      <c r="H888" s="60"/>
    </row>
    <row r="889">
      <c r="C889" s="60"/>
      <c r="D889" s="60"/>
      <c r="E889" s="60"/>
      <c r="G889" s="60"/>
      <c r="H889" s="60"/>
    </row>
    <row r="890">
      <c r="C890" s="60"/>
      <c r="D890" s="60"/>
      <c r="E890" s="60"/>
      <c r="G890" s="60"/>
      <c r="H890" s="60"/>
    </row>
    <row r="891">
      <c r="C891" s="60"/>
      <c r="D891" s="60"/>
      <c r="E891" s="60"/>
      <c r="G891" s="60"/>
      <c r="H891" s="60"/>
    </row>
    <row r="892">
      <c r="C892" s="60"/>
      <c r="D892" s="60"/>
      <c r="E892" s="60"/>
      <c r="G892" s="60"/>
      <c r="H892" s="60"/>
    </row>
    <row r="893">
      <c r="C893" s="60"/>
      <c r="D893" s="60"/>
      <c r="E893" s="60"/>
      <c r="G893" s="60"/>
      <c r="H893" s="60"/>
    </row>
    <row r="894">
      <c r="C894" s="60"/>
      <c r="D894" s="60"/>
      <c r="E894" s="60"/>
      <c r="G894" s="60"/>
      <c r="H894" s="60"/>
    </row>
    <row r="895">
      <c r="C895" s="60"/>
      <c r="D895" s="60"/>
      <c r="E895" s="60"/>
      <c r="G895" s="60"/>
      <c r="H895" s="60"/>
    </row>
    <row r="896">
      <c r="C896" s="60"/>
      <c r="D896" s="60"/>
      <c r="E896" s="60"/>
      <c r="G896" s="60"/>
      <c r="H896" s="60"/>
    </row>
    <row r="897">
      <c r="C897" s="60"/>
      <c r="D897" s="60"/>
      <c r="E897" s="60"/>
      <c r="G897" s="60"/>
      <c r="H897" s="60"/>
    </row>
    <row r="898">
      <c r="C898" s="60"/>
      <c r="D898" s="60"/>
      <c r="E898" s="60"/>
      <c r="G898" s="60"/>
      <c r="H898" s="60"/>
    </row>
    <row r="899">
      <c r="C899" s="60"/>
      <c r="D899" s="60"/>
      <c r="E899" s="60"/>
      <c r="G899" s="60"/>
      <c r="H899" s="60"/>
    </row>
    <row r="900">
      <c r="C900" s="60"/>
      <c r="D900" s="60"/>
      <c r="E900" s="60"/>
      <c r="G900" s="60"/>
      <c r="H900" s="60"/>
    </row>
    <row r="901">
      <c r="C901" s="60"/>
      <c r="D901" s="60"/>
      <c r="E901" s="60"/>
      <c r="G901" s="60"/>
      <c r="H901" s="60"/>
    </row>
    <row r="902">
      <c r="C902" s="60"/>
      <c r="D902" s="60"/>
      <c r="E902" s="60"/>
      <c r="G902" s="60"/>
      <c r="H902" s="60"/>
    </row>
    <row r="903">
      <c r="C903" s="60"/>
      <c r="D903" s="60"/>
      <c r="E903" s="60"/>
      <c r="G903" s="60"/>
      <c r="H903" s="60"/>
    </row>
    <row r="904">
      <c r="C904" s="60"/>
      <c r="D904" s="60"/>
      <c r="E904" s="60"/>
      <c r="G904" s="60"/>
      <c r="H904" s="60"/>
    </row>
    <row r="905">
      <c r="C905" s="60"/>
      <c r="D905" s="60"/>
      <c r="E905" s="60"/>
      <c r="G905" s="60"/>
      <c r="H905" s="60"/>
    </row>
    <row r="906">
      <c r="C906" s="60"/>
      <c r="D906" s="60"/>
      <c r="E906" s="60"/>
      <c r="G906" s="60"/>
      <c r="H906" s="60"/>
    </row>
    <row r="907">
      <c r="C907" s="60"/>
      <c r="D907" s="60"/>
      <c r="E907" s="60"/>
      <c r="G907" s="60"/>
      <c r="H907" s="60"/>
    </row>
    <row r="908">
      <c r="C908" s="60"/>
      <c r="D908" s="60"/>
      <c r="E908" s="60"/>
      <c r="G908" s="60"/>
      <c r="H908" s="60"/>
    </row>
    <row r="909">
      <c r="C909" s="60"/>
      <c r="D909" s="60"/>
      <c r="E909" s="60"/>
      <c r="G909" s="60"/>
      <c r="H909" s="60"/>
    </row>
    <row r="910">
      <c r="C910" s="60"/>
      <c r="D910" s="60"/>
      <c r="E910" s="60"/>
      <c r="G910" s="60"/>
      <c r="H910" s="60"/>
    </row>
    <row r="911">
      <c r="C911" s="60"/>
      <c r="D911" s="60"/>
      <c r="E911" s="60"/>
      <c r="G911" s="60"/>
      <c r="H911" s="60"/>
    </row>
    <row r="912">
      <c r="C912" s="60"/>
      <c r="D912" s="60"/>
      <c r="E912" s="60"/>
      <c r="G912" s="60"/>
      <c r="H912" s="60"/>
    </row>
    <row r="913">
      <c r="C913" s="60"/>
      <c r="D913" s="60"/>
      <c r="E913" s="60"/>
      <c r="G913" s="60"/>
      <c r="H913" s="60"/>
    </row>
    <row r="914">
      <c r="C914" s="60"/>
      <c r="D914" s="60"/>
      <c r="E914" s="60"/>
      <c r="G914" s="60"/>
      <c r="H914" s="60"/>
    </row>
    <row r="915">
      <c r="C915" s="60"/>
      <c r="D915" s="60"/>
      <c r="E915" s="60"/>
      <c r="G915" s="60"/>
      <c r="H915" s="60"/>
    </row>
    <row r="916">
      <c r="C916" s="60"/>
      <c r="D916" s="60"/>
      <c r="E916" s="60"/>
      <c r="G916" s="60"/>
      <c r="H916" s="60"/>
    </row>
    <row r="917">
      <c r="C917" s="60"/>
      <c r="D917" s="60"/>
      <c r="E917" s="60"/>
      <c r="G917" s="60"/>
      <c r="H917" s="60"/>
    </row>
    <row r="918">
      <c r="C918" s="60"/>
      <c r="D918" s="60"/>
      <c r="E918" s="60"/>
      <c r="G918" s="60"/>
      <c r="H918" s="60"/>
    </row>
    <row r="919">
      <c r="C919" s="60"/>
      <c r="D919" s="60"/>
      <c r="E919" s="60"/>
      <c r="G919" s="60"/>
      <c r="H919" s="60"/>
    </row>
    <row r="920">
      <c r="C920" s="60"/>
      <c r="D920" s="60"/>
      <c r="E920" s="60"/>
      <c r="G920" s="60"/>
      <c r="H920" s="60"/>
    </row>
    <row r="921">
      <c r="C921" s="60"/>
      <c r="D921" s="60"/>
      <c r="E921" s="60"/>
      <c r="G921" s="60"/>
      <c r="H921" s="60"/>
    </row>
    <row r="922">
      <c r="C922" s="60"/>
      <c r="D922" s="60"/>
      <c r="E922" s="60"/>
      <c r="G922" s="60"/>
      <c r="H922" s="60"/>
    </row>
    <row r="923">
      <c r="C923" s="60"/>
      <c r="D923" s="60"/>
      <c r="E923" s="60"/>
      <c r="G923" s="60"/>
      <c r="H923" s="60"/>
    </row>
    <row r="924">
      <c r="C924" s="60"/>
      <c r="D924" s="60"/>
      <c r="E924" s="60"/>
      <c r="G924" s="60"/>
      <c r="H924" s="60"/>
    </row>
    <row r="925">
      <c r="C925" s="60"/>
      <c r="D925" s="60"/>
      <c r="E925" s="60"/>
      <c r="G925" s="60"/>
      <c r="H925" s="60"/>
    </row>
    <row r="926">
      <c r="C926" s="60"/>
      <c r="D926" s="60"/>
      <c r="E926" s="60"/>
      <c r="G926" s="60"/>
      <c r="H926" s="60"/>
    </row>
    <row r="927">
      <c r="C927" s="60"/>
      <c r="D927" s="60"/>
      <c r="E927" s="60"/>
      <c r="G927" s="60"/>
      <c r="H927" s="60"/>
    </row>
    <row r="928">
      <c r="C928" s="60"/>
      <c r="D928" s="60"/>
      <c r="E928" s="60"/>
      <c r="G928" s="60"/>
      <c r="H928" s="60"/>
    </row>
    <row r="929">
      <c r="C929" s="60"/>
      <c r="D929" s="60"/>
      <c r="E929" s="60"/>
      <c r="G929" s="60"/>
      <c r="H929" s="60"/>
    </row>
    <row r="930">
      <c r="C930" s="60"/>
      <c r="D930" s="60"/>
      <c r="E930" s="60"/>
      <c r="G930" s="60"/>
      <c r="H930" s="60"/>
    </row>
    <row r="931">
      <c r="C931" s="60"/>
      <c r="D931" s="60"/>
      <c r="E931" s="60"/>
      <c r="G931" s="60"/>
      <c r="H931" s="60"/>
    </row>
    <row r="932">
      <c r="C932" s="60"/>
      <c r="D932" s="60"/>
      <c r="E932" s="60"/>
      <c r="G932" s="60"/>
      <c r="H932" s="60"/>
    </row>
    <row r="933">
      <c r="C933" s="60"/>
      <c r="D933" s="60"/>
      <c r="E933" s="60"/>
      <c r="G933" s="60"/>
      <c r="H933" s="60"/>
    </row>
    <row r="934">
      <c r="C934" s="60"/>
      <c r="D934" s="60"/>
      <c r="E934" s="60"/>
      <c r="G934" s="60"/>
      <c r="H934" s="60"/>
    </row>
    <row r="935">
      <c r="C935" s="60"/>
      <c r="D935" s="60"/>
      <c r="E935" s="60"/>
      <c r="G935" s="60"/>
      <c r="H935" s="60"/>
    </row>
    <row r="936">
      <c r="C936" s="60"/>
      <c r="D936" s="60"/>
      <c r="E936" s="60"/>
      <c r="G936" s="60"/>
      <c r="H936" s="60"/>
    </row>
    <row r="937">
      <c r="C937" s="60"/>
      <c r="D937" s="60"/>
      <c r="E937" s="60"/>
      <c r="G937" s="60"/>
      <c r="H937" s="60"/>
    </row>
    <row r="938">
      <c r="C938" s="60"/>
      <c r="D938" s="60"/>
      <c r="E938" s="60"/>
      <c r="G938" s="60"/>
      <c r="H938" s="60"/>
    </row>
    <row r="939">
      <c r="C939" s="60"/>
      <c r="D939" s="60"/>
      <c r="E939" s="60"/>
      <c r="G939" s="60"/>
      <c r="H939" s="60"/>
    </row>
    <row r="940">
      <c r="C940" s="60"/>
      <c r="D940" s="60"/>
      <c r="E940" s="60"/>
      <c r="G940" s="60"/>
      <c r="H940" s="60"/>
    </row>
    <row r="941">
      <c r="C941" s="60"/>
      <c r="D941" s="60"/>
      <c r="E941" s="60"/>
      <c r="G941" s="60"/>
      <c r="H941" s="60"/>
    </row>
    <row r="942">
      <c r="C942" s="60"/>
      <c r="D942" s="60"/>
      <c r="E942" s="60"/>
      <c r="G942" s="60"/>
      <c r="H942" s="60"/>
    </row>
    <row r="943">
      <c r="C943" s="60"/>
      <c r="D943" s="60"/>
      <c r="E943" s="60"/>
      <c r="G943" s="60"/>
      <c r="H943" s="60"/>
    </row>
    <row r="944">
      <c r="C944" s="60"/>
      <c r="D944" s="60"/>
      <c r="E944" s="60"/>
      <c r="G944" s="60"/>
      <c r="H944" s="60"/>
    </row>
    <row r="945">
      <c r="C945" s="60"/>
      <c r="D945" s="60"/>
      <c r="E945" s="60"/>
      <c r="G945" s="60"/>
      <c r="H945" s="60"/>
    </row>
    <row r="946">
      <c r="C946" s="60"/>
      <c r="D946" s="60"/>
      <c r="E946" s="60"/>
      <c r="G946" s="60"/>
      <c r="H946" s="60"/>
    </row>
    <row r="947">
      <c r="C947" s="60"/>
      <c r="D947" s="60"/>
      <c r="E947" s="60"/>
      <c r="G947" s="60"/>
      <c r="H947" s="60"/>
    </row>
    <row r="948">
      <c r="C948" s="60"/>
      <c r="D948" s="60"/>
      <c r="E948" s="60"/>
      <c r="G948" s="60"/>
      <c r="H948" s="60"/>
    </row>
    <row r="949">
      <c r="C949" s="60"/>
      <c r="D949" s="60"/>
      <c r="E949" s="60"/>
      <c r="G949" s="60"/>
      <c r="H949" s="60"/>
    </row>
    <row r="950">
      <c r="C950" s="60"/>
      <c r="D950" s="60"/>
      <c r="E950" s="60"/>
      <c r="G950" s="60"/>
      <c r="H950" s="60"/>
    </row>
    <row r="951">
      <c r="C951" s="60"/>
      <c r="D951" s="60"/>
      <c r="E951" s="60"/>
      <c r="G951" s="60"/>
      <c r="H951" s="60"/>
    </row>
    <row r="952">
      <c r="C952" s="60"/>
      <c r="D952" s="60"/>
      <c r="E952" s="60"/>
      <c r="G952" s="60"/>
      <c r="H952" s="60"/>
    </row>
    <row r="953">
      <c r="C953" s="60"/>
      <c r="D953" s="60"/>
      <c r="E953" s="60"/>
      <c r="G953" s="60"/>
      <c r="H953" s="60"/>
    </row>
    <row r="954">
      <c r="C954" s="60"/>
      <c r="D954" s="60"/>
      <c r="E954" s="60"/>
      <c r="G954" s="60"/>
      <c r="H954" s="60"/>
    </row>
    <row r="955">
      <c r="C955" s="60"/>
      <c r="D955" s="60"/>
      <c r="E955" s="60"/>
      <c r="G955" s="60"/>
      <c r="H955" s="60"/>
    </row>
    <row r="956">
      <c r="C956" s="60"/>
      <c r="D956" s="60"/>
      <c r="E956" s="60"/>
      <c r="G956" s="60"/>
      <c r="H956" s="60"/>
    </row>
    <row r="957">
      <c r="C957" s="60"/>
      <c r="D957" s="60"/>
      <c r="E957" s="60"/>
      <c r="G957" s="60"/>
      <c r="H957" s="60"/>
    </row>
    <row r="958">
      <c r="C958" s="60"/>
      <c r="D958" s="60"/>
      <c r="E958" s="60"/>
      <c r="G958" s="60"/>
      <c r="H958" s="60"/>
    </row>
    <row r="959">
      <c r="C959" s="60"/>
      <c r="D959" s="60"/>
      <c r="E959" s="60"/>
      <c r="G959" s="60"/>
      <c r="H959" s="60"/>
    </row>
    <row r="960">
      <c r="C960" s="60"/>
      <c r="D960" s="60"/>
      <c r="E960" s="60"/>
      <c r="G960" s="60"/>
      <c r="H960" s="60"/>
    </row>
    <row r="961">
      <c r="C961" s="60"/>
      <c r="D961" s="60"/>
      <c r="E961" s="60"/>
      <c r="G961" s="60"/>
      <c r="H961" s="60"/>
    </row>
    <row r="962">
      <c r="C962" s="60"/>
      <c r="D962" s="60"/>
      <c r="E962" s="60"/>
      <c r="G962" s="60"/>
      <c r="H962" s="60"/>
    </row>
    <row r="963">
      <c r="C963" s="60"/>
      <c r="D963" s="60"/>
      <c r="E963" s="60"/>
      <c r="G963" s="60"/>
      <c r="H963" s="60"/>
    </row>
    <row r="964">
      <c r="C964" s="60"/>
      <c r="D964" s="60"/>
      <c r="E964" s="60"/>
      <c r="G964" s="60"/>
      <c r="H964" s="60"/>
    </row>
    <row r="965">
      <c r="C965" s="60"/>
      <c r="D965" s="60"/>
      <c r="E965" s="60"/>
      <c r="G965" s="60"/>
      <c r="H965" s="60"/>
    </row>
    <row r="966">
      <c r="C966" s="60"/>
      <c r="D966" s="60"/>
      <c r="E966" s="60"/>
      <c r="G966" s="60"/>
      <c r="H966" s="60"/>
    </row>
    <row r="967">
      <c r="C967" s="60"/>
      <c r="D967" s="60"/>
      <c r="E967" s="60"/>
      <c r="G967" s="60"/>
      <c r="H967" s="60"/>
    </row>
    <row r="968">
      <c r="C968" s="60"/>
      <c r="D968" s="60"/>
      <c r="E968" s="60"/>
      <c r="G968" s="60"/>
      <c r="H968" s="60"/>
    </row>
    <row r="969">
      <c r="C969" s="60"/>
      <c r="D969" s="60"/>
      <c r="E969" s="60"/>
      <c r="G969" s="60"/>
      <c r="H969" s="60"/>
    </row>
    <row r="970">
      <c r="C970" s="60"/>
      <c r="D970" s="60"/>
      <c r="E970" s="60"/>
      <c r="G970" s="60"/>
      <c r="H970" s="60"/>
    </row>
    <row r="971">
      <c r="C971" s="60"/>
      <c r="D971" s="60"/>
      <c r="E971" s="60"/>
      <c r="G971" s="60"/>
      <c r="H971" s="60"/>
    </row>
    <row r="972">
      <c r="C972" s="60"/>
      <c r="D972" s="60"/>
      <c r="E972" s="60"/>
      <c r="G972" s="60"/>
      <c r="H972" s="60"/>
    </row>
    <row r="973">
      <c r="C973" s="60"/>
      <c r="D973" s="60"/>
      <c r="E973" s="60"/>
      <c r="G973" s="60"/>
      <c r="H973" s="60"/>
    </row>
    <row r="974">
      <c r="C974" s="60"/>
      <c r="D974" s="60"/>
      <c r="E974" s="60"/>
      <c r="G974" s="60"/>
      <c r="H974" s="60"/>
    </row>
    <row r="975">
      <c r="C975" s="60"/>
      <c r="D975" s="60"/>
      <c r="E975" s="60"/>
      <c r="G975" s="60"/>
      <c r="H975" s="60"/>
    </row>
    <row r="976">
      <c r="C976" s="60"/>
      <c r="D976" s="60"/>
      <c r="E976" s="60"/>
      <c r="G976" s="60"/>
      <c r="H976" s="60"/>
    </row>
    <row r="977">
      <c r="C977" s="60"/>
      <c r="D977" s="60"/>
      <c r="E977" s="60"/>
      <c r="G977" s="60"/>
      <c r="H977" s="60"/>
    </row>
    <row r="978">
      <c r="C978" s="60"/>
      <c r="D978" s="60"/>
      <c r="E978" s="60"/>
      <c r="G978" s="60"/>
      <c r="H978" s="60"/>
    </row>
    <row r="979">
      <c r="C979" s="60"/>
      <c r="D979" s="60"/>
      <c r="E979" s="60"/>
      <c r="G979" s="60"/>
      <c r="H979" s="60"/>
    </row>
    <row r="980">
      <c r="C980" s="60"/>
      <c r="D980" s="60"/>
      <c r="E980" s="60"/>
      <c r="G980" s="60"/>
      <c r="H980" s="60"/>
    </row>
    <row r="981">
      <c r="C981" s="60"/>
      <c r="D981" s="60"/>
      <c r="E981" s="60"/>
      <c r="G981" s="60"/>
      <c r="H981" s="60"/>
    </row>
    <row r="982">
      <c r="C982" s="60"/>
      <c r="D982" s="60"/>
      <c r="E982" s="60"/>
      <c r="G982" s="60"/>
      <c r="H982" s="60"/>
    </row>
    <row r="983">
      <c r="C983" s="60"/>
      <c r="D983" s="60"/>
      <c r="E983" s="60"/>
      <c r="G983" s="60"/>
      <c r="H983" s="60"/>
    </row>
    <row r="984">
      <c r="C984" s="60"/>
      <c r="D984" s="60"/>
      <c r="E984" s="60"/>
      <c r="G984" s="60"/>
      <c r="H984" s="60"/>
    </row>
    <row r="985">
      <c r="C985" s="60"/>
      <c r="D985" s="60"/>
      <c r="E985" s="60"/>
      <c r="G985" s="60"/>
      <c r="H985" s="60"/>
    </row>
    <row r="986">
      <c r="C986" s="60"/>
      <c r="D986" s="60"/>
      <c r="E986" s="60"/>
      <c r="G986" s="60"/>
      <c r="H986" s="60"/>
    </row>
    <row r="987">
      <c r="C987" s="60"/>
      <c r="D987" s="60"/>
      <c r="E987" s="60"/>
      <c r="G987" s="60"/>
      <c r="H987" s="60"/>
    </row>
    <row r="988">
      <c r="C988" s="60"/>
      <c r="D988" s="60"/>
      <c r="E988" s="60"/>
      <c r="G988" s="60"/>
      <c r="H988" s="60"/>
    </row>
    <row r="989">
      <c r="C989" s="60"/>
      <c r="D989" s="60"/>
      <c r="E989" s="60"/>
      <c r="G989" s="60"/>
      <c r="H989" s="60"/>
    </row>
    <row r="990">
      <c r="C990" s="60"/>
      <c r="D990" s="60"/>
      <c r="E990" s="60"/>
      <c r="G990" s="60"/>
      <c r="H990" s="60"/>
    </row>
    <row r="991">
      <c r="C991" s="60"/>
      <c r="D991" s="60"/>
      <c r="E991" s="60"/>
      <c r="G991" s="60"/>
      <c r="H991" s="60"/>
    </row>
    <row r="992">
      <c r="C992" s="60"/>
      <c r="D992" s="60"/>
      <c r="E992" s="60"/>
      <c r="G992" s="60"/>
      <c r="H992" s="60"/>
    </row>
    <row r="993">
      <c r="C993" s="60"/>
      <c r="D993" s="60"/>
      <c r="E993" s="60"/>
      <c r="G993" s="60"/>
      <c r="H993" s="60"/>
    </row>
    <row r="994">
      <c r="C994" s="60"/>
      <c r="D994" s="60"/>
      <c r="E994" s="60"/>
      <c r="G994" s="60"/>
      <c r="H994" s="60"/>
    </row>
    <row r="995">
      <c r="C995" s="60"/>
      <c r="D995" s="60"/>
      <c r="E995" s="60"/>
      <c r="G995" s="60"/>
      <c r="H995" s="60"/>
    </row>
    <row r="996">
      <c r="C996" s="60"/>
      <c r="D996" s="60"/>
      <c r="E996" s="60"/>
      <c r="G996" s="60"/>
      <c r="H996" s="60"/>
    </row>
    <row r="997">
      <c r="C997" s="60"/>
      <c r="D997" s="60"/>
      <c r="E997" s="60"/>
      <c r="G997" s="60"/>
      <c r="H997" s="60"/>
    </row>
    <row r="998">
      <c r="C998" s="60"/>
      <c r="D998" s="60"/>
      <c r="E998" s="60"/>
      <c r="G998" s="60"/>
      <c r="H998" s="60"/>
    </row>
    <row r="999">
      <c r="C999" s="60"/>
      <c r="D999" s="60"/>
      <c r="E999" s="60"/>
      <c r="G999" s="60"/>
      <c r="H999" s="60"/>
    </row>
    <row r="1000">
      <c r="C1000" s="60"/>
      <c r="D1000" s="60"/>
      <c r="E1000" s="60"/>
      <c r="G1000" s="60"/>
      <c r="H1000" s="60"/>
    </row>
  </sheetData>
  <hyperlinks>
    <hyperlink display="RETURN TO DASHBOARD" location="Dashboard!A1" ref="A1"/>
    <hyperlink r:id="rId1" location="goog_rewarded" ref="D2"/>
    <hyperlink r:id="rId2" ref="H2"/>
    <hyperlink r:id="rId3" ref="D3"/>
    <hyperlink r:id="rId4" ref="H3"/>
    <hyperlink r:id="rId5" ref="D4"/>
    <hyperlink r:id="rId6" ref="H4"/>
    <hyperlink r:id="rId7" ref="D5"/>
    <hyperlink r:id="rId8" ref="H5"/>
    <hyperlink r:id="rId9" ref="D6"/>
    <hyperlink r:id="rId10" ref="H6"/>
    <hyperlink r:id="rId11" ref="D7"/>
    <hyperlink r:id="rId12" ref="H7"/>
    <hyperlink r:id="rId13" ref="D8"/>
    <hyperlink r:id="rId14" ref="H8"/>
    <hyperlink r:id="rId15" ref="D9"/>
    <hyperlink r:id="rId16" ref="H9"/>
    <hyperlink r:id="rId17" ref="D10"/>
    <hyperlink r:id="rId18" ref="H10"/>
    <hyperlink r:id="rId19" ref="D11"/>
    <hyperlink r:id="rId20" ref="H11"/>
    <hyperlink r:id="rId21" ref="D12"/>
    <hyperlink r:id="rId22" ref="H12"/>
    <hyperlink r:id="rId23" ref="C13"/>
    <hyperlink r:id="rId24" ref="D13"/>
    <hyperlink r:id="rId25" ref="H13"/>
    <hyperlink r:id="rId26" ref="C14"/>
    <hyperlink r:id="rId27" ref="D14"/>
    <hyperlink r:id="rId28" ref="H14"/>
    <hyperlink r:id="rId29" ref="D15"/>
    <hyperlink r:id="rId30" ref="H15"/>
    <hyperlink r:id="rId31" location="goog_rewarded" ref="D16"/>
    <hyperlink r:id="rId32" ref="H16"/>
    <hyperlink r:id="rId33" ref="D17"/>
    <hyperlink r:id="rId34" ref="H17"/>
    <hyperlink r:id="rId35" ref="D18"/>
    <hyperlink r:id="rId36" ref="H18"/>
    <hyperlink r:id="rId37" ref="D19"/>
    <hyperlink r:id="rId38" ref="H19"/>
    <hyperlink r:id="rId39" ref="D20"/>
    <hyperlink r:id="rId40" ref="H20"/>
    <hyperlink r:id="rId41" ref="D21"/>
    <hyperlink r:id="rId42" ref="H21"/>
  </hyperlinks>
  <drawing r:id="rId43"/>
</worksheet>
</file>